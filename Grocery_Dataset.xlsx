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sanad\OneDrive\Documents\AICW Project\"/>
    </mc:Choice>
  </mc:AlternateContent>
  <xr:revisionPtr revIDLastSave="0" documentId="13_ncr:1_{6EC844A0-080C-4710-8CF3-7193C823A6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" sheetId="1" r:id="rId1"/>
    <sheet name="Orders" sheetId="2" r:id="rId2"/>
    <sheet name="Advanced-Charts" sheetId="3" r:id="rId3"/>
    <sheet name="Data_ReorderRisk" sheetId="4" r:id="rId4"/>
    <sheet name="Sheet2" sheetId="5" r:id="rId5"/>
  </sheets>
  <definedNames>
    <definedName name="_xlnm._FilterDatabase" localSheetId="0" hidden="1">Inventory!$S$1:$S$1500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02" i="1" l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U801" i="2"/>
  <c r="M801" i="2"/>
  <c r="U800" i="2"/>
  <c r="M800" i="2"/>
  <c r="U799" i="2"/>
  <c r="M799" i="2"/>
  <c r="U798" i="2"/>
  <c r="M798" i="2"/>
  <c r="N798" i="2" s="1"/>
  <c r="U797" i="2"/>
  <c r="N797" i="2"/>
  <c r="M797" i="2"/>
  <c r="U796" i="2"/>
  <c r="M796" i="2"/>
  <c r="U795" i="2"/>
  <c r="M795" i="2"/>
  <c r="N795" i="2" s="1"/>
  <c r="U794" i="2"/>
  <c r="M794" i="2"/>
  <c r="U793" i="2"/>
  <c r="N793" i="2"/>
  <c r="O793" i="2" s="1"/>
  <c r="R793" i="2" s="1"/>
  <c r="M793" i="2"/>
  <c r="U792" i="2"/>
  <c r="M792" i="2"/>
  <c r="U791" i="2"/>
  <c r="M791" i="2"/>
  <c r="U790" i="2"/>
  <c r="N790" i="2"/>
  <c r="O790" i="2" s="1"/>
  <c r="R790" i="2" s="1"/>
  <c r="M790" i="2"/>
  <c r="U789" i="2"/>
  <c r="M789" i="2"/>
  <c r="N789" i="2" s="1"/>
  <c r="O789" i="2" s="1"/>
  <c r="R789" i="2" s="1"/>
  <c r="U788" i="2"/>
  <c r="N788" i="2"/>
  <c r="O788" i="2" s="1"/>
  <c r="R788" i="2" s="1"/>
  <c r="M788" i="2"/>
  <c r="U787" i="2"/>
  <c r="N787" i="2"/>
  <c r="O787" i="2" s="1"/>
  <c r="R787" i="2" s="1"/>
  <c r="M787" i="2"/>
  <c r="U786" i="2"/>
  <c r="M786" i="2"/>
  <c r="U785" i="2"/>
  <c r="M785" i="2"/>
  <c r="N785" i="2" s="1"/>
  <c r="U784" i="2"/>
  <c r="N784" i="2"/>
  <c r="M784" i="2"/>
  <c r="U783" i="2"/>
  <c r="M783" i="2"/>
  <c r="U782" i="2"/>
  <c r="M782" i="2"/>
  <c r="U781" i="2"/>
  <c r="N781" i="2"/>
  <c r="O781" i="2" s="1"/>
  <c r="R781" i="2" s="1"/>
  <c r="M781" i="2"/>
  <c r="U780" i="2"/>
  <c r="M780" i="2"/>
  <c r="U779" i="2"/>
  <c r="N779" i="2"/>
  <c r="O779" i="2" s="1"/>
  <c r="R779" i="2" s="1"/>
  <c r="M779" i="2"/>
  <c r="U778" i="2"/>
  <c r="N778" i="2"/>
  <c r="M778" i="2"/>
  <c r="U777" i="2"/>
  <c r="M777" i="2"/>
  <c r="U776" i="2"/>
  <c r="M776" i="2"/>
  <c r="U775" i="2"/>
  <c r="M775" i="2"/>
  <c r="N775" i="2" s="1"/>
  <c r="O775" i="2" s="1"/>
  <c r="R775" i="2" s="1"/>
  <c r="U774" i="2"/>
  <c r="N774" i="2"/>
  <c r="O774" i="2" s="1"/>
  <c r="R774" i="2" s="1"/>
  <c r="M774" i="2"/>
  <c r="U773" i="2"/>
  <c r="M773" i="2"/>
  <c r="U772" i="2"/>
  <c r="M772" i="2"/>
  <c r="U771" i="2"/>
  <c r="M771" i="2"/>
  <c r="U770" i="2"/>
  <c r="M770" i="2"/>
  <c r="N770" i="2" s="1"/>
  <c r="U769" i="2"/>
  <c r="R769" i="2"/>
  <c r="O769" i="2"/>
  <c r="N769" i="2"/>
  <c r="M769" i="2"/>
  <c r="U768" i="2"/>
  <c r="M768" i="2"/>
  <c r="U767" i="2"/>
  <c r="O767" i="2"/>
  <c r="R767" i="2" s="1"/>
  <c r="N767" i="2"/>
  <c r="M767" i="2"/>
  <c r="U766" i="2"/>
  <c r="M766" i="2"/>
  <c r="U765" i="2"/>
  <c r="M765" i="2"/>
  <c r="U764" i="2"/>
  <c r="O764" i="2"/>
  <c r="R764" i="2" s="1"/>
  <c r="N764" i="2"/>
  <c r="M764" i="2"/>
  <c r="U763" i="2"/>
  <c r="M763" i="2"/>
  <c r="N763" i="2" s="1"/>
  <c r="U762" i="2"/>
  <c r="M762" i="2"/>
  <c r="U761" i="2"/>
  <c r="N761" i="2"/>
  <c r="O761" i="2" s="1"/>
  <c r="R761" i="2" s="1"/>
  <c r="M761" i="2"/>
  <c r="U760" i="2"/>
  <c r="M760" i="2"/>
  <c r="U759" i="2"/>
  <c r="M759" i="2"/>
  <c r="U758" i="2"/>
  <c r="O758" i="2"/>
  <c r="R758" i="2" s="1"/>
  <c r="M758" i="2"/>
  <c r="N758" i="2" s="1"/>
  <c r="U757" i="2"/>
  <c r="M757" i="2"/>
  <c r="U756" i="2"/>
  <c r="N756" i="2"/>
  <c r="M756" i="2"/>
  <c r="U755" i="2"/>
  <c r="M755" i="2"/>
  <c r="U754" i="2"/>
  <c r="M754" i="2"/>
  <c r="U753" i="2"/>
  <c r="M753" i="2"/>
  <c r="N753" i="2" s="1"/>
  <c r="U752" i="2"/>
  <c r="M752" i="2"/>
  <c r="N752" i="2" s="1"/>
  <c r="U751" i="2"/>
  <c r="N751" i="2"/>
  <c r="O751" i="2" s="1"/>
  <c r="R751" i="2" s="1"/>
  <c r="M751" i="2"/>
  <c r="U750" i="2"/>
  <c r="N750" i="2"/>
  <c r="O750" i="2" s="1"/>
  <c r="R750" i="2" s="1"/>
  <c r="M750" i="2"/>
  <c r="U749" i="2"/>
  <c r="M749" i="2"/>
  <c r="N749" i="2" s="1"/>
  <c r="O749" i="2" s="1"/>
  <c r="R749" i="2" s="1"/>
  <c r="U748" i="2"/>
  <c r="O748" i="2"/>
  <c r="R748" i="2" s="1"/>
  <c r="N748" i="2"/>
  <c r="M748" i="2"/>
  <c r="U747" i="2"/>
  <c r="M747" i="2"/>
  <c r="U746" i="2"/>
  <c r="M746" i="2"/>
  <c r="U745" i="2"/>
  <c r="M745" i="2"/>
  <c r="U744" i="2"/>
  <c r="N744" i="2"/>
  <c r="O744" i="2" s="1"/>
  <c r="R744" i="2" s="1"/>
  <c r="M744" i="2"/>
  <c r="U743" i="2"/>
  <c r="O743" i="2"/>
  <c r="R743" i="2" s="1"/>
  <c r="M743" i="2"/>
  <c r="N743" i="2" s="1"/>
  <c r="U742" i="2"/>
  <c r="M742" i="2"/>
  <c r="U741" i="2"/>
  <c r="M741" i="2"/>
  <c r="N741" i="2" s="1"/>
  <c r="U740" i="2"/>
  <c r="M740" i="2"/>
  <c r="N740" i="2" s="1"/>
  <c r="U739" i="2"/>
  <c r="O739" i="2"/>
  <c r="R739" i="2" s="1"/>
  <c r="N739" i="2"/>
  <c r="M739" i="2"/>
  <c r="U738" i="2"/>
  <c r="O738" i="2"/>
  <c r="R738" i="2" s="1"/>
  <c r="N738" i="2"/>
  <c r="M738" i="2"/>
  <c r="U737" i="2"/>
  <c r="M737" i="2"/>
  <c r="U736" i="2"/>
  <c r="M736" i="2"/>
  <c r="U735" i="2"/>
  <c r="N735" i="2"/>
  <c r="O735" i="2" s="1"/>
  <c r="R735" i="2" s="1"/>
  <c r="M735" i="2"/>
  <c r="U734" i="2"/>
  <c r="O734" i="2"/>
  <c r="R734" i="2" s="1"/>
  <c r="M734" i="2"/>
  <c r="N734" i="2" s="1"/>
  <c r="U733" i="2"/>
  <c r="R733" i="2"/>
  <c r="N733" i="2"/>
  <c r="O733" i="2" s="1"/>
  <c r="M733" i="2"/>
  <c r="U732" i="2"/>
  <c r="M732" i="2"/>
  <c r="U731" i="2"/>
  <c r="N731" i="2"/>
  <c r="O731" i="2" s="1"/>
  <c r="R731" i="2" s="1"/>
  <c r="M731" i="2"/>
  <c r="U730" i="2"/>
  <c r="M730" i="2"/>
  <c r="U729" i="2"/>
  <c r="M729" i="2"/>
  <c r="U728" i="2"/>
  <c r="M728" i="2"/>
  <c r="N728" i="2" s="1"/>
  <c r="U727" i="2"/>
  <c r="M727" i="2"/>
  <c r="U726" i="2"/>
  <c r="M726" i="2"/>
  <c r="U725" i="2"/>
  <c r="M725" i="2"/>
  <c r="N725" i="2" s="1"/>
  <c r="U724" i="2"/>
  <c r="M724" i="2"/>
  <c r="U723" i="2"/>
  <c r="M723" i="2"/>
  <c r="N723" i="2" s="1"/>
  <c r="O723" i="2" s="1"/>
  <c r="R723" i="2" s="1"/>
  <c r="U722" i="2"/>
  <c r="M722" i="2"/>
  <c r="N722" i="2" s="1"/>
  <c r="U721" i="2"/>
  <c r="M721" i="2"/>
  <c r="U720" i="2"/>
  <c r="N720" i="2"/>
  <c r="O720" i="2" s="1"/>
  <c r="R720" i="2" s="1"/>
  <c r="M720" i="2"/>
  <c r="U719" i="2"/>
  <c r="M719" i="2"/>
  <c r="U718" i="2"/>
  <c r="M718" i="2"/>
  <c r="U717" i="2"/>
  <c r="M717" i="2"/>
  <c r="U716" i="2"/>
  <c r="M716" i="2"/>
  <c r="U715" i="2"/>
  <c r="N715" i="2"/>
  <c r="O715" i="2" s="1"/>
  <c r="R715" i="2" s="1"/>
  <c r="M715" i="2"/>
  <c r="U714" i="2"/>
  <c r="M714" i="2"/>
  <c r="N714" i="2" s="1"/>
  <c r="U713" i="2"/>
  <c r="M713" i="2"/>
  <c r="N713" i="2" s="1"/>
  <c r="U712" i="2"/>
  <c r="N712" i="2"/>
  <c r="O712" i="2" s="1"/>
  <c r="R712" i="2" s="1"/>
  <c r="M712" i="2"/>
  <c r="U711" i="2"/>
  <c r="M711" i="2"/>
  <c r="U710" i="2"/>
  <c r="M710" i="2"/>
  <c r="U709" i="2"/>
  <c r="M709" i="2"/>
  <c r="U708" i="2"/>
  <c r="M708" i="2"/>
  <c r="N708" i="2" s="1"/>
  <c r="O708" i="2" s="1"/>
  <c r="R708" i="2" s="1"/>
  <c r="U707" i="2"/>
  <c r="M707" i="2"/>
  <c r="U706" i="2"/>
  <c r="N706" i="2"/>
  <c r="O706" i="2" s="1"/>
  <c r="R706" i="2" s="1"/>
  <c r="M706" i="2"/>
  <c r="U705" i="2"/>
  <c r="M705" i="2"/>
  <c r="U704" i="2"/>
  <c r="M704" i="2"/>
  <c r="U703" i="2"/>
  <c r="N703" i="2"/>
  <c r="O703" i="2" s="1"/>
  <c r="R703" i="2" s="1"/>
  <c r="M703" i="2"/>
  <c r="U702" i="2"/>
  <c r="M702" i="2"/>
  <c r="U701" i="2"/>
  <c r="N701" i="2"/>
  <c r="M701" i="2"/>
  <c r="U700" i="2"/>
  <c r="M700" i="2"/>
  <c r="U699" i="2"/>
  <c r="M699" i="2"/>
  <c r="U698" i="2"/>
  <c r="M698" i="2"/>
  <c r="N698" i="2" s="1"/>
  <c r="U697" i="2"/>
  <c r="N697" i="2"/>
  <c r="O697" i="2" s="1"/>
  <c r="R697" i="2" s="1"/>
  <c r="M697" i="2"/>
  <c r="U696" i="2"/>
  <c r="N696" i="2"/>
  <c r="M696" i="2"/>
  <c r="U695" i="2"/>
  <c r="M695" i="2"/>
  <c r="N695" i="2" s="1"/>
  <c r="U694" i="2"/>
  <c r="M694" i="2"/>
  <c r="U693" i="2"/>
  <c r="M693" i="2"/>
  <c r="U692" i="2"/>
  <c r="M692" i="2"/>
  <c r="U691" i="2"/>
  <c r="M691" i="2"/>
  <c r="U690" i="2"/>
  <c r="M690" i="2"/>
  <c r="U689" i="2"/>
  <c r="N689" i="2"/>
  <c r="M689" i="2"/>
  <c r="U688" i="2"/>
  <c r="M688" i="2"/>
  <c r="U687" i="2"/>
  <c r="M687" i="2"/>
  <c r="U686" i="2"/>
  <c r="M686" i="2"/>
  <c r="N686" i="2" s="1"/>
  <c r="U685" i="2"/>
  <c r="N685" i="2"/>
  <c r="M685" i="2"/>
  <c r="U684" i="2"/>
  <c r="M684" i="2"/>
  <c r="U683" i="2"/>
  <c r="M683" i="2"/>
  <c r="N683" i="2" s="1"/>
  <c r="U682" i="2"/>
  <c r="O682" i="2"/>
  <c r="R682" i="2" s="1"/>
  <c r="N682" i="2"/>
  <c r="M682" i="2"/>
  <c r="U681" i="2"/>
  <c r="M681" i="2"/>
  <c r="U680" i="2"/>
  <c r="M680" i="2"/>
  <c r="U679" i="2"/>
  <c r="O679" i="2"/>
  <c r="R679" i="2" s="1"/>
  <c r="N679" i="2"/>
  <c r="M679" i="2"/>
  <c r="U678" i="2"/>
  <c r="M678" i="2"/>
  <c r="U677" i="2"/>
  <c r="M677" i="2"/>
  <c r="U676" i="2"/>
  <c r="M676" i="2"/>
  <c r="U675" i="2"/>
  <c r="M675" i="2"/>
  <c r="U674" i="2"/>
  <c r="M674" i="2"/>
  <c r="U673" i="2"/>
  <c r="N673" i="2"/>
  <c r="M673" i="2"/>
  <c r="U672" i="2"/>
  <c r="N672" i="2"/>
  <c r="O672" i="2" s="1"/>
  <c r="R672" i="2" s="1"/>
  <c r="M672" i="2"/>
  <c r="U671" i="2"/>
  <c r="N671" i="2"/>
  <c r="O671" i="2" s="1"/>
  <c r="R671" i="2" s="1"/>
  <c r="M671" i="2"/>
  <c r="U670" i="2"/>
  <c r="M670" i="2"/>
  <c r="N670" i="2" s="1"/>
  <c r="U669" i="2"/>
  <c r="O669" i="2"/>
  <c r="R669" i="2" s="1"/>
  <c r="N669" i="2"/>
  <c r="M669" i="2"/>
  <c r="U668" i="2"/>
  <c r="M668" i="2"/>
  <c r="N668" i="2" s="1"/>
  <c r="U667" i="2"/>
  <c r="M667" i="2"/>
  <c r="N667" i="2" s="1"/>
  <c r="O667" i="2" s="1"/>
  <c r="R667" i="2" s="1"/>
  <c r="U666" i="2"/>
  <c r="M666" i="2"/>
  <c r="U665" i="2"/>
  <c r="M665" i="2"/>
  <c r="U664" i="2"/>
  <c r="O664" i="2"/>
  <c r="R664" i="2" s="1"/>
  <c r="M664" i="2"/>
  <c r="N664" i="2" s="1"/>
  <c r="U663" i="2"/>
  <c r="M663" i="2"/>
  <c r="U662" i="2"/>
  <c r="M662" i="2"/>
  <c r="N662" i="2" s="1"/>
  <c r="U661" i="2"/>
  <c r="N661" i="2"/>
  <c r="O661" i="2" s="1"/>
  <c r="R661" i="2" s="1"/>
  <c r="M661" i="2"/>
  <c r="U660" i="2"/>
  <c r="N660" i="2"/>
  <c r="O660" i="2" s="1"/>
  <c r="R660" i="2" s="1"/>
  <c r="M660" i="2"/>
  <c r="U659" i="2"/>
  <c r="M659" i="2"/>
  <c r="U658" i="2"/>
  <c r="M658" i="2"/>
  <c r="U657" i="2"/>
  <c r="M657" i="2"/>
  <c r="U656" i="2"/>
  <c r="N656" i="2"/>
  <c r="O656" i="2" s="1"/>
  <c r="R656" i="2" s="1"/>
  <c r="M656" i="2"/>
  <c r="U655" i="2"/>
  <c r="M655" i="2"/>
  <c r="U654" i="2"/>
  <c r="N654" i="2"/>
  <c r="O654" i="2" s="1"/>
  <c r="R654" i="2" s="1"/>
  <c r="M654" i="2"/>
  <c r="U653" i="2"/>
  <c r="N653" i="2"/>
  <c r="O653" i="2" s="1"/>
  <c r="R653" i="2" s="1"/>
  <c r="M653" i="2"/>
  <c r="U652" i="2"/>
  <c r="M652" i="2"/>
  <c r="U651" i="2"/>
  <c r="M651" i="2"/>
  <c r="U650" i="2"/>
  <c r="R650" i="2"/>
  <c r="O650" i="2"/>
  <c r="M650" i="2"/>
  <c r="N650" i="2" s="1"/>
  <c r="U649" i="2"/>
  <c r="M649" i="2"/>
  <c r="N649" i="2" s="1"/>
  <c r="U648" i="2"/>
  <c r="M648" i="2"/>
  <c r="N648" i="2" s="1"/>
  <c r="U647" i="2"/>
  <c r="M647" i="2"/>
  <c r="U646" i="2"/>
  <c r="M646" i="2"/>
  <c r="U645" i="2"/>
  <c r="N645" i="2"/>
  <c r="O645" i="2" s="1"/>
  <c r="R645" i="2" s="1"/>
  <c r="M645" i="2"/>
  <c r="U644" i="2"/>
  <c r="M644" i="2"/>
  <c r="U643" i="2"/>
  <c r="N643" i="2"/>
  <c r="O643" i="2" s="1"/>
  <c r="R643" i="2" s="1"/>
  <c r="M643" i="2"/>
  <c r="U642" i="2"/>
  <c r="O642" i="2"/>
  <c r="R642" i="2" s="1"/>
  <c r="N642" i="2"/>
  <c r="M642" i="2"/>
  <c r="U641" i="2"/>
  <c r="M641" i="2"/>
  <c r="N641" i="2" s="1"/>
  <c r="O641" i="2" s="1"/>
  <c r="R641" i="2" s="1"/>
  <c r="U640" i="2"/>
  <c r="M640" i="2"/>
  <c r="N640" i="2" s="1"/>
  <c r="U639" i="2"/>
  <c r="M639" i="2"/>
  <c r="U638" i="2"/>
  <c r="M638" i="2"/>
  <c r="U637" i="2"/>
  <c r="M637" i="2"/>
  <c r="U636" i="2"/>
  <c r="M636" i="2"/>
  <c r="N636" i="2" s="1"/>
  <c r="U635" i="2"/>
  <c r="M635" i="2"/>
  <c r="U634" i="2"/>
  <c r="M634" i="2"/>
  <c r="N634" i="2" s="1"/>
  <c r="U633" i="2"/>
  <c r="N633" i="2"/>
  <c r="O633" i="2" s="1"/>
  <c r="R633" i="2" s="1"/>
  <c r="M633" i="2"/>
  <c r="U632" i="2"/>
  <c r="M632" i="2"/>
  <c r="N632" i="2" s="1"/>
  <c r="U631" i="2"/>
  <c r="M631" i="2"/>
  <c r="U630" i="2"/>
  <c r="R630" i="2"/>
  <c r="O630" i="2"/>
  <c r="N630" i="2"/>
  <c r="M630" i="2"/>
  <c r="U629" i="2"/>
  <c r="M629" i="2"/>
  <c r="U628" i="2"/>
  <c r="M628" i="2"/>
  <c r="U627" i="2"/>
  <c r="M627" i="2"/>
  <c r="U626" i="2"/>
  <c r="M626" i="2"/>
  <c r="N626" i="2" s="1"/>
  <c r="O626" i="2" s="1"/>
  <c r="R626" i="2" s="1"/>
  <c r="U625" i="2"/>
  <c r="N625" i="2"/>
  <c r="O625" i="2" s="1"/>
  <c r="R625" i="2" s="1"/>
  <c r="M625" i="2"/>
  <c r="U624" i="2"/>
  <c r="O624" i="2"/>
  <c r="R624" i="2" s="1"/>
  <c r="N624" i="2"/>
  <c r="M624" i="2"/>
  <c r="U623" i="2"/>
  <c r="M623" i="2"/>
  <c r="U622" i="2"/>
  <c r="M622" i="2"/>
  <c r="U621" i="2"/>
  <c r="N621" i="2"/>
  <c r="M621" i="2"/>
  <c r="U620" i="2"/>
  <c r="M620" i="2"/>
  <c r="U619" i="2"/>
  <c r="M619" i="2"/>
  <c r="U618" i="2"/>
  <c r="N618" i="2"/>
  <c r="O618" i="2" s="1"/>
  <c r="R618" i="2" s="1"/>
  <c r="M618" i="2"/>
  <c r="U617" i="2"/>
  <c r="M617" i="2"/>
  <c r="U616" i="2"/>
  <c r="N616" i="2"/>
  <c r="O616" i="2" s="1"/>
  <c r="R616" i="2" s="1"/>
  <c r="M616" i="2"/>
  <c r="U615" i="2"/>
  <c r="O615" i="2"/>
  <c r="R615" i="2" s="1"/>
  <c r="M615" i="2"/>
  <c r="N615" i="2" s="1"/>
  <c r="U614" i="2"/>
  <c r="M614" i="2"/>
  <c r="N614" i="2" s="1"/>
  <c r="U613" i="2"/>
  <c r="M613" i="2"/>
  <c r="U612" i="2"/>
  <c r="N612" i="2"/>
  <c r="O612" i="2" s="1"/>
  <c r="R612" i="2" s="1"/>
  <c r="M612" i="2"/>
  <c r="U611" i="2"/>
  <c r="M611" i="2"/>
  <c r="U610" i="2"/>
  <c r="M610" i="2"/>
  <c r="U609" i="2"/>
  <c r="N609" i="2"/>
  <c r="O609" i="2" s="1"/>
  <c r="R609" i="2" s="1"/>
  <c r="M609" i="2"/>
  <c r="U608" i="2"/>
  <c r="N608" i="2"/>
  <c r="O608" i="2" s="1"/>
  <c r="R608" i="2" s="1"/>
  <c r="M608" i="2"/>
  <c r="U607" i="2"/>
  <c r="N607" i="2"/>
  <c r="O607" i="2" s="1"/>
  <c r="R607" i="2" s="1"/>
  <c r="M607" i="2"/>
  <c r="U606" i="2"/>
  <c r="M606" i="2"/>
  <c r="U605" i="2"/>
  <c r="M605" i="2"/>
  <c r="N605" i="2" s="1"/>
  <c r="U604" i="2"/>
  <c r="N604" i="2"/>
  <c r="O604" i="2" s="1"/>
  <c r="R604" i="2" s="1"/>
  <c r="M604" i="2"/>
  <c r="U603" i="2"/>
  <c r="M603" i="2"/>
  <c r="U602" i="2"/>
  <c r="R602" i="2"/>
  <c r="O602" i="2"/>
  <c r="N602" i="2"/>
  <c r="M602" i="2"/>
  <c r="U601" i="2"/>
  <c r="M601" i="2"/>
  <c r="U600" i="2"/>
  <c r="M600" i="2"/>
  <c r="N600" i="2" s="1"/>
  <c r="O600" i="2" s="1"/>
  <c r="R600" i="2" s="1"/>
  <c r="U599" i="2"/>
  <c r="M599" i="2"/>
  <c r="U598" i="2"/>
  <c r="R598" i="2"/>
  <c r="O598" i="2"/>
  <c r="N598" i="2"/>
  <c r="M598" i="2"/>
  <c r="U597" i="2"/>
  <c r="M597" i="2"/>
  <c r="U596" i="2"/>
  <c r="M596" i="2"/>
  <c r="U595" i="2"/>
  <c r="M595" i="2"/>
  <c r="N595" i="2" s="1"/>
  <c r="O595" i="2" s="1"/>
  <c r="R595" i="2" s="1"/>
  <c r="U594" i="2"/>
  <c r="M594" i="2"/>
  <c r="U593" i="2"/>
  <c r="M593" i="2"/>
  <c r="U592" i="2"/>
  <c r="M592" i="2"/>
  <c r="U591" i="2"/>
  <c r="M591" i="2"/>
  <c r="N591" i="2" s="1"/>
  <c r="O591" i="2" s="1"/>
  <c r="R591" i="2" s="1"/>
  <c r="U590" i="2"/>
  <c r="M590" i="2"/>
  <c r="N590" i="2" s="1"/>
  <c r="U589" i="2"/>
  <c r="R589" i="2"/>
  <c r="O589" i="2"/>
  <c r="N589" i="2"/>
  <c r="M589" i="2"/>
  <c r="U588" i="2"/>
  <c r="M588" i="2"/>
  <c r="U587" i="2"/>
  <c r="M587" i="2"/>
  <c r="U586" i="2"/>
  <c r="M586" i="2"/>
  <c r="N586" i="2" s="1"/>
  <c r="U585" i="2"/>
  <c r="M585" i="2"/>
  <c r="U584" i="2"/>
  <c r="M584" i="2"/>
  <c r="U583" i="2"/>
  <c r="M583" i="2"/>
  <c r="U582" i="2"/>
  <c r="M582" i="2"/>
  <c r="N582" i="2" s="1"/>
  <c r="U581" i="2"/>
  <c r="M581" i="2"/>
  <c r="U580" i="2"/>
  <c r="O580" i="2"/>
  <c r="R580" i="2" s="1"/>
  <c r="N580" i="2"/>
  <c r="M580" i="2"/>
  <c r="U579" i="2"/>
  <c r="M579" i="2"/>
  <c r="N579" i="2" s="1"/>
  <c r="O579" i="2" s="1"/>
  <c r="R579" i="2" s="1"/>
  <c r="U578" i="2"/>
  <c r="R578" i="2"/>
  <c r="O578" i="2"/>
  <c r="M578" i="2"/>
  <c r="N578" i="2" s="1"/>
  <c r="U577" i="2"/>
  <c r="M577" i="2"/>
  <c r="U576" i="2"/>
  <c r="M576" i="2"/>
  <c r="U575" i="2"/>
  <c r="M575" i="2"/>
  <c r="N575" i="2" s="1"/>
  <c r="O575" i="2" s="1"/>
  <c r="R575" i="2" s="1"/>
  <c r="U574" i="2"/>
  <c r="N574" i="2"/>
  <c r="O574" i="2" s="1"/>
  <c r="R574" i="2" s="1"/>
  <c r="M574" i="2"/>
  <c r="U573" i="2"/>
  <c r="M573" i="2"/>
  <c r="U572" i="2"/>
  <c r="M572" i="2"/>
  <c r="U571" i="2"/>
  <c r="N571" i="2"/>
  <c r="O571" i="2" s="1"/>
  <c r="R571" i="2" s="1"/>
  <c r="M571" i="2"/>
  <c r="U570" i="2"/>
  <c r="M570" i="2"/>
  <c r="U569" i="2"/>
  <c r="M569" i="2"/>
  <c r="U568" i="2"/>
  <c r="M568" i="2"/>
  <c r="U567" i="2"/>
  <c r="M567" i="2"/>
  <c r="U566" i="2"/>
  <c r="M566" i="2"/>
  <c r="N566" i="2" s="1"/>
  <c r="U565" i="2"/>
  <c r="M565" i="2"/>
  <c r="N565" i="2" s="1"/>
  <c r="U564" i="2"/>
  <c r="M564" i="2"/>
  <c r="U563" i="2"/>
  <c r="O563" i="2"/>
  <c r="R563" i="2" s="1"/>
  <c r="N563" i="2"/>
  <c r="M563" i="2"/>
  <c r="U562" i="2"/>
  <c r="O562" i="2"/>
  <c r="R562" i="2" s="1"/>
  <c r="M562" i="2"/>
  <c r="N562" i="2" s="1"/>
  <c r="U561" i="2"/>
  <c r="N561" i="2"/>
  <c r="O561" i="2" s="1"/>
  <c r="R561" i="2" s="1"/>
  <c r="M561" i="2"/>
  <c r="U560" i="2"/>
  <c r="M560" i="2"/>
  <c r="N560" i="2" s="1"/>
  <c r="U559" i="2"/>
  <c r="O559" i="2"/>
  <c r="R559" i="2" s="1"/>
  <c r="M559" i="2"/>
  <c r="N559" i="2" s="1"/>
  <c r="U558" i="2"/>
  <c r="M558" i="2"/>
  <c r="U557" i="2"/>
  <c r="M557" i="2"/>
  <c r="U556" i="2"/>
  <c r="O556" i="2"/>
  <c r="R556" i="2" s="1"/>
  <c r="N556" i="2"/>
  <c r="M556" i="2"/>
  <c r="U555" i="2"/>
  <c r="M555" i="2"/>
  <c r="U554" i="2"/>
  <c r="N554" i="2"/>
  <c r="O554" i="2" s="1"/>
  <c r="R554" i="2" s="1"/>
  <c r="M554" i="2"/>
  <c r="U553" i="2"/>
  <c r="N553" i="2"/>
  <c r="O553" i="2" s="1"/>
  <c r="R553" i="2" s="1"/>
  <c r="M553" i="2"/>
  <c r="U552" i="2"/>
  <c r="M552" i="2"/>
  <c r="U551" i="2"/>
  <c r="M551" i="2"/>
  <c r="U550" i="2"/>
  <c r="M550" i="2"/>
  <c r="U549" i="2"/>
  <c r="M549" i="2"/>
  <c r="U548" i="2"/>
  <c r="N548" i="2"/>
  <c r="O548" i="2" s="1"/>
  <c r="R548" i="2" s="1"/>
  <c r="M548" i="2"/>
  <c r="U547" i="2"/>
  <c r="M547" i="2"/>
  <c r="N547" i="2" s="1"/>
  <c r="O547" i="2" s="1"/>
  <c r="R547" i="2" s="1"/>
  <c r="U546" i="2"/>
  <c r="M546" i="2"/>
  <c r="U545" i="2"/>
  <c r="O545" i="2"/>
  <c r="R545" i="2" s="1"/>
  <c r="N545" i="2"/>
  <c r="M545" i="2"/>
  <c r="U544" i="2"/>
  <c r="M544" i="2"/>
  <c r="U543" i="2"/>
  <c r="M543" i="2"/>
  <c r="N543" i="2" s="1"/>
  <c r="U542" i="2"/>
  <c r="M542" i="2"/>
  <c r="U541" i="2"/>
  <c r="M541" i="2"/>
  <c r="U540" i="2"/>
  <c r="N540" i="2"/>
  <c r="M540" i="2"/>
  <c r="U539" i="2"/>
  <c r="M539" i="2"/>
  <c r="U538" i="2"/>
  <c r="O538" i="2"/>
  <c r="R538" i="2" s="1"/>
  <c r="N538" i="2"/>
  <c r="M538" i="2"/>
  <c r="U537" i="2"/>
  <c r="N537" i="2"/>
  <c r="O537" i="2" s="1"/>
  <c r="R537" i="2" s="1"/>
  <c r="M537" i="2"/>
  <c r="U536" i="2"/>
  <c r="N536" i="2"/>
  <c r="O536" i="2" s="1"/>
  <c r="R536" i="2" s="1"/>
  <c r="M536" i="2"/>
  <c r="U535" i="2"/>
  <c r="N535" i="2"/>
  <c r="O535" i="2" s="1"/>
  <c r="R535" i="2" s="1"/>
  <c r="M535" i="2"/>
  <c r="U534" i="2"/>
  <c r="O534" i="2"/>
  <c r="R534" i="2" s="1"/>
  <c r="M534" i="2"/>
  <c r="N534" i="2" s="1"/>
  <c r="U533" i="2"/>
  <c r="M533" i="2"/>
  <c r="N533" i="2" s="1"/>
  <c r="O533" i="2" s="1"/>
  <c r="R533" i="2" s="1"/>
  <c r="U532" i="2"/>
  <c r="M532" i="2"/>
  <c r="U531" i="2"/>
  <c r="M531" i="2"/>
  <c r="U530" i="2"/>
  <c r="M530" i="2"/>
  <c r="U529" i="2"/>
  <c r="M529" i="2"/>
  <c r="U528" i="2"/>
  <c r="M528" i="2"/>
  <c r="U527" i="2"/>
  <c r="R527" i="2"/>
  <c r="O527" i="2"/>
  <c r="N527" i="2"/>
  <c r="M527" i="2"/>
  <c r="U526" i="2"/>
  <c r="M526" i="2"/>
  <c r="N526" i="2" s="1"/>
  <c r="U525" i="2"/>
  <c r="M525" i="2"/>
  <c r="U524" i="2"/>
  <c r="M524" i="2"/>
  <c r="N524" i="2" s="1"/>
  <c r="U523" i="2"/>
  <c r="M523" i="2"/>
  <c r="U522" i="2"/>
  <c r="R522" i="2"/>
  <c r="O522" i="2"/>
  <c r="N522" i="2"/>
  <c r="M522" i="2"/>
  <c r="U521" i="2"/>
  <c r="M521" i="2"/>
  <c r="U520" i="2"/>
  <c r="M520" i="2"/>
  <c r="U519" i="2"/>
  <c r="M519" i="2"/>
  <c r="U518" i="2"/>
  <c r="R518" i="2"/>
  <c r="M518" i="2"/>
  <c r="N518" i="2" s="1"/>
  <c r="O518" i="2" s="1"/>
  <c r="U517" i="2"/>
  <c r="N517" i="2"/>
  <c r="O517" i="2" s="1"/>
  <c r="R517" i="2" s="1"/>
  <c r="M517" i="2"/>
  <c r="U516" i="2"/>
  <c r="M516" i="2"/>
  <c r="U515" i="2"/>
  <c r="M515" i="2"/>
  <c r="N515" i="2" s="1"/>
  <c r="U514" i="2"/>
  <c r="M514" i="2"/>
  <c r="U513" i="2"/>
  <c r="N513" i="2"/>
  <c r="M513" i="2"/>
  <c r="U512" i="2"/>
  <c r="M512" i="2"/>
  <c r="U511" i="2"/>
  <c r="M511" i="2"/>
  <c r="N511" i="2" s="1"/>
  <c r="U510" i="2"/>
  <c r="M510" i="2"/>
  <c r="N510" i="2" s="1"/>
  <c r="U509" i="2"/>
  <c r="N509" i="2"/>
  <c r="O509" i="2" s="1"/>
  <c r="R509" i="2" s="1"/>
  <c r="M509" i="2"/>
  <c r="U508" i="2"/>
  <c r="M508" i="2"/>
  <c r="U507" i="2"/>
  <c r="M507" i="2"/>
  <c r="N507" i="2" s="1"/>
  <c r="O507" i="2" s="1"/>
  <c r="R507" i="2" s="1"/>
  <c r="U506" i="2"/>
  <c r="M506" i="2"/>
  <c r="U505" i="2"/>
  <c r="M505" i="2"/>
  <c r="N505" i="2" s="1"/>
  <c r="O505" i="2" s="1"/>
  <c r="R505" i="2" s="1"/>
  <c r="U504" i="2"/>
  <c r="N504" i="2"/>
  <c r="M504" i="2"/>
  <c r="U503" i="2"/>
  <c r="M503" i="2"/>
  <c r="U502" i="2"/>
  <c r="N502" i="2"/>
  <c r="O502" i="2" s="1"/>
  <c r="R502" i="2" s="1"/>
  <c r="M502" i="2"/>
  <c r="U501" i="2"/>
  <c r="M501" i="2"/>
  <c r="U500" i="2"/>
  <c r="M500" i="2"/>
  <c r="U499" i="2"/>
  <c r="N499" i="2"/>
  <c r="O499" i="2" s="1"/>
  <c r="R499" i="2" s="1"/>
  <c r="M499" i="2"/>
  <c r="U498" i="2"/>
  <c r="N498" i="2"/>
  <c r="O498" i="2" s="1"/>
  <c r="R498" i="2" s="1"/>
  <c r="M498" i="2"/>
  <c r="U497" i="2"/>
  <c r="M497" i="2"/>
  <c r="U496" i="2"/>
  <c r="N496" i="2"/>
  <c r="O496" i="2" s="1"/>
  <c r="R496" i="2" s="1"/>
  <c r="M496" i="2"/>
  <c r="U495" i="2"/>
  <c r="M495" i="2"/>
  <c r="U494" i="2"/>
  <c r="M494" i="2"/>
  <c r="U493" i="2"/>
  <c r="M493" i="2"/>
  <c r="U492" i="2"/>
  <c r="M492" i="2"/>
  <c r="N492" i="2" s="1"/>
  <c r="O492" i="2" s="1"/>
  <c r="R492" i="2" s="1"/>
  <c r="U491" i="2"/>
  <c r="M491" i="2"/>
  <c r="N491" i="2" s="1"/>
  <c r="O491" i="2" s="1"/>
  <c r="R491" i="2" s="1"/>
  <c r="U490" i="2"/>
  <c r="N490" i="2"/>
  <c r="M490" i="2"/>
  <c r="U489" i="2"/>
  <c r="M489" i="2"/>
  <c r="U488" i="2"/>
  <c r="M488" i="2"/>
  <c r="U487" i="2"/>
  <c r="M487" i="2"/>
  <c r="U486" i="2"/>
  <c r="O486" i="2"/>
  <c r="R486" i="2" s="1"/>
  <c r="M486" i="2"/>
  <c r="N486" i="2" s="1"/>
  <c r="U485" i="2"/>
  <c r="M485" i="2"/>
  <c r="U484" i="2"/>
  <c r="M484" i="2"/>
  <c r="U483" i="2"/>
  <c r="M483" i="2"/>
  <c r="N483" i="2" s="1"/>
  <c r="U482" i="2"/>
  <c r="M482" i="2"/>
  <c r="N482" i="2" s="1"/>
  <c r="U481" i="2"/>
  <c r="O481" i="2"/>
  <c r="R481" i="2" s="1"/>
  <c r="N481" i="2"/>
  <c r="M481" i="2"/>
  <c r="U480" i="2"/>
  <c r="N480" i="2"/>
  <c r="O480" i="2" s="1"/>
  <c r="R480" i="2" s="1"/>
  <c r="M480" i="2"/>
  <c r="U479" i="2"/>
  <c r="O479" i="2"/>
  <c r="R479" i="2" s="1"/>
  <c r="N479" i="2"/>
  <c r="M479" i="2"/>
  <c r="U478" i="2"/>
  <c r="M478" i="2"/>
  <c r="U477" i="2"/>
  <c r="M477" i="2"/>
  <c r="U476" i="2"/>
  <c r="M476" i="2"/>
  <c r="U475" i="2"/>
  <c r="M475" i="2"/>
  <c r="U474" i="2"/>
  <c r="M474" i="2"/>
  <c r="N474" i="2" s="1"/>
  <c r="U473" i="2"/>
  <c r="M473" i="2"/>
  <c r="N473" i="2" s="1"/>
  <c r="U472" i="2"/>
  <c r="N472" i="2"/>
  <c r="O472" i="2" s="1"/>
  <c r="R472" i="2" s="1"/>
  <c r="M472" i="2"/>
  <c r="U471" i="2"/>
  <c r="M471" i="2"/>
  <c r="U470" i="2"/>
  <c r="M470" i="2"/>
  <c r="N470" i="2" s="1"/>
  <c r="U469" i="2"/>
  <c r="M469" i="2"/>
  <c r="N469" i="2" s="1"/>
  <c r="O469" i="2" s="1"/>
  <c r="R469" i="2" s="1"/>
  <c r="U468" i="2"/>
  <c r="M468" i="2"/>
  <c r="U467" i="2"/>
  <c r="M467" i="2"/>
  <c r="U466" i="2"/>
  <c r="N466" i="2"/>
  <c r="O466" i="2" s="1"/>
  <c r="R466" i="2" s="1"/>
  <c r="M466" i="2"/>
  <c r="U465" i="2"/>
  <c r="M465" i="2"/>
  <c r="N465" i="2" s="1"/>
  <c r="U464" i="2"/>
  <c r="R464" i="2"/>
  <c r="O464" i="2"/>
  <c r="N464" i="2"/>
  <c r="M464" i="2"/>
  <c r="U463" i="2"/>
  <c r="N463" i="2"/>
  <c r="O463" i="2" s="1"/>
  <c r="R463" i="2" s="1"/>
  <c r="M463" i="2"/>
  <c r="U462" i="2"/>
  <c r="M462" i="2"/>
  <c r="U461" i="2"/>
  <c r="N461" i="2"/>
  <c r="O461" i="2" s="1"/>
  <c r="R461" i="2" s="1"/>
  <c r="M461" i="2"/>
  <c r="U460" i="2"/>
  <c r="M460" i="2"/>
  <c r="U459" i="2"/>
  <c r="M459" i="2"/>
  <c r="U458" i="2"/>
  <c r="M458" i="2"/>
  <c r="U457" i="2"/>
  <c r="M457" i="2"/>
  <c r="U456" i="2"/>
  <c r="N456" i="2"/>
  <c r="O456" i="2" s="1"/>
  <c r="R456" i="2" s="1"/>
  <c r="M456" i="2"/>
  <c r="U455" i="2"/>
  <c r="N455" i="2"/>
  <c r="O455" i="2" s="1"/>
  <c r="R455" i="2" s="1"/>
  <c r="M455" i="2"/>
  <c r="U454" i="2"/>
  <c r="N454" i="2"/>
  <c r="M454" i="2"/>
  <c r="U453" i="2"/>
  <c r="M453" i="2"/>
  <c r="U452" i="2"/>
  <c r="M452" i="2"/>
  <c r="U451" i="2"/>
  <c r="M451" i="2"/>
  <c r="N451" i="2" s="1"/>
  <c r="O451" i="2" s="1"/>
  <c r="R451" i="2" s="1"/>
  <c r="U450" i="2"/>
  <c r="M450" i="2"/>
  <c r="U449" i="2"/>
  <c r="N449" i="2"/>
  <c r="O449" i="2" s="1"/>
  <c r="R449" i="2" s="1"/>
  <c r="M449" i="2"/>
  <c r="U448" i="2"/>
  <c r="M448" i="2"/>
  <c r="N448" i="2" s="1"/>
  <c r="U447" i="2"/>
  <c r="M447" i="2"/>
  <c r="U446" i="2"/>
  <c r="M446" i="2"/>
  <c r="U445" i="2"/>
  <c r="N445" i="2"/>
  <c r="O445" i="2" s="1"/>
  <c r="R445" i="2" s="1"/>
  <c r="M445" i="2"/>
  <c r="U444" i="2"/>
  <c r="M444" i="2"/>
  <c r="U443" i="2"/>
  <c r="M443" i="2"/>
  <c r="U442" i="2"/>
  <c r="M442" i="2"/>
  <c r="N442" i="2" s="1"/>
  <c r="O442" i="2" s="1"/>
  <c r="R442" i="2" s="1"/>
  <c r="U441" i="2"/>
  <c r="N441" i="2"/>
  <c r="M441" i="2"/>
  <c r="U440" i="2"/>
  <c r="N440" i="2"/>
  <c r="O440" i="2" s="1"/>
  <c r="R440" i="2" s="1"/>
  <c r="M440" i="2"/>
  <c r="U439" i="2"/>
  <c r="O439" i="2"/>
  <c r="R439" i="2" s="1"/>
  <c r="N439" i="2"/>
  <c r="M439" i="2"/>
  <c r="U438" i="2"/>
  <c r="M438" i="2"/>
  <c r="U437" i="2"/>
  <c r="M437" i="2"/>
  <c r="U436" i="2"/>
  <c r="M436" i="2"/>
  <c r="U435" i="2"/>
  <c r="M435" i="2"/>
  <c r="U434" i="2"/>
  <c r="M434" i="2"/>
  <c r="N434" i="2" s="1"/>
  <c r="U433" i="2"/>
  <c r="M433" i="2"/>
  <c r="N433" i="2" s="1"/>
  <c r="U432" i="2"/>
  <c r="M432" i="2"/>
  <c r="U431" i="2"/>
  <c r="O431" i="2"/>
  <c r="R431" i="2" s="1"/>
  <c r="N431" i="2"/>
  <c r="M431" i="2"/>
  <c r="U430" i="2"/>
  <c r="M430" i="2"/>
  <c r="U429" i="2"/>
  <c r="N429" i="2"/>
  <c r="M429" i="2"/>
  <c r="U428" i="2"/>
  <c r="M428" i="2"/>
  <c r="U427" i="2"/>
  <c r="N427" i="2"/>
  <c r="O427" i="2" s="1"/>
  <c r="R427" i="2" s="1"/>
  <c r="M427" i="2"/>
  <c r="U426" i="2"/>
  <c r="M426" i="2"/>
  <c r="U425" i="2"/>
  <c r="M425" i="2"/>
  <c r="N425" i="2" s="1"/>
  <c r="O425" i="2" s="1"/>
  <c r="R425" i="2" s="1"/>
  <c r="U424" i="2"/>
  <c r="O424" i="2"/>
  <c r="R424" i="2" s="1"/>
  <c r="N424" i="2"/>
  <c r="M424" i="2"/>
  <c r="U423" i="2"/>
  <c r="M423" i="2"/>
  <c r="U422" i="2"/>
  <c r="M422" i="2"/>
  <c r="U421" i="2"/>
  <c r="M421" i="2"/>
  <c r="U420" i="2"/>
  <c r="M420" i="2"/>
  <c r="U419" i="2"/>
  <c r="M419" i="2"/>
  <c r="U418" i="2"/>
  <c r="M418" i="2"/>
  <c r="U417" i="2"/>
  <c r="O417" i="2"/>
  <c r="R417" i="2" s="1"/>
  <c r="M417" i="2"/>
  <c r="N417" i="2" s="1"/>
  <c r="U416" i="2"/>
  <c r="M416" i="2"/>
  <c r="N416" i="2" s="1"/>
  <c r="U415" i="2"/>
  <c r="M415" i="2"/>
  <c r="U414" i="2"/>
  <c r="N414" i="2"/>
  <c r="O414" i="2" s="1"/>
  <c r="R414" i="2" s="1"/>
  <c r="M414" i="2"/>
  <c r="U413" i="2"/>
  <c r="M413" i="2"/>
  <c r="N413" i="2" s="1"/>
  <c r="O413" i="2" s="1"/>
  <c r="R413" i="2" s="1"/>
  <c r="U412" i="2"/>
  <c r="M412" i="2"/>
  <c r="U411" i="2"/>
  <c r="M411" i="2"/>
  <c r="U410" i="2"/>
  <c r="O410" i="2"/>
  <c r="R410" i="2" s="1"/>
  <c r="M410" i="2"/>
  <c r="N410" i="2" s="1"/>
  <c r="U409" i="2"/>
  <c r="O409" i="2"/>
  <c r="R409" i="2" s="1"/>
  <c r="N409" i="2"/>
  <c r="M409" i="2"/>
  <c r="U408" i="2"/>
  <c r="M408" i="2"/>
  <c r="U407" i="2"/>
  <c r="O407" i="2"/>
  <c r="R407" i="2" s="1"/>
  <c r="N407" i="2"/>
  <c r="M407" i="2"/>
  <c r="U406" i="2"/>
  <c r="M406" i="2"/>
  <c r="U405" i="2"/>
  <c r="N405" i="2"/>
  <c r="M405" i="2"/>
  <c r="U404" i="2"/>
  <c r="M404" i="2"/>
  <c r="U403" i="2"/>
  <c r="M403" i="2"/>
  <c r="U402" i="2"/>
  <c r="O402" i="2"/>
  <c r="R402" i="2" s="1"/>
  <c r="M402" i="2"/>
  <c r="N402" i="2" s="1"/>
  <c r="U401" i="2"/>
  <c r="M401" i="2"/>
  <c r="N401" i="2" s="1"/>
  <c r="O401" i="2" s="1"/>
  <c r="R401" i="2" s="1"/>
  <c r="U400" i="2"/>
  <c r="M400" i="2"/>
  <c r="U399" i="2"/>
  <c r="M399" i="2"/>
  <c r="N399" i="2" s="1"/>
  <c r="O399" i="2" s="1"/>
  <c r="R399" i="2" s="1"/>
  <c r="U398" i="2"/>
  <c r="M398" i="2"/>
  <c r="N398" i="2" s="1"/>
  <c r="U397" i="2"/>
  <c r="M397" i="2"/>
  <c r="N397" i="2" s="1"/>
  <c r="O397" i="2" s="1"/>
  <c r="R397" i="2" s="1"/>
  <c r="U396" i="2"/>
  <c r="R396" i="2"/>
  <c r="O396" i="2"/>
  <c r="N396" i="2"/>
  <c r="M396" i="2"/>
  <c r="U395" i="2"/>
  <c r="M395" i="2"/>
  <c r="U394" i="2"/>
  <c r="M394" i="2"/>
  <c r="U393" i="2"/>
  <c r="M393" i="2"/>
  <c r="U392" i="2"/>
  <c r="M392" i="2"/>
  <c r="U391" i="2"/>
  <c r="N391" i="2"/>
  <c r="O391" i="2" s="1"/>
  <c r="R391" i="2" s="1"/>
  <c r="M391" i="2"/>
  <c r="U390" i="2"/>
  <c r="M390" i="2"/>
  <c r="U389" i="2"/>
  <c r="M389" i="2"/>
  <c r="U388" i="2"/>
  <c r="N388" i="2"/>
  <c r="O388" i="2" s="1"/>
  <c r="R388" i="2" s="1"/>
  <c r="M388" i="2"/>
  <c r="U387" i="2"/>
  <c r="M387" i="2"/>
  <c r="U386" i="2"/>
  <c r="M386" i="2"/>
  <c r="U385" i="2"/>
  <c r="M385" i="2"/>
  <c r="N385" i="2" s="1"/>
  <c r="U384" i="2"/>
  <c r="M384" i="2"/>
  <c r="N384" i="2" s="1"/>
  <c r="O384" i="2" s="1"/>
  <c r="R384" i="2" s="1"/>
  <c r="U383" i="2"/>
  <c r="M383" i="2"/>
  <c r="U382" i="2"/>
  <c r="O382" i="2"/>
  <c r="R382" i="2" s="1"/>
  <c r="N382" i="2"/>
  <c r="M382" i="2"/>
  <c r="U381" i="2"/>
  <c r="M381" i="2"/>
  <c r="N381" i="2" s="1"/>
  <c r="U380" i="2"/>
  <c r="M380" i="2"/>
  <c r="U379" i="2"/>
  <c r="N379" i="2"/>
  <c r="O379" i="2" s="1"/>
  <c r="R379" i="2" s="1"/>
  <c r="M379" i="2"/>
  <c r="U378" i="2"/>
  <c r="M378" i="2"/>
  <c r="U377" i="2"/>
  <c r="N377" i="2"/>
  <c r="M377" i="2"/>
  <c r="U376" i="2"/>
  <c r="N376" i="2"/>
  <c r="M376" i="2"/>
  <c r="U375" i="2"/>
  <c r="M375" i="2"/>
  <c r="N375" i="2" s="1"/>
  <c r="U374" i="2"/>
  <c r="N374" i="2"/>
  <c r="O374" i="2" s="1"/>
  <c r="R374" i="2" s="1"/>
  <c r="M374" i="2"/>
  <c r="U373" i="2"/>
  <c r="R373" i="2"/>
  <c r="O373" i="2"/>
  <c r="N373" i="2"/>
  <c r="M373" i="2"/>
  <c r="U372" i="2"/>
  <c r="R372" i="2"/>
  <c r="O372" i="2"/>
  <c r="M372" i="2"/>
  <c r="N372" i="2" s="1"/>
  <c r="U371" i="2"/>
  <c r="N371" i="2"/>
  <c r="O371" i="2" s="1"/>
  <c r="R371" i="2" s="1"/>
  <c r="M371" i="2"/>
  <c r="U370" i="2"/>
  <c r="M370" i="2"/>
  <c r="U369" i="2"/>
  <c r="M369" i="2"/>
  <c r="U368" i="2"/>
  <c r="M368" i="2"/>
  <c r="N368" i="2" s="1"/>
  <c r="O368" i="2" s="1"/>
  <c r="R368" i="2" s="1"/>
  <c r="U367" i="2"/>
  <c r="N367" i="2"/>
  <c r="O367" i="2" s="1"/>
  <c r="R367" i="2" s="1"/>
  <c r="M367" i="2"/>
  <c r="U366" i="2"/>
  <c r="M366" i="2"/>
  <c r="N366" i="2" s="1"/>
  <c r="O366" i="2" s="1"/>
  <c r="R366" i="2" s="1"/>
  <c r="U365" i="2"/>
  <c r="N365" i="2"/>
  <c r="M365" i="2"/>
  <c r="U364" i="2"/>
  <c r="O364" i="2"/>
  <c r="R364" i="2" s="1"/>
  <c r="M364" i="2"/>
  <c r="N364" i="2" s="1"/>
  <c r="U363" i="2"/>
  <c r="R363" i="2"/>
  <c r="O363" i="2"/>
  <c r="N363" i="2"/>
  <c r="M363" i="2"/>
  <c r="U362" i="2"/>
  <c r="M362" i="2"/>
  <c r="N362" i="2" s="1"/>
  <c r="U361" i="2"/>
  <c r="N361" i="2"/>
  <c r="O361" i="2" s="1"/>
  <c r="R361" i="2" s="1"/>
  <c r="M361" i="2"/>
  <c r="U360" i="2"/>
  <c r="M360" i="2"/>
  <c r="N360" i="2" s="1"/>
  <c r="O360" i="2" s="1"/>
  <c r="R360" i="2" s="1"/>
  <c r="U359" i="2"/>
  <c r="N359" i="2"/>
  <c r="O359" i="2" s="1"/>
  <c r="R359" i="2" s="1"/>
  <c r="M359" i="2"/>
  <c r="U358" i="2"/>
  <c r="N358" i="2"/>
  <c r="O358" i="2" s="1"/>
  <c r="R358" i="2" s="1"/>
  <c r="M358" i="2"/>
  <c r="U357" i="2"/>
  <c r="M357" i="2"/>
  <c r="N357" i="2" s="1"/>
  <c r="U356" i="2"/>
  <c r="M356" i="2"/>
  <c r="U355" i="2"/>
  <c r="R355" i="2"/>
  <c r="O355" i="2"/>
  <c r="N355" i="2"/>
  <c r="M355" i="2"/>
  <c r="U354" i="2"/>
  <c r="M354" i="2"/>
  <c r="U353" i="2"/>
  <c r="M353" i="2"/>
  <c r="U352" i="2"/>
  <c r="M352" i="2"/>
  <c r="U351" i="2"/>
  <c r="N351" i="2"/>
  <c r="M351" i="2"/>
  <c r="U350" i="2"/>
  <c r="M350" i="2"/>
  <c r="U349" i="2"/>
  <c r="R349" i="2"/>
  <c r="O349" i="2"/>
  <c r="N349" i="2"/>
  <c r="M349" i="2"/>
  <c r="U348" i="2"/>
  <c r="M348" i="2"/>
  <c r="N348" i="2" s="1"/>
  <c r="O348" i="2" s="1"/>
  <c r="R348" i="2" s="1"/>
  <c r="U347" i="2"/>
  <c r="N347" i="2"/>
  <c r="O347" i="2" s="1"/>
  <c r="R347" i="2" s="1"/>
  <c r="M347" i="2"/>
  <c r="U346" i="2"/>
  <c r="M346" i="2"/>
  <c r="U345" i="2"/>
  <c r="N345" i="2"/>
  <c r="O345" i="2" s="1"/>
  <c r="R345" i="2" s="1"/>
  <c r="M345" i="2"/>
  <c r="U344" i="2"/>
  <c r="M344" i="2"/>
  <c r="N344" i="2" s="1"/>
  <c r="U343" i="2"/>
  <c r="R343" i="2"/>
  <c r="O343" i="2"/>
  <c r="M343" i="2"/>
  <c r="N343" i="2" s="1"/>
  <c r="U342" i="2"/>
  <c r="M342" i="2"/>
  <c r="U341" i="2"/>
  <c r="M341" i="2"/>
  <c r="U340" i="2"/>
  <c r="M340" i="2"/>
  <c r="U339" i="2"/>
  <c r="M339" i="2"/>
  <c r="U338" i="2"/>
  <c r="M338" i="2"/>
  <c r="U337" i="2"/>
  <c r="N337" i="2"/>
  <c r="O337" i="2" s="1"/>
  <c r="R337" i="2" s="1"/>
  <c r="M337" i="2"/>
  <c r="U336" i="2"/>
  <c r="M336" i="2"/>
  <c r="U335" i="2"/>
  <c r="N335" i="2"/>
  <c r="O335" i="2" s="1"/>
  <c r="R335" i="2" s="1"/>
  <c r="M335" i="2"/>
  <c r="U334" i="2"/>
  <c r="M334" i="2"/>
  <c r="U333" i="2"/>
  <c r="M333" i="2"/>
  <c r="N333" i="2" s="1"/>
  <c r="U332" i="2"/>
  <c r="R332" i="2"/>
  <c r="N332" i="2"/>
  <c r="O332" i="2" s="1"/>
  <c r="M332" i="2"/>
  <c r="U331" i="2"/>
  <c r="M331" i="2"/>
  <c r="N331" i="2" s="1"/>
  <c r="U330" i="2"/>
  <c r="O330" i="2"/>
  <c r="R330" i="2" s="1"/>
  <c r="N330" i="2"/>
  <c r="M330" i="2"/>
  <c r="U329" i="2"/>
  <c r="M329" i="2"/>
  <c r="N329" i="2" s="1"/>
  <c r="U328" i="2"/>
  <c r="M328" i="2"/>
  <c r="U327" i="2"/>
  <c r="M327" i="2"/>
  <c r="N327" i="2" s="1"/>
  <c r="U326" i="2"/>
  <c r="O326" i="2"/>
  <c r="R326" i="2" s="1"/>
  <c r="M326" i="2"/>
  <c r="N326" i="2" s="1"/>
  <c r="U325" i="2"/>
  <c r="M325" i="2"/>
  <c r="U324" i="2"/>
  <c r="M324" i="2"/>
  <c r="N324" i="2" s="1"/>
  <c r="U323" i="2"/>
  <c r="N323" i="2"/>
  <c r="O323" i="2" s="1"/>
  <c r="R323" i="2" s="1"/>
  <c r="M323" i="2"/>
  <c r="U322" i="2"/>
  <c r="M322" i="2"/>
  <c r="N322" i="2" s="1"/>
  <c r="U321" i="2"/>
  <c r="N321" i="2"/>
  <c r="O321" i="2" s="1"/>
  <c r="R321" i="2" s="1"/>
  <c r="M321" i="2"/>
  <c r="U320" i="2"/>
  <c r="N320" i="2"/>
  <c r="M320" i="2"/>
  <c r="U319" i="2"/>
  <c r="N319" i="2"/>
  <c r="O319" i="2" s="1"/>
  <c r="R319" i="2" s="1"/>
  <c r="M319" i="2"/>
  <c r="U318" i="2"/>
  <c r="M318" i="2"/>
  <c r="U317" i="2"/>
  <c r="M317" i="2"/>
  <c r="N317" i="2" s="1"/>
  <c r="O317" i="2" s="1"/>
  <c r="R317" i="2" s="1"/>
  <c r="U316" i="2"/>
  <c r="N316" i="2"/>
  <c r="O316" i="2" s="1"/>
  <c r="R316" i="2" s="1"/>
  <c r="M316" i="2"/>
  <c r="U315" i="2"/>
  <c r="N315" i="2"/>
  <c r="M315" i="2"/>
  <c r="U314" i="2"/>
  <c r="M314" i="2"/>
  <c r="U313" i="2"/>
  <c r="M313" i="2"/>
  <c r="U312" i="2"/>
  <c r="O312" i="2"/>
  <c r="R312" i="2" s="1"/>
  <c r="N312" i="2"/>
  <c r="M312" i="2"/>
  <c r="U311" i="2"/>
  <c r="N311" i="2"/>
  <c r="O311" i="2" s="1"/>
  <c r="R311" i="2" s="1"/>
  <c r="M311" i="2"/>
  <c r="U310" i="2"/>
  <c r="M310" i="2"/>
  <c r="U309" i="2"/>
  <c r="M309" i="2"/>
  <c r="U308" i="2"/>
  <c r="M308" i="2"/>
  <c r="N308" i="2" s="1"/>
  <c r="U307" i="2"/>
  <c r="N307" i="2"/>
  <c r="O307" i="2" s="1"/>
  <c r="R307" i="2" s="1"/>
  <c r="M307" i="2"/>
  <c r="U306" i="2"/>
  <c r="O306" i="2"/>
  <c r="R306" i="2" s="1"/>
  <c r="N306" i="2"/>
  <c r="M306" i="2"/>
  <c r="U305" i="2"/>
  <c r="M305" i="2"/>
  <c r="N305" i="2" s="1"/>
  <c r="U304" i="2"/>
  <c r="N304" i="2"/>
  <c r="O304" i="2" s="1"/>
  <c r="R304" i="2" s="1"/>
  <c r="M304" i="2"/>
  <c r="U303" i="2"/>
  <c r="O303" i="2"/>
  <c r="R303" i="2" s="1"/>
  <c r="M303" i="2"/>
  <c r="N303" i="2" s="1"/>
  <c r="U302" i="2"/>
  <c r="M302" i="2"/>
  <c r="N302" i="2" s="1"/>
  <c r="O302" i="2" s="1"/>
  <c r="R302" i="2" s="1"/>
  <c r="U301" i="2"/>
  <c r="N301" i="2"/>
  <c r="O301" i="2" s="1"/>
  <c r="R301" i="2" s="1"/>
  <c r="M301" i="2"/>
  <c r="U300" i="2"/>
  <c r="N300" i="2"/>
  <c r="O300" i="2" s="1"/>
  <c r="R300" i="2" s="1"/>
  <c r="M300" i="2"/>
  <c r="U299" i="2"/>
  <c r="N299" i="2"/>
  <c r="M299" i="2"/>
  <c r="U298" i="2"/>
  <c r="M298" i="2"/>
  <c r="U297" i="2"/>
  <c r="N297" i="2"/>
  <c r="M297" i="2"/>
  <c r="U296" i="2"/>
  <c r="M296" i="2"/>
  <c r="U295" i="2"/>
  <c r="M295" i="2"/>
  <c r="N295" i="2" s="1"/>
  <c r="U294" i="2"/>
  <c r="O294" i="2"/>
  <c r="R294" i="2" s="1"/>
  <c r="N294" i="2"/>
  <c r="M294" i="2"/>
  <c r="U293" i="2"/>
  <c r="M293" i="2"/>
  <c r="N293" i="2" s="1"/>
  <c r="U292" i="2"/>
  <c r="M292" i="2"/>
  <c r="U291" i="2"/>
  <c r="M291" i="2"/>
  <c r="N291" i="2" s="1"/>
  <c r="U290" i="2"/>
  <c r="N290" i="2"/>
  <c r="O290" i="2" s="1"/>
  <c r="R290" i="2" s="1"/>
  <c r="M290" i="2"/>
  <c r="U289" i="2"/>
  <c r="M289" i="2"/>
  <c r="U288" i="2"/>
  <c r="M288" i="2"/>
  <c r="U287" i="2"/>
  <c r="M287" i="2"/>
  <c r="U286" i="2"/>
  <c r="M286" i="2"/>
  <c r="U285" i="2"/>
  <c r="N285" i="2"/>
  <c r="M285" i="2"/>
  <c r="U284" i="2"/>
  <c r="N284" i="2"/>
  <c r="O284" i="2" s="1"/>
  <c r="R284" i="2" s="1"/>
  <c r="M284" i="2"/>
  <c r="U283" i="2"/>
  <c r="M283" i="2"/>
  <c r="U282" i="2"/>
  <c r="O282" i="2"/>
  <c r="R282" i="2" s="1"/>
  <c r="N282" i="2"/>
  <c r="M282" i="2"/>
  <c r="U281" i="2"/>
  <c r="M281" i="2"/>
  <c r="U280" i="2"/>
  <c r="M280" i="2"/>
  <c r="U279" i="2"/>
  <c r="M279" i="2"/>
  <c r="N279" i="2" s="1"/>
  <c r="U278" i="2"/>
  <c r="O278" i="2"/>
  <c r="R278" i="2" s="1"/>
  <c r="N278" i="2"/>
  <c r="M278" i="2"/>
  <c r="U277" i="2"/>
  <c r="N277" i="2"/>
  <c r="O277" i="2" s="1"/>
  <c r="R277" i="2" s="1"/>
  <c r="M277" i="2"/>
  <c r="U276" i="2"/>
  <c r="M276" i="2"/>
  <c r="N276" i="2" s="1"/>
  <c r="O276" i="2" s="1"/>
  <c r="R276" i="2" s="1"/>
  <c r="U275" i="2"/>
  <c r="M275" i="2"/>
  <c r="U274" i="2"/>
  <c r="O274" i="2"/>
  <c r="R274" i="2" s="1"/>
  <c r="N274" i="2"/>
  <c r="M274" i="2"/>
  <c r="U273" i="2"/>
  <c r="M273" i="2"/>
  <c r="N273" i="2" s="1"/>
  <c r="U272" i="2"/>
  <c r="M272" i="2"/>
  <c r="U271" i="2"/>
  <c r="M271" i="2"/>
  <c r="N271" i="2" s="1"/>
  <c r="U270" i="2"/>
  <c r="N270" i="2"/>
  <c r="O270" i="2" s="1"/>
  <c r="R270" i="2" s="1"/>
  <c r="M270" i="2"/>
  <c r="U269" i="2"/>
  <c r="N269" i="2"/>
  <c r="O269" i="2" s="1"/>
  <c r="R269" i="2" s="1"/>
  <c r="M269" i="2"/>
  <c r="U268" i="2"/>
  <c r="M268" i="2"/>
  <c r="U267" i="2"/>
  <c r="M267" i="2"/>
  <c r="N267" i="2" s="1"/>
  <c r="O267" i="2" s="1"/>
  <c r="R267" i="2" s="1"/>
  <c r="U266" i="2"/>
  <c r="N266" i="2"/>
  <c r="O266" i="2" s="1"/>
  <c r="R266" i="2" s="1"/>
  <c r="M266" i="2"/>
  <c r="U265" i="2"/>
  <c r="M265" i="2"/>
  <c r="U264" i="2"/>
  <c r="M264" i="2"/>
  <c r="U263" i="2"/>
  <c r="N263" i="2"/>
  <c r="O263" i="2" s="1"/>
  <c r="R263" i="2" s="1"/>
  <c r="M263" i="2"/>
  <c r="U262" i="2"/>
  <c r="M262" i="2"/>
  <c r="U261" i="2"/>
  <c r="M261" i="2"/>
  <c r="U260" i="2"/>
  <c r="M260" i="2"/>
  <c r="N260" i="2" s="1"/>
  <c r="U259" i="2"/>
  <c r="M259" i="2"/>
  <c r="N259" i="2" s="1"/>
  <c r="U258" i="2"/>
  <c r="O258" i="2"/>
  <c r="R258" i="2" s="1"/>
  <c r="N258" i="2"/>
  <c r="M258" i="2"/>
  <c r="U257" i="2"/>
  <c r="M257" i="2"/>
  <c r="N257" i="2" s="1"/>
  <c r="O257" i="2" s="1"/>
  <c r="R257" i="2" s="1"/>
  <c r="U256" i="2"/>
  <c r="N256" i="2"/>
  <c r="M256" i="2"/>
  <c r="U255" i="2"/>
  <c r="O255" i="2"/>
  <c r="R255" i="2" s="1"/>
  <c r="M255" i="2"/>
  <c r="N255" i="2" s="1"/>
  <c r="U254" i="2"/>
  <c r="M254" i="2"/>
  <c r="N254" i="2" s="1"/>
  <c r="U253" i="2"/>
  <c r="R253" i="2"/>
  <c r="O253" i="2"/>
  <c r="M253" i="2"/>
  <c r="N253" i="2" s="1"/>
  <c r="U252" i="2"/>
  <c r="M252" i="2"/>
  <c r="U251" i="2"/>
  <c r="N251" i="2"/>
  <c r="O251" i="2" s="1"/>
  <c r="R251" i="2" s="1"/>
  <c r="M251" i="2"/>
  <c r="U250" i="2"/>
  <c r="N250" i="2"/>
  <c r="M250" i="2"/>
  <c r="U249" i="2"/>
  <c r="R249" i="2"/>
  <c r="O249" i="2"/>
  <c r="M249" i="2"/>
  <c r="N249" i="2" s="1"/>
  <c r="U248" i="2"/>
  <c r="N248" i="2"/>
  <c r="O248" i="2" s="1"/>
  <c r="R248" i="2" s="1"/>
  <c r="M248" i="2"/>
  <c r="U247" i="2"/>
  <c r="M247" i="2"/>
  <c r="U246" i="2"/>
  <c r="M246" i="2"/>
  <c r="N246" i="2" s="1"/>
  <c r="U245" i="2"/>
  <c r="N245" i="2"/>
  <c r="M245" i="2"/>
  <c r="U244" i="2"/>
  <c r="M244" i="2"/>
  <c r="U243" i="2"/>
  <c r="N243" i="2"/>
  <c r="O243" i="2" s="1"/>
  <c r="R243" i="2" s="1"/>
  <c r="M243" i="2"/>
  <c r="U242" i="2"/>
  <c r="M242" i="2"/>
  <c r="N242" i="2" s="1"/>
  <c r="U241" i="2"/>
  <c r="O241" i="2"/>
  <c r="R241" i="2" s="1"/>
  <c r="N241" i="2"/>
  <c r="M241" i="2"/>
  <c r="U240" i="2"/>
  <c r="M240" i="2"/>
  <c r="U239" i="2"/>
  <c r="M239" i="2"/>
  <c r="N239" i="2" s="1"/>
  <c r="U238" i="2"/>
  <c r="N238" i="2"/>
  <c r="O238" i="2" s="1"/>
  <c r="R238" i="2" s="1"/>
  <c r="M238" i="2"/>
  <c r="U237" i="2"/>
  <c r="O237" i="2"/>
  <c r="R237" i="2" s="1"/>
  <c r="M237" i="2"/>
  <c r="N237" i="2" s="1"/>
  <c r="U236" i="2"/>
  <c r="M236" i="2"/>
  <c r="U235" i="2"/>
  <c r="M235" i="2"/>
  <c r="U234" i="2"/>
  <c r="N234" i="2"/>
  <c r="O234" i="2" s="1"/>
  <c r="R234" i="2" s="1"/>
  <c r="M234" i="2"/>
  <c r="U233" i="2"/>
  <c r="N233" i="2"/>
  <c r="O233" i="2" s="1"/>
  <c r="R233" i="2" s="1"/>
  <c r="M233" i="2"/>
  <c r="U232" i="2"/>
  <c r="M232" i="2"/>
  <c r="U231" i="2"/>
  <c r="N231" i="2"/>
  <c r="O231" i="2" s="1"/>
  <c r="R231" i="2" s="1"/>
  <c r="M231" i="2"/>
  <c r="U230" i="2"/>
  <c r="O230" i="2"/>
  <c r="R230" i="2" s="1"/>
  <c r="N230" i="2"/>
  <c r="M230" i="2"/>
  <c r="U229" i="2"/>
  <c r="M229" i="2"/>
  <c r="U228" i="2"/>
  <c r="M228" i="2"/>
  <c r="N228" i="2" s="1"/>
  <c r="U227" i="2"/>
  <c r="M227" i="2"/>
  <c r="U226" i="2"/>
  <c r="M226" i="2"/>
  <c r="U225" i="2"/>
  <c r="O225" i="2"/>
  <c r="R225" i="2" s="1"/>
  <c r="N225" i="2"/>
  <c r="M225" i="2"/>
  <c r="U224" i="2"/>
  <c r="M224" i="2"/>
  <c r="U223" i="2"/>
  <c r="M223" i="2"/>
  <c r="U222" i="2"/>
  <c r="M222" i="2"/>
  <c r="U221" i="2"/>
  <c r="O221" i="2"/>
  <c r="R221" i="2" s="1"/>
  <c r="N221" i="2"/>
  <c r="M221" i="2"/>
  <c r="U220" i="2"/>
  <c r="M220" i="2"/>
  <c r="U219" i="2"/>
  <c r="M219" i="2"/>
  <c r="U218" i="2"/>
  <c r="N218" i="2"/>
  <c r="M218" i="2"/>
  <c r="U217" i="2"/>
  <c r="N217" i="2"/>
  <c r="O217" i="2" s="1"/>
  <c r="R217" i="2" s="1"/>
  <c r="M217" i="2"/>
  <c r="U216" i="2"/>
  <c r="M216" i="2"/>
  <c r="N216" i="2" s="1"/>
  <c r="O216" i="2" s="1"/>
  <c r="R216" i="2" s="1"/>
  <c r="U215" i="2"/>
  <c r="M215" i="2"/>
  <c r="U214" i="2"/>
  <c r="M214" i="2"/>
  <c r="U213" i="2"/>
  <c r="O213" i="2"/>
  <c r="R213" i="2" s="1"/>
  <c r="M213" i="2"/>
  <c r="N213" i="2" s="1"/>
  <c r="U212" i="2"/>
  <c r="N212" i="2"/>
  <c r="O212" i="2" s="1"/>
  <c r="R212" i="2" s="1"/>
  <c r="M212" i="2"/>
  <c r="U211" i="2"/>
  <c r="N211" i="2"/>
  <c r="O211" i="2" s="1"/>
  <c r="R211" i="2" s="1"/>
  <c r="M211" i="2"/>
  <c r="U210" i="2"/>
  <c r="M210" i="2"/>
  <c r="U209" i="2"/>
  <c r="M209" i="2"/>
  <c r="N209" i="2" s="1"/>
  <c r="O209" i="2" s="1"/>
  <c r="R209" i="2" s="1"/>
  <c r="U208" i="2"/>
  <c r="M208" i="2"/>
  <c r="N208" i="2" s="1"/>
  <c r="U207" i="2"/>
  <c r="R207" i="2"/>
  <c r="N207" i="2"/>
  <c r="O207" i="2" s="1"/>
  <c r="M207" i="2"/>
  <c r="U206" i="2"/>
  <c r="M206" i="2"/>
  <c r="U205" i="2"/>
  <c r="N205" i="2"/>
  <c r="O205" i="2" s="1"/>
  <c r="R205" i="2" s="1"/>
  <c r="M205" i="2"/>
  <c r="U204" i="2"/>
  <c r="M204" i="2"/>
  <c r="U203" i="2"/>
  <c r="M203" i="2"/>
  <c r="U202" i="2"/>
  <c r="M202" i="2"/>
  <c r="N202" i="2" s="1"/>
  <c r="U201" i="2"/>
  <c r="M201" i="2"/>
  <c r="N201" i="2" s="1"/>
  <c r="U200" i="2"/>
  <c r="M200" i="2"/>
  <c r="U199" i="2"/>
  <c r="M199" i="2"/>
  <c r="U198" i="2"/>
  <c r="M198" i="2"/>
  <c r="N198" i="2" s="1"/>
  <c r="U197" i="2"/>
  <c r="M197" i="2"/>
  <c r="U196" i="2"/>
  <c r="O196" i="2"/>
  <c r="R196" i="2" s="1"/>
  <c r="N196" i="2"/>
  <c r="M196" i="2"/>
  <c r="U195" i="2"/>
  <c r="M195" i="2"/>
  <c r="U194" i="2"/>
  <c r="N194" i="2"/>
  <c r="O194" i="2" s="1"/>
  <c r="R194" i="2" s="1"/>
  <c r="M194" i="2"/>
  <c r="U193" i="2"/>
  <c r="M193" i="2"/>
  <c r="U192" i="2"/>
  <c r="N192" i="2"/>
  <c r="O192" i="2" s="1"/>
  <c r="R192" i="2" s="1"/>
  <c r="M192" i="2"/>
  <c r="U191" i="2"/>
  <c r="N191" i="2"/>
  <c r="O191" i="2" s="1"/>
  <c r="R191" i="2" s="1"/>
  <c r="M191" i="2"/>
  <c r="U190" i="2"/>
  <c r="M190" i="2"/>
  <c r="U189" i="2"/>
  <c r="M189" i="2"/>
  <c r="N189" i="2" s="1"/>
  <c r="U188" i="2"/>
  <c r="N188" i="2"/>
  <c r="O188" i="2" s="1"/>
  <c r="R188" i="2" s="1"/>
  <c r="M188" i="2"/>
  <c r="U187" i="2"/>
  <c r="M187" i="2"/>
  <c r="U186" i="2"/>
  <c r="M186" i="2"/>
  <c r="U185" i="2"/>
  <c r="M185" i="2"/>
  <c r="N185" i="2" s="1"/>
  <c r="U184" i="2"/>
  <c r="N184" i="2"/>
  <c r="O184" i="2" s="1"/>
  <c r="R184" i="2" s="1"/>
  <c r="M184" i="2"/>
  <c r="U183" i="2"/>
  <c r="M183" i="2"/>
  <c r="U182" i="2"/>
  <c r="M182" i="2"/>
  <c r="N182" i="2" s="1"/>
  <c r="U181" i="2"/>
  <c r="M181" i="2"/>
  <c r="U180" i="2"/>
  <c r="N180" i="2"/>
  <c r="O180" i="2" s="1"/>
  <c r="R180" i="2" s="1"/>
  <c r="M180" i="2"/>
  <c r="U179" i="2"/>
  <c r="M179" i="2"/>
  <c r="N179" i="2" s="1"/>
  <c r="U178" i="2"/>
  <c r="M178" i="2"/>
  <c r="U177" i="2"/>
  <c r="M177" i="2"/>
  <c r="U176" i="2"/>
  <c r="O176" i="2"/>
  <c r="R176" i="2" s="1"/>
  <c r="N176" i="2"/>
  <c r="M176" i="2"/>
  <c r="U175" i="2"/>
  <c r="M175" i="2"/>
  <c r="N175" i="2" s="1"/>
  <c r="U174" i="2"/>
  <c r="M174" i="2"/>
  <c r="N174" i="2" s="1"/>
  <c r="U173" i="2"/>
  <c r="M173" i="2"/>
  <c r="N173" i="2" s="1"/>
  <c r="U172" i="2"/>
  <c r="M172" i="2"/>
  <c r="U171" i="2"/>
  <c r="M171" i="2"/>
  <c r="U170" i="2"/>
  <c r="M170" i="2"/>
  <c r="U169" i="2"/>
  <c r="M169" i="2"/>
  <c r="U168" i="2"/>
  <c r="M168" i="2"/>
  <c r="U167" i="2"/>
  <c r="M167" i="2"/>
  <c r="U166" i="2"/>
  <c r="M166" i="2"/>
  <c r="N166" i="2" s="1"/>
  <c r="O166" i="2" s="1"/>
  <c r="R166" i="2" s="1"/>
  <c r="U165" i="2"/>
  <c r="M165" i="2"/>
  <c r="N165" i="2" s="1"/>
  <c r="U164" i="2"/>
  <c r="M164" i="2"/>
  <c r="U163" i="2"/>
  <c r="M163" i="2"/>
  <c r="U162" i="2"/>
  <c r="M162" i="2"/>
  <c r="N162" i="2" s="1"/>
  <c r="U161" i="2"/>
  <c r="O161" i="2"/>
  <c r="R161" i="2" s="1"/>
  <c r="N161" i="2"/>
  <c r="M161" i="2"/>
  <c r="U160" i="2"/>
  <c r="M160" i="2"/>
  <c r="U159" i="2"/>
  <c r="M159" i="2"/>
  <c r="U158" i="2"/>
  <c r="N158" i="2"/>
  <c r="O158" i="2" s="1"/>
  <c r="R158" i="2" s="1"/>
  <c r="M158" i="2"/>
  <c r="U157" i="2"/>
  <c r="N157" i="2"/>
  <c r="M157" i="2"/>
  <c r="U156" i="2"/>
  <c r="M156" i="2"/>
  <c r="N156" i="2" s="1"/>
  <c r="U155" i="2"/>
  <c r="M155" i="2"/>
  <c r="U154" i="2"/>
  <c r="M154" i="2"/>
  <c r="U153" i="2"/>
  <c r="N153" i="2"/>
  <c r="O153" i="2" s="1"/>
  <c r="R153" i="2" s="1"/>
  <c r="M153" i="2"/>
  <c r="U152" i="2"/>
  <c r="M152" i="2"/>
  <c r="U151" i="2"/>
  <c r="M151" i="2"/>
  <c r="N151" i="2" s="1"/>
  <c r="U150" i="2"/>
  <c r="N150" i="2"/>
  <c r="O150" i="2" s="1"/>
  <c r="R150" i="2" s="1"/>
  <c r="M150" i="2"/>
  <c r="U149" i="2"/>
  <c r="M149" i="2"/>
  <c r="U148" i="2"/>
  <c r="M148" i="2"/>
  <c r="U147" i="2"/>
  <c r="M147" i="2"/>
  <c r="U146" i="2"/>
  <c r="O146" i="2"/>
  <c r="R146" i="2" s="1"/>
  <c r="M146" i="2"/>
  <c r="N146" i="2" s="1"/>
  <c r="U145" i="2"/>
  <c r="M145" i="2"/>
  <c r="U144" i="2"/>
  <c r="N144" i="2"/>
  <c r="M144" i="2"/>
  <c r="U143" i="2"/>
  <c r="O143" i="2"/>
  <c r="R143" i="2" s="1"/>
  <c r="N143" i="2"/>
  <c r="M143" i="2"/>
  <c r="U142" i="2"/>
  <c r="M142" i="2"/>
  <c r="U141" i="2"/>
  <c r="M141" i="2"/>
  <c r="U140" i="2"/>
  <c r="N140" i="2"/>
  <c r="O140" i="2" s="1"/>
  <c r="R140" i="2" s="1"/>
  <c r="M140" i="2"/>
  <c r="U139" i="2"/>
  <c r="N139" i="2"/>
  <c r="O139" i="2" s="1"/>
  <c r="R139" i="2" s="1"/>
  <c r="M139" i="2"/>
  <c r="U138" i="2"/>
  <c r="N138" i="2"/>
  <c r="O138" i="2" s="1"/>
  <c r="R138" i="2" s="1"/>
  <c r="M138" i="2"/>
  <c r="U137" i="2"/>
  <c r="M137" i="2"/>
  <c r="N137" i="2" s="1"/>
  <c r="O137" i="2" s="1"/>
  <c r="R137" i="2" s="1"/>
  <c r="U136" i="2"/>
  <c r="M136" i="2"/>
  <c r="U135" i="2"/>
  <c r="N135" i="2"/>
  <c r="O135" i="2" s="1"/>
  <c r="R135" i="2" s="1"/>
  <c r="M135" i="2"/>
  <c r="U134" i="2"/>
  <c r="N134" i="2"/>
  <c r="O134" i="2" s="1"/>
  <c r="R134" i="2" s="1"/>
  <c r="M134" i="2"/>
  <c r="U133" i="2"/>
  <c r="M133" i="2"/>
  <c r="N133" i="2" s="1"/>
  <c r="O133" i="2" s="1"/>
  <c r="R133" i="2" s="1"/>
  <c r="U132" i="2"/>
  <c r="M132" i="2"/>
  <c r="U131" i="2"/>
  <c r="N131" i="2"/>
  <c r="M131" i="2"/>
  <c r="U130" i="2"/>
  <c r="M130" i="2"/>
  <c r="N130" i="2" s="1"/>
  <c r="O130" i="2" s="1"/>
  <c r="R130" i="2" s="1"/>
  <c r="U129" i="2"/>
  <c r="O129" i="2"/>
  <c r="R129" i="2" s="1"/>
  <c r="M129" i="2"/>
  <c r="N129" i="2" s="1"/>
  <c r="U128" i="2"/>
  <c r="M128" i="2"/>
  <c r="U127" i="2"/>
  <c r="N127" i="2"/>
  <c r="O127" i="2" s="1"/>
  <c r="R127" i="2" s="1"/>
  <c r="M127" i="2"/>
  <c r="U126" i="2"/>
  <c r="M126" i="2"/>
  <c r="N126" i="2" s="1"/>
  <c r="O126" i="2" s="1"/>
  <c r="R126" i="2" s="1"/>
  <c r="U125" i="2"/>
  <c r="M125" i="2"/>
  <c r="U124" i="2"/>
  <c r="M124" i="2"/>
  <c r="N124" i="2" s="1"/>
  <c r="U123" i="2"/>
  <c r="N123" i="2"/>
  <c r="M123" i="2"/>
  <c r="U122" i="2"/>
  <c r="N122" i="2"/>
  <c r="O122" i="2" s="1"/>
  <c r="R122" i="2" s="1"/>
  <c r="M122" i="2"/>
  <c r="U121" i="2"/>
  <c r="N121" i="2"/>
  <c r="O121" i="2" s="1"/>
  <c r="R121" i="2" s="1"/>
  <c r="M121" i="2"/>
  <c r="U120" i="2"/>
  <c r="M120" i="2"/>
  <c r="N120" i="2" s="1"/>
  <c r="U119" i="2"/>
  <c r="M119" i="2"/>
  <c r="U118" i="2"/>
  <c r="M118" i="2"/>
  <c r="U117" i="2"/>
  <c r="M117" i="2"/>
  <c r="N117" i="2" s="1"/>
  <c r="O117" i="2" s="1"/>
  <c r="R117" i="2" s="1"/>
  <c r="U116" i="2"/>
  <c r="N116" i="2"/>
  <c r="M116" i="2"/>
  <c r="U115" i="2"/>
  <c r="M115" i="2"/>
  <c r="U114" i="2"/>
  <c r="N114" i="2"/>
  <c r="M114" i="2"/>
  <c r="U113" i="2"/>
  <c r="M113" i="2"/>
  <c r="U112" i="2"/>
  <c r="N112" i="2"/>
  <c r="O112" i="2" s="1"/>
  <c r="R112" i="2" s="1"/>
  <c r="M112" i="2"/>
  <c r="U111" i="2"/>
  <c r="M111" i="2"/>
  <c r="N111" i="2" s="1"/>
  <c r="U110" i="2"/>
  <c r="N110" i="2"/>
  <c r="O110" i="2" s="1"/>
  <c r="R110" i="2" s="1"/>
  <c r="M110" i="2"/>
  <c r="U109" i="2"/>
  <c r="O109" i="2"/>
  <c r="R109" i="2" s="1"/>
  <c r="N109" i="2"/>
  <c r="M109" i="2"/>
  <c r="U108" i="2"/>
  <c r="O108" i="2"/>
  <c r="R108" i="2" s="1"/>
  <c r="N108" i="2"/>
  <c r="M108" i="2"/>
  <c r="U107" i="2"/>
  <c r="N107" i="2"/>
  <c r="O107" i="2" s="1"/>
  <c r="R107" i="2" s="1"/>
  <c r="M107" i="2"/>
  <c r="U106" i="2"/>
  <c r="O106" i="2"/>
  <c r="R106" i="2" s="1"/>
  <c r="N106" i="2"/>
  <c r="M106" i="2"/>
  <c r="U105" i="2"/>
  <c r="M105" i="2"/>
  <c r="N105" i="2" s="1"/>
  <c r="U104" i="2"/>
  <c r="N104" i="2"/>
  <c r="O104" i="2" s="1"/>
  <c r="R104" i="2" s="1"/>
  <c r="M104" i="2"/>
  <c r="U103" i="2"/>
  <c r="M103" i="2"/>
  <c r="N103" i="2" s="1"/>
  <c r="O103" i="2" s="1"/>
  <c r="R103" i="2" s="1"/>
  <c r="U102" i="2"/>
  <c r="O102" i="2"/>
  <c r="R102" i="2" s="1"/>
  <c r="N102" i="2"/>
  <c r="M102" i="2"/>
  <c r="U101" i="2"/>
  <c r="M101" i="2"/>
  <c r="N101" i="2" s="1"/>
  <c r="U100" i="2"/>
  <c r="N100" i="2"/>
  <c r="M100" i="2"/>
  <c r="U99" i="2"/>
  <c r="M99" i="2"/>
  <c r="N99" i="2" s="1"/>
  <c r="O99" i="2" s="1"/>
  <c r="R99" i="2" s="1"/>
  <c r="U98" i="2"/>
  <c r="N98" i="2"/>
  <c r="O98" i="2" s="1"/>
  <c r="R98" i="2" s="1"/>
  <c r="M98" i="2"/>
  <c r="U97" i="2"/>
  <c r="M97" i="2"/>
  <c r="N97" i="2" s="1"/>
  <c r="U96" i="2"/>
  <c r="N96" i="2"/>
  <c r="O96" i="2" s="1"/>
  <c r="R96" i="2" s="1"/>
  <c r="M96" i="2"/>
  <c r="U95" i="2"/>
  <c r="M95" i="2"/>
  <c r="N95" i="2" s="1"/>
  <c r="U94" i="2"/>
  <c r="M94" i="2"/>
  <c r="U93" i="2"/>
  <c r="M93" i="2"/>
  <c r="N93" i="2" s="1"/>
  <c r="U92" i="2"/>
  <c r="M92" i="2"/>
  <c r="U91" i="2"/>
  <c r="N91" i="2"/>
  <c r="M91" i="2"/>
  <c r="U90" i="2"/>
  <c r="M90" i="2"/>
  <c r="U89" i="2"/>
  <c r="O89" i="2"/>
  <c r="R89" i="2" s="1"/>
  <c r="N89" i="2"/>
  <c r="M89" i="2"/>
  <c r="U88" i="2"/>
  <c r="O88" i="2"/>
  <c r="R88" i="2" s="1"/>
  <c r="N88" i="2"/>
  <c r="M88" i="2"/>
  <c r="U87" i="2"/>
  <c r="M87" i="2"/>
  <c r="U86" i="2"/>
  <c r="N86" i="2"/>
  <c r="O86" i="2" s="1"/>
  <c r="R86" i="2" s="1"/>
  <c r="M86" i="2"/>
  <c r="U85" i="2"/>
  <c r="N85" i="2"/>
  <c r="O85" i="2" s="1"/>
  <c r="R85" i="2" s="1"/>
  <c r="M85" i="2"/>
  <c r="U84" i="2"/>
  <c r="M84" i="2"/>
  <c r="N84" i="2" s="1"/>
  <c r="U83" i="2"/>
  <c r="N83" i="2"/>
  <c r="O83" i="2" s="1"/>
  <c r="R83" i="2" s="1"/>
  <c r="M83" i="2"/>
  <c r="U82" i="2"/>
  <c r="M82" i="2"/>
  <c r="N82" i="2" s="1"/>
  <c r="U81" i="2"/>
  <c r="N81" i="2"/>
  <c r="O81" i="2" s="1"/>
  <c r="R81" i="2" s="1"/>
  <c r="M81" i="2"/>
  <c r="U80" i="2"/>
  <c r="N80" i="2"/>
  <c r="O80" i="2" s="1"/>
  <c r="R80" i="2" s="1"/>
  <c r="M80" i="2"/>
  <c r="U79" i="2"/>
  <c r="M79" i="2"/>
  <c r="N79" i="2" s="1"/>
  <c r="U78" i="2"/>
  <c r="M78" i="2"/>
  <c r="U77" i="2"/>
  <c r="O77" i="2"/>
  <c r="R77" i="2" s="1"/>
  <c r="N77" i="2"/>
  <c r="M77" i="2"/>
  <c r="U76" i="2"/>
  <c r="M76" i="2"/>
  <c r="N76" i="2" s="1"/>
  <c r="O76" i="2" s="1"/>
  <c r="R76" i="2" s="1"/>
  <c r="U75" i="2"/>
  <c r="M75" i="2"/>
  <c r="N75" i="2" s="1"/>
  <c r="U74" i="2"/>
  <c r="M74" i="2"/>
  <c r="U73" i="2"/>
  <c r="N73" i="2"/>
  <c r="O73" i="2" s="1"/>
  <c r="R73" i="2" s="1"/>
  <c r="M73" i="2"/>
  <c r="U72" i="2"/>
  <c r="R72" i="2"/>
  <c r="M72" i="2"/>
  <c r="N72" i="2" s="1"/>
  <c r="O72" i="2" s="1"/>
  <c r="U71" i="2"/>
  <c r="M71" i="2"/>
  <c r="U70" i="2"/>
  <c r="M70" i="2"/>
  <c r="U69" i="2"/>
  <c r="N69" i="2"/>
  <c r="O69" i="2" s="1"/>
  <c r="R69" i="2" s="1"/>
  <c r="M69" i="2"/>
  <c r="U68" i="2"/>
  <c r="N68" i="2"/>
  <c r="O68" i="2" s="1"/>
  <c r="R68" i="2" s="1"/>
  <c r="M68" i="2"/>
  <c r="U67" i="2"/>
  <c r="R67" i="2"/>
  <c r="N67" i="2"/>
  <c r="O67" i="2" s="1"/>
  <c r="M67" i="2"/>
  <c r="U66" i="2"/>
  <c r="M66" i="2"/>
  <c r="U65" i="2"/>
  <c r="O65" i="2"/>
  <c r="R65" i="2" s="1"/>
  <c r="N65" i="2"/>
  <c r="M65" i="2"/>
  <c r="U64" i="2"/>
  <c r="M64" i="2"/>
  <c r="U63" i="2"/>
  <c r="M63" i="2"/>
  <c r="U62" i="2"/>
  <c r="M62" i="2"/>
  <c r="U61" i="2"/>
  <c r="N61" i="2"/>
  <c r="O61" i="2" s="1"/>
  <c r="R61" i="2" s="1"/>
  <c r="M61" i="2"/>
  <c r="U60" i="2"/>
  <c r="M60" i="2"/>
  <c r="N60" i="2" s="1"/>
  <c r="U59" i="2"/>
  <c r="M59" i="2"/>
  <c r="N59" i="2" s="1"/>
  <c r="U58" i="2"/>
  <c r="M58" i="2"/>
  <c r="U57" i="2"/>
  <c r="M57" i="2"/>
  <c r="N57" i="2" s="1"/>
  <c r="U56" i="2"/>
  <c r="M56" i="2"/>
  <c r="U55" i="2"/>
  <c r="M55" i="2"/>
  <c r="N55" i="2" s="1"/>
  <c r="O55" i="2" s="1"/>
  <c r="R55" i="2" s="1"/>
  <c r="U54" i="2"/>
  <c r="M54" i="2"/>
  <c r="N54" i="2" s="1"/>
  <c r="O54" i="2" s="1"/>
  <c r="R54" i="2" s="1"/>
  <c r="U53" i="2"/>
  <c r="N53" i="2"/>
  <c r="O53" i="2" s="1"/>
  <c r="R53" i="2" s="1"/>
  <c r="M53" i="2"/>
  <c r="U52" i="2"/>
  <c r="M52" i="2"/>
  <c r="U51" i="2"/>
  <c r="M51" i="2"/>
  <c r="U50" i="2"/>
  <c r="R50" i="2"/>
  <c r="O50" i="2"/>
  <c r="N50" i="2"/>
  <c r="M50" i="2"/>
  <c r="U49" i="2"/>
  <c r="M49" i="2"/>
  <c r="U48" i="2"/>
  <c r="M48" i="2"/>
  <c r="U47" i="2"/>
  <c r="M47" i="2"/>
  <c r="N47" i="2" s="1"/>
  <c r="U46" i="2"/>
  <c r="M46" i="2"/>
  <c r="N46" i="2" s="1"/>
  <c r="U45" i="2"/>
  <c r="M45" i="2"/>
  <c r="N45" i="2" s="1"/>
  <c r="O45" i="2" s="1"/>
  <c r="R45" i="2" s="1"/>
  <c r="U44" i="2"/>
  <c r="M44" i="2"/>
  <c r="U43" i="2"/>
  <c r="M43" i="2"/>
  <c r="N43" i="2" s="1"/>
  <c r="U42" i="2"/>
  <c r="O42" i="2"/>
  <c r="R42" i="2" s="1"/>
  <c r="N42" i="2"/>
  <c r="M42" i="2"/>
  <c r="U41" i="2"/>
  <c r="N41" i="2"/>
  <c r="M41" i="2"/>
  <c r="U40" i="2"/>
  <c r="M40" i="2"/>
  <c r="N40" i="2" s="1"/>
  <c r="U39" i="2"/>
  <c r="M39" i="2"/>
  <c r="U38" i="2"/>
  <c r="M38" i="2"/>
  <c r="N38" i="2" s="1"/>
  <c r="U37" i="2"/>
  <c r="M37" i="2"/>
  <c r="N37" i="2" s="1"/>
  <c r="U36" i="2"/>
  <c r="R36" i="2"/>
  <c r="O36" i="2"/>
  <c r="N36" i="2"/>
  <c r="M36" i="2"/>
  <c r="U35" i="2"/>
  <c r="M35" i="2"/>
  <c r="U34" i="2"/>
  <c r="M34" i="2"/>
  <c r="U33" i="2"/>
  <c r="M33" i="2"/>
  <c r="U32" i="2"/>
  <c r="N32" i="2"/>
  <c r="O32" i="2" s="1"/>
  <c r="R32" i="2" s="1"/>
  <c r="M32" i="2"/>
  <c r="U31" i="2"/>
  <c r="M31" i="2"/>
  <c r="U30" i="2"/>
  <c r="N30" i="2"/>
  <c r="O30" i="2" s="1"/>
  <c r="R30" i="2" s="1"/>
  <c r="M30" i="2"/>
  <c r="U29" i="2"/>
  <c r="M29" i="2"/>
  <c r="N29" i="2" s="1"/>
  <c r="O29" i="2" s="1"/>
  <c r="R29" i="2" s="1"/>
  <c r="U28" i="2"/>
  <c r="N28" i="2"/>
  <c r="M28" i="2"/>
  <c r="U27" i="2"/>
  <c r="N27" i="2"/>
  <c r="O27" i="2" s="1"/>
  <c r="R27" i="2" s="1"/>
  <c r="M27" i="2"/>
  <c r="U26" i="2"/>
  <c r="O26" i="2"/>
  <c r="R26" i="2" s="1"/>
  <c r="M26" i="2"/>
  <c r="N26" i="2" s="1"/>
  <c r="U25" i="2"/>
  <c r="M25" i="2"/>
  <c r="N25" i="2" s="1"/>
  <c r="U24" i="2"/>
  <c r="O24" i="2"/>
  <c r="R24" i="2" s="1"/>
  <c r="N24" i="2"/>
  <c r="M24" i="2"/>
  <c r="U23" i="2"/>
  <c r="M23" i="2"/>
  <c r="U22" i="2"/>
  <c r="M22" i="2"/>
  <c r="U21" i="2"/>
  <c r="M21" i="2"/>
  <c r="N21" i="2" s="1"/>
  <c r="U20" i="2"/>
  <c r="M20" i="2"/>
  <c r="N20" i="2" s="1"/>
  <c r="U19" i="2"/>
  <c r="M19" i="2"/>
  <c r="U18" i="2"/>
  <c r="M18" i="2"/>
  <c r="U17" i="2"/>
  <c r="M17" i="2"/>
  <c r="U16" i="2"/>
  <c r="M16" i="2"/>
  <c r="N16" i="2" s="1"/>
  <c r="O16" i="2" s="1"/>
  <c r="R16" i="2" s="1"/>
  <c r="U15" i="2"/>
  <c r="M15" i="2"/>
  <c r="U14" i="2"/>
  <c r="N14" i="2"/>
  <c r="O14" i="2" s="1"/>
  <c r="R14" i="2" s="1"/>
  <c r="M14" i="2"/>
  <c r="U13" i="2"/>
  <c r="M13" i="2"/>
  <c r="U12" i="2"/>
  <c r="M12" i="2"/>
  <c r="N12" i="2" s="1"/>
  <c r="U11" i="2"/>
  <c r="R11" i="2"/>
  <c r="O11" i="2"/>
  <c r="N11" i="2"/>
  <c r="M11" i="2"/>
  <c r="U10" i="2"/>
  <c r="N10" i="2"/>
  <c r="M10" i="2"/>
  <c r="U9" i="2"/>
  <c r="M9" i="2"/>
  <c r="U8" i="2"/>
  <c r="M8" i="2"/>
  <c r="N8" i="2" s="1"/>
  <c r="U7" i="2"/>
  <c r="N7" i="2"/>
  <c r="O7" i="2" s="1"/>
  <c r="R7" i="2" s="1"/>
  <c r="M7" i="2"/>
  <c r="U6" i="2"/>
  <c r="N6" i="2"/>
  <c r="O6" i="2" s="1"/>
  <c r="R6" i="2" s="1"/>
  <c r="M6" i="2"/>
  <c r="U5" i="2"/>
  <c r="M5" i="2"/>
  <c r="U4" i="2"/>
  <c r="M4" i="2"/>
  <c r="U3" i="2"/>
  <c r="O3" i="2"/>
  <c r="R3" i="2" s="1"/>
  <c r="M3" i="2"/>
  <c r="N3" i="2" s="1"/>
  <c r="U2" i="2"/>
  <c r="M2" i="2"/>
  <c r="N2" i="2" s="1"/>
  <c r="O2" i="2" s="1"/>
  <c r="R2" i="2" s="1"/>
  <c r="T1500" i="1"/>
  <c r="R1500" i="1"/>
  <c r="Q1500" i="1"/>
  <c r="T1499" i="1"/>
  <c r="Q1499" i="1"/>
  <c r="T1498" i="1"/>
  <c r="Q1498" i="1"/>
  <c r="T1497" i="1"/>
  <c r="Q1497" i="1"/>
  <c r="T1496" i="1"/>
  <c r="Q1496" i="1"/>
  <c r="T1495" i="1"/>
  <c r="Q1495" i="1"/>
  <c r="T1494" i="1"/>
  <c r="Q1494" i="1"/>
  <c r="T1493" i="1"/>
  <c r="Q1493" i="1"/>
  <c r="T1492" i="1"/>
  <c r="Q1492" i="1"/>
  <c r="T1491" i="1"/>
  <c r="Q1491" i="1"/>
  <c r="T1490" i="1"/>
  <c r="Q1490" i="1"/>
  <c r="T1489" i="1"/>
  <c r="Q1489" i="1"/>
  <c r="T1488" i="1"/>
  <c r="Q1488" i="1"/>
  <c r="T1487" i="1"/>
  <c r="Q1487" i="1"/>
  <c r="T1486" i="1"/>
  <c r="Q1486" i="1"/>
  <c r="T1485" i="1"/>
  <c r="Q1485" i="1"/>
  <c r="T1484" i="1"/>
  <c r="Q1484" i="1"/>
  <c r="T1483" i="1"/>
  <c r="Q1483" i="1"/>
  <c r="T1482" i="1"/>
  <c r="Q1482" i="1"/>
  <c r="T1481" i="1"/>
  <c r="Q1481" i="1"/>
  <c r="T1480" i="1"/>
  <c r="Q1480" i="1"/>
  <c r="T1479" i="1"/>
  <c r="Q1479" i="1"/>
  <c r="T1478" i="1"/>
  <c r="Q1478" i="1"/>
  <c r="T1477" i="1"/>
  <c r="Q1477" i="1"/>
  <c r="T1476" i="1"/>
  <c r="Q1476" i="1"/>
  <c r="T1475" i="1"/>
  <c r="Q1475" i="1"/>
  <c r="T1474" i="1"/>
  <c r="Q1474" i="1"/>
  <c r="T1473" i="1"/>
  <c r="Q1473" i="1"/>
  <c r="T1472" i="1"/>
  <c r="Q1472" i="1"/>
  <c r="T1471" i="1"/>
  <c r="Q1471" i="1"/>
  <c r="T1470" i="1"/>
  <c r="Q1470" i="1"/>
  <c r="T1469" i="1"/>
  <c r="Q1469" i="1"/>
  <c r="T1468" i="1"/>
  <c r="Q1468" i="1"/>
  <c r="T1467" i="1"/>
  <c r="Q1467" i="1"/>
  <c r="T1466" i="1"/>
  <c r="Q1466" i="1"/>
  <c r="T1465" i="1"/>
  <c r="Q1465" i="1"/>
  <c r="T1464" i="1"/>
  <c r="Q1464" i="1"/>
  <c r="T1463" i="1"/>
  <c r="Q1463" i="1"/>
  <c r="T1462" i="1"/>
  <c r="Q1462" i="1"/>
  <c r="T1461" i="1"/>
  <c r="Q1461" i="1"/>
  <c r="T1460" i="1"/>
  <c r="Q1460" i="1"/>
  <c r="T1459" i="1"/>
  <c r="Q1459" i="1"/>
  <c r="T1458" i="1"/>
  <c r="Q1458" i="1"/>
  <c r="T1457" i="1"/>
  <c r="Q1457" i="1"/>
  <c r="T1456" i="1"/>
  <c r="Q1456" i="1"/>
  <c r="T1455" i="1"/>
  <c r="Q1455" i="1"/>
  <c r="T1454" i="1"/>
  <c r="Q1454" i="1"/>
  <c r="T1453" i="1"/>
  <c r="Q1453" i="1"/>
  <c r="T1452" i="1"/>
  <c r="Q1452" i="1"/>
  <c r="T1451" i="1"/>
  <c r="Q1451" i="1"/>
  <c r="T1450" i="1"/>
  <c r="Q1450" i="1"/>
  <c r="T1449" i="1"/>
  <c r="Q1449" i="1"/>
  <c r="T1448" i="1"/>
  <c r="Q1448" i="1"/>
  <c r="T1447" i="1"/>
  <c r="Q1447" i="1"/>
  <c r="T1446" i="1"/>
  <c r="Q1446" i="1"/>
  <c r="T1445" i="1"/>
  <c r="Q1445" i="1"/>
  <c r="T1444" i="1"/>
  <c r="Q1444" i="1"/>
  <c r="T1443" i="1"/>
  <c r="Q1443" i="1"/>
  <c r="T1442" i="1"/>
  <c r="Q1442" i="1"/>
  <c r="T1441" i="1"/>
  <c r="Q1441" i="1"/>
  <c r="T1440" i="1"/>
  <c r="Q1440" i="1"/>
  <c r="T1439" i="1"/>
  <c r="Q1439" i="1"/>
  <c r="T1438" i="1"/>
  <c r="Q1438" i="1"/>
  <c r="T1437" i="1"/>
  <c r="Q1437" i="1"/>
  <c r="T1436" i="1"/>
  <c r="Q1436" i="1"/>
  <c r="T1435" i="1"/>
  <c r="Q1435" i="1"/>
  <c r="T1434" i="1"/>
  <c r="Q1434" i="1"/>
  <c r="T1433" i="1"/>
  <c r="Q1433" i="1"/>
  <c r="T1432" i="1"/>
  <c r="Q1432" i="1"/>
  <c r="T1431" i="1"/>
  <c r="Q1431" i="1"/>
  <c r="T1430" i="1"/>
  <c r="Q1430" i="1"/>
  <c r="T1429" i="1"/>
  <c r="Q1429" i="1"/>
  <c r="T1428" i="1"/>
  <c r="Q1428" i="1"/>
  <c r="T1427" i="1"/>
  <c r="Q1427" i="1"/>
  <c r="T1426" i="1"/>
  <c r="Q1426" i="1"/>
  <c r="T1425" i="1"/>
  <c r="Q1425" i="1"/>
  <c r="T1424" i="1"/>
  <c r="Q1424" i="1"/>
  <c r="T1423" i="1"/>
  <c r="Q1423" i="1"/>
  <c r="T1422" i="1"/>
  <c r="Q1422" i="1"/>
  <c r="T1421" i="1"/>
  <c r="Q1421" i="1"/>
  <c r="T1420" i="1"/>
  <c r="Q1420" i="1"/>
  <c r="T1419" i="1"/>
  <c r="Q1419" i="1"/>
  <c r="T1418" i="1"/>
  <c r="Q1418" i="1"/>
  <c r="T1417" i="1"/>
  <c r="Q1417" i="1"/>
  <c r="T1416" i="1"/>
  <c r="Q1416" i="1"/>
  <c r="T1415" i="1"/>
  <c r="Q1415" i="1"/>
  <c r="T1414" i="1"/>
  <c r="Q1414" i="1"/>
  <c r="T1413" i="1"/>
  <c r="Q1413" i="1"/>
  <c r="T1412" i="1"/>
  <c r="Q1412" i="1"/>
  <c r="T1411" i="1"/>
  <c r="Q1411" i="1"/>
  <c r="T1410" i="1"/>
  <c r="Q1410" i="1"/>
  <c r="T1409" i="1"/>
  <c r="Q1409" i="1"/>
  <c r="T1408" i="1"/>
  <c r="Q1408" i="1"/>
  <c r="T1407" i="1"/>
  <c r="Q1407" i="1"/>
  <c r="T1406" i="1"/>
  <c r="Q1406" i="1"/>
  <c r="T1405" i="1"/>
  <c r="Q1405" i="1"/>
  <c r="T1404" i="1"/>
  <c r="Q1404" i="1"/>
  <c r="T1403" i="1"/>
  <c r="Q1403" i="1"/>
  <c r="T1402" i="1"/>
  <c r="Q1402" i="1"/>
  <c r="T1401" i="1"/>
  <c r="Q1401" i="1"/>
  <c r="T1400" i="1"/>
  <c r="Q1400" i="1"/>
  <c r="T1399" i="1"/>
  <c r="Q1399" i="1"/>
  <c r="T1398" i="1"/>
  <c r="Q1398" i="1"/>
  <c r="T1397" i="1"/>
  <c r="Q1397" i="1"/>
  <c r="T1396" i="1"/>
  <c r="Q1396" i="1"/>
  <c r="T1395" i="1"/>
  <c r="Q1395" i="1"/>
  <c r="T1394" i="1"/>
  <c r="Q1394" i="1"/>
  <c r="T1393" i="1"/>
  <c r="Q1393" i="1"/>
  <c r="T1392" i="1"/>
  <c r="Q1392" i="1"/>
  <c r="T1391" i="1"/>
  <c r="Q1391" i="1"/>
  <c r="T1390" i="1"/>
  <c r="Q1390" i="1"/>
  <c r="T1389" i="1"/>
  <c r="Q1389" i="1"/>
  <c r="T1388" i="1"/>
  <c r="Q1388" i="1"/>
  <c r="T1387" i="1"/>
  <c r="Q1387" i="1"/>
  <c r="T1386" i="1"/>
  <c r="Q1386" i="1"/>
  <c r="T1385" i="1"/>
  <c r="Q1385" i="1"/>
  <c r="T1384" i="1"/>
  <c r="Q1384" i="1"/>
  <c r="T1383" i="1"/>
  <c r="Q1383" i="1"/>
  <c r="T1382" i="1"/>
  <c r="Q1382" i="1"/>
  <c r="T1381" i="1"/>
  <c r="Q1381" i="1"/>
  <c r="T1380" i="1"/>
  <c r="Q1380" i="1"/>
  <c r="T1379" i="1"/>
  <c r="Q1379" i="1"/>
  <c r="T1378" i="1"/>
  <c r="Q1378" i="1"/>
  <c r="T1377" i="1"/>
  <c r="Q1377" i="1"/>
  <c r="T1376" i="1"/>
  <c r="Q1376" i="1"/>
  <c r="T1375" i="1"/>
  <c r="Q1375" i="1"/>
  <c r="T1374" i="1"/>
  <c r="Q1374" i="1"/>
  <c r="T1373" i="1"/>
  <c r="Q1373" i="1"/>
  <c r="T1372" i="1"/>
  <c r="Q1372" i="1"/>
  <c r="T1371" i="1"/>
  <c r="Q1371" i="1"/>
  <c r="T1370" i="1"/>
  <c r="Q1370" i="1"/>
  <c r="T1369" i="1"/>
  <c r="Q1369" i="1"/>
  <c r="T1368" i="1"/>
  <c r="Q1368" i="1"/>
  <c r="T1367" i="1"/>
  <c r="Q1367" i="1"/>
  <c r="T1366" i="1"/>
  <c r="Q1366" i="1"/>
  <c r="T1365" i="1"/>
  <c r="Q1365" i="1"/>
  <c r="T1364" i="1"/>
  <c r="Q1364" i="1"/>
  <c r="T1363" i="1"/>
  <c r="Q1363" i="1"/>
  <c r="T1362" i="1"/>
  <c r="Q1362" i="1"/>
  <c r="T1361" i="1"/>
  <c r="Q1361" i="1"/>
  <c r="T1360" i="1"/>
  <c r="Q1360" i="1"/>
  <c r="T1359" i="1"/>
  <c r="Q1359" i="1"/>
  <c r="T1358" i="1"/>
  <c r="Q1358" i="1"/>
  <c r="T1357" i="1"/>
  <c r="Q1357" i="1"/>
  <c r="T1356" i="1"/>
  <c r="Q1356" i="1"/>
  <c r="T1355" i="1"/>
  <c r="Q1355" i="1"/>
  <c r="T1354" i="1"/>
  <c r="Q1354" i="1"/>
  <c r="T1353" i="1"/>
  <c r="Q1353" i="1"/>
  <c r="T1352" i="1"/>
  <c r="Q1352" i="1"/>
  <c r="T1351" i="1"/>
  <c r="Q1351" i="1"/>
  <c r="T1350" i="1"/>
  <c r="Q1350" i="1"/>
  <c r="T1349" i="1"/>
  <c r="Q1349" i="1"/>
  <c r="T1348" i="1"/>
  <c r="Q1348" i="1"/>
  <c r="T1347" i="1"/>
  <c r="Q1347" i="1"/>
  <c r="T1346" i="1"/>
  <c r="Q1346" i="1"/>
  <c r="T1345" i="1"/>
  <c r="Q1345" i="1"/>
  <c r="T1344" i="1"/>
  <c r="Q1344" i="1"/>
  <c r="T1343" i="1"/>
  <c r="Q1343" i="1"/>
  <c r="T1342" i="1"/>
  <c r="Q1342" i="1"/>
  <c r="T1341" i="1"/>
  <c r="Q1341" i="1"/>
  <c r="T1340" i="1"/>
  <c r="Q1340" i="1"/>
  <c r="T1339" i="1"/>
  <c r="Q1339" i="1"/>
  <c r="T1338" i="1"/>
  <c r="Q1338" i="1"/>
  <c r="T1337" i="1"/>
  <c r="Q1337" i="1"/>
  <c r="T1336" i="1"/>
  <c r="Q1336" i="1"/>
  <c r="T1335" i="1"/>
  <c r="Q1335" i="1"/>
  <c r="T1334" i="1"/>
  <c r="Q1334" i="1"/>
  <c r="T1333" i="1"/>
  <c r="Q1333" i="1"/>
  <c r="T1332" i="1"/>
  <c r="Q1332" i="1"/>
  <c r="T1331" i="1"/>
  <c r="Q1331" i="1"/>
  <c r="T1330" i="1"/>
  <c r="Q1330" i="1"/>
  <c r="T1329" i="1"/>
  <c r="Q1329" i="1"/>
  <c r="T1328" i="1"/>
  <c r="Q1328" i="1"/>
  <c r="T1327" i="1"/>
  <c r="Q1327" i="1"/>
  <c r="T1326" i="1"/>
  <c r="Q1326" i="1"/>
  <c r="T1325" i="1"/>
  <c r="Q1325" i="1"/>
  <c r="T1324" i="1"/>
  <c r="Q1324" i="1"/>
  <c r="T1323" i="1"/>
  <c r="Q1323" i="1"/>
  <c r="T1322" i="1"/>
  <c r="Q1322" i="1"/>
  <c r="T1321" i="1"/>
  <c r="Q1321" i="1"/>
  <c r="T1320" i="1"/>
  <c r="Q1320" i="1"/>
  <c r="T1319" i="1"/>
  <c r="Q1319" i="1"/>
  <c r="T1318" i="1"/>
  <c r="Q1318" i="1"/>
  <c r="T1317" i="1"/>
  <c r="Q1317" i="1"/>
  <c r="T1316" i="1"/>
  <c r="Q1316" i="1"/>
  <c r="T1315" i="1"/>
  <c r="Q1315" i="1"/>
  <c r="T1314" i="1"/>
  <c r="Q1314" i="1"/>
  <c r="T1313" i="1"/>
  <c r="Q1313" i="1"/>
  <c r="T1312" i="1"/>
  <c r="Q1312" i="1"/>
  <c r="T1311" i="1"/>
  <c r="Q1311" i="1"/>
  <c r="T1310" i="1"/>
  <c r="Q1310" i="1"/>
  <c r="T1309" i="1"/>
  <c r="Q1309" i="1"/>
  <c r="T1308" i="1"/>
  <c r="Q1308" i="1"/>
  <c r="T1307" i="1"/>
  <c r="Q1307" i="1"/>
  <c r="T1306" i="1"/>
  <c r="Q1306" i="1"/>
  <c r="T1305" i="1"/>
  <c r="Q1305" i="1"/>
  <c r="T1304" i="1"/>
  <c r="Q1304" i="1"/>
  <c r="T1303" i="1"/>
  <c r="Q1303" i="1"/>
  <c r="T1302" i="1"/>
  <c r="Q1302" i="1"/>
  <c r="T1301" i="1"/>
  <c r="Q1301" i="1"/>
  <c r="T1300" i="1"/>
  <c r="Q1300" i="1"/>
  <c r="T1299" i="1"/>
  <c r="Q1299" i="1"/>
  <c r="T1298" i="1"/>
  <c r="Q1298" i="1"/>
  <c r="T1297" i="1"/>
  <c r="Q1297" i="1"/>
  <c r="T1296" i="1"/>
  <c r="Q1296" i="1"/>
  <c r="T1295" i="1"/>
  <c r="Q1295" i="1"/>
  <c r="T1294" i="1"/>
  <c r="Q1294" i="1"/>
  <c r="T1293" i="1"/>
  <c r="Q1293" i="1"/>
  <c r="T1292" i="1"/>
  <c r="Q1292" i="1"/>
  <c r="T1291" i="1"/>
  <c r="Q1291" i="1"/>
  <c r="T1290" i="1"/>
  <c r="Q1290" i="1"/>
  <c r="T1289" i="1"/>
  <c r="Q1289" i="1"/>
  <c r="T1288" i="1"/>
  <c r="Q1288" i="1"/>
  <c r="T1287" i="1"/>
  <c r="Q1287" i="1"/>
  <c r="T1286" i="1"/>
  <c r="Q1286" i="1"/>
  <c r="T1285" i="1"/>
  <c r="Q1285" i="1"/>
  <c r="T1284" i="1"/>
  <c r="Q1284" i="1"/>
  <c r="T1283" i="1"/>
  <c r="Q1283" i="1"/>
  <c r="T1282" i="1"/>
  <c r="Q1282" i="1"/>
  <c r="T1281" i="1"/>
  <c r="Q1281" i="1"/>
  <c r="T1280" i="1"/>
  <c r="Q1280" i="1"/>
  <c r="T1279" i="1"/>
  <c r="Q1279" i="1"/>
  <c r="T1278" i="1"/>
  <c r="Q1278" i="1"/>
  <c r="T1277" i="1"/>
  <c r="Q1277" i="1"/>
  <c r="T1276" i="1"/>
  <c r="Q1276" i="1"/>
  <c r="T1275" i="1"/>
  <c r="Q1275" i="1"/>
  <c r="T1274" i="1"/>
  <c r="Q1274" i="1"/>
  <c r="T1273" i="1"/>
  <c r="Q1273" i="1"/>
  <c r="T1272" i="1"/>
  <c r="Q1272" i="1"/>
  <c r="T1271" i="1"/>
  <c r="Q1271" i="1"/>
  <c r="T1270" i="1"/>
  <c r="Q1270" i="1"/>
  <c r="T1269" i="1"/>
  <c r="Q1269" i="1"/>
  <c r="T1268" i="1"/>
  <c r="Q1268" i="1"/>
  <c r="T1267" i="1"/>
  <c r="Q1267" i="1"/>
  <c r="T1266" i="1"/>
  <c r="Q1266" i="1"/>
  <c r="T1265" i="1"/>
  <c r="Q1265" i="1"/>
  <c r="T1264" i="1"/>
  <c r="Q1264" i="1"/>
  <c r="T1263" i="1"/>
  <c r="Q1263" i="1"/>
  <c r="T1262" i="1"/>
  <c r="Q1262" i="1"/>
  <c r="T1261" i="1"/>
  <c r="Q1261" i="1"/>
  <c r="T1260" i="1"/>
  <c r="Q1260" i="1"/>
  <c r="T1259" i="1"/>
  <c r="Q1259" i="1"/>
  <c r="T1258" i="1"/>
  <c r="Q1258" i="1"/>
  <c r="T1257" i="1"/>
  <c r="Q1257" i="1"/>
  <c r="T1256" i="1"/>
  <c r="Q1256" i="1"/>
  <c r="T1255" i="1"/>
  <c r="Q1255" i="1"/>
  <c r="T1254" i="1"/>
  <c r="Q1254" i="1"/>
  <c r="T1253" i="1"/>
  <c r="Q1253" i="1"/>
  <c r="T1252" i="1"/>
  <c r="Q1252" i="1"/>
  <c r="T1251" i="1"/>
  <c r="Q1251" i="1"/>
  <c r="T1250" i="1"/>
  <c r="Q1250" i="1"/>
  <c r="T1249" i="1"/>
  <c r="Q1249" i="1"/>
  <c r="T1248" i="1"/>
  <c r="Q1248" i="1"/>
  <c r="T1247" i="1"/>
  <c r="Q1247" i="1"/>
  <c r="T1246" i="1"/>
  <c r="Q1246" i="1"/>
  <c r="T1245" i="1"/>
  <c r="Q1245" i="1"/>
  <c r="T1244" i="1"/>
  <c r="Q1244" i="1"/>
  <c r="T1243" i="1"/>
  <c r="Q1243" i="1"/>
  <c r="T1242" i="1"/>
  <c r="Q1242" i="1"/>
  <c r="T1241" i="1"/>
  <c r="Q1241" i="1"/>
  <c r="T1240" i="1"/>
  <c r="Q1240" i="1"/>
  <c r="T1239" i="1"/>
  <c r="Q1239" i="1"/>
  <c r="T1238" i="1"/>
  <c r="Q1238" i="1"/>
  <c r="T1237" i="1"/>
  <c r="Q1237" i="1"/>
  <c r="T1236" i="1"/>
  <c r="Q1236" i="1"/>
  <c r="T1235" i="1"/>
  <c r="Q1235" i="1"/>
  <c r="T1234" i="1"/>
  <c r="Q1234" i="1"/>
  <c r="T1233" i="1"/>
  <c r="Q1233" i="1"/>
  <c r="T1232" i="1"/>
  <c r="Q1232" i="1"/>
  <c r="T1231" i="1"/>
  <c r="Q1231" i="1"/>
  <c r="T1230" i="1"/>
  <c r="Q1230" i="1"/>
  <c r="T1229" i="1"/>
  <c r="Q1229" i="1"/>
  <c r="T1228" i="1"/>
  <c r="Q1228" i="1"/>
  <c r="T1227" i="1"/>
  <c r="Q1227" i="1"/>
  <c r="T1226" i="1"/>
  <c r="Q1226" i="1"/>
  <c r="T1225" i="1"/>
  <c r="Q1225" i="1"/>
  <c r="T1224" i="1"/>
  <c r="Q1224" i="1"/>
  <c r="T1223" i="1"/>
  <c r="Q1223" i="1"/>
  <c r="T1222" i="1"/>
  <c r="R1222" i="1"/>
  <c r="Q1222" i="1"/>
  <c r="T1221" i="1"/>
  <c r="Q1221" i="1"/>
  <c r="T1220" i="1"/>
  <c r="Q1220" i="1"/>
  <c r="T1219" i="1"/>
  <c r="Q1219" i="1"/>
  <c r="T1218" i="1"/>
  <c r="Q1218" i="1"/>
  <c r="T1217" i="1"/>
  <c r="Q1217" i="1"/>
  <c r="T1216" i="1"/>
  <c r="Q1216" i="1"/>
  <c r="T1215" i="1"/>
  <c r="Q1215" i="1"/>
  <c r="T1214" i="1"/>
  <c r="Q1214" i="1"/>
  <c r="T1213" i="1"/>
  <c r="Q1213" i="1"/>
  <c r="T1212" i="1"/>
  <c r="Q1212" i="1"/>
  <c r="T1211" i="1"/>
  <c r="Q1211" i="1"/>
  <c r="T1210" i="1"/>
  <c r="Q1210" i="1"/>
  <c r="T1209" i="1"/>
  <c r="Q1209" i="1"/>
  <c r="T1208" i="1"/>
  <c r="Q1208" i="1"/>
  <c r="T1207" i="1"/>
  <c r="Q1207" i="1"/>
  <c r="T1206" i="1"/>
  <c r="Q1206" i="1"/>
  <c r="T1205" i="1"/>
  <c r="Q1205" i="1"/>
  <c r="T1204" i="1"/>
  <c r="Q1204" i="1"/>
  <c r="T1203" i="1"/>
  <c r="Q1203" i="1"/>
  <c r="T1202" i="1"/>
  <c r="Q1202" i="1"/>
  <c r="T1201" i="1"/>
  <c r="Q1201" i="1"/>
  <c r="T1200" i="1"/>
  <c r="Q1200" i="1"/>
  <c r="T1199" i="1"/>
  <c r="Q1199" i="1"/>
  <c r="T1198" i="1"/>
  <c r="Q1198" i="1"/>
  <c r="T1197" i="1"/>
  <c r="Q1197" i="1"/>
  <c r="T1196" i="1"/>
  <c r="Q1196" i="1"/>
  <c r="T1195" i="1"/>
  <c r="Q1195" i="1"/>
  <c r="T1194" i="1"/>
  <c r="Q1194" i="1"/>
  <c r="T1193" i="1"/>
  <c r="Q1193" i="1"/>
  <c r="T1192" i="1"/>
  <c r="Q1192" i="1"/>
  <c r="T1191" i="1"/>
  <c r="Q1191" i="1"/>
  <c r="T1190" i="1"/>
  <c r="Q1190" i="1"/>
  <c r="T1189" i="1"/>
  <c r="Q1189" i="1"/>
  <c r="T1188" i="1"/>
  <c r="Q1188" i="1"/>
  <c r="T1187" i="1"/>
  <c r="Q1187" i="1"/>
  <c r="T1186" i="1"/>
  <c r="Q1186" i="1"/>
  <c r="T1185" i="1"/>
  <c r="Q1185" i="1"/>
  <c r="T1184" i="1"/>
  <c r="Q1184" i="1"/>
  <c r="T1183" i="1"/>
  <c r="Q1183" i="1"/>
  <c r="T1182" i="1"/>
  <c r="Q1182" i="1"/>
  <c r="T1181" i="1"/>
  <c r="Q1181" i="1"/>
  <c r="T1180" i="1"/>
  <c r="Q1180" i="1"/>
  <c r="T1179" i="1"/>
  <c r="Q1179" i="1"/>
  <c r="T1178" i="1"/>
  <c r="Q1178" i="1"/>
  <c r="T1177" i="1"/>
  <c r="Q1177" i="1"/>
  <c r="T1176" i="1"/>
  <c r="Q1176" i="1"/>
  <c r="T1175" i="1"/>
  <c r="Q1175" i="1"/>
  <c r="T1174" i="1"/>
  <c r="Q1174" i="1"/>
  <c r="T1173" i="1"/>
  <c r="Q1173" i="1"/>
  <c r="T1172" i="1"/>
  <c r="Q1172" i="1"/>
  <c r="T1171" i="1"/>
  <c r="Q1171" i="1"/>
  <c r="T1170" i="1"/>
  <c r="Q1170" i="1"/>
  <c r="T1169" i="1"/>
  <c r="Q1169" i="1"/>
  <c r="T1168" i="1"/>
  <c r="Q1168" i="1"/>
  <c r="T1167" i="1"/>
  <c r="Q1167" i="1"/>
  <c r="T1166" i="1"/>
  <c r="Q1166" i="1"/>
  <c r="T1165" i="1"/>
  <c r="Q1165" i="1"/>
  <c r="T1164" i="1"/>
  <c r="Q1164" i="1"/>
  <c r="T1163" i="1"/>
  <c r="Q1163" i="1"/>
  <c r="T1162" i="1"/>
  <c r="Q1162" i="1"/>
  <c r="T1161" i="1"/>
  <c r="Q1161" i="1"/>
  <c r="T1160" i="1"/>
  <c r="Q1160" i="1"/>
  <c r="T1159" i="1"/>
  <c r="Q1159" i="1"/>
  <c r="T1158" i="1"/>
  <c r="Q1158" i="1"/>
  <c r="T1157" i="1"/>
  <c r="Q1157" i="1"/>
  <c r="T1156" i="1"/>
  <c r="Q1156" i="1"/>
  <c r="T1155" i="1"/>
  <c r="Q1155" i="1"/>
  <c r="T1154" i="1"/>
  <c r="Q1154" i="1"/>
  <c r="T1153" i="1"/>
  <c r="Q1153" i="1"/>
  <c r="T1152" i="1"/>
  <c r="Q1152" i="1"/>
  <c r="T1151" i="1"/>
  <c r="Q1151" i="1"/>
  <c r="T1150" i="1"/>
  <c r="Q1150" i="1"/>
  <c r="T1149" i="1"/>
  <c r="Q1149" i="1"/>
  <c r="T1148" i="1"/>
  <c r="Q1148" i="1"/>
  <c r="T1147" i="1"/>
  <c r="Q1147" i="1"/>
  <c r="T1146" i="1"/>
  <c r="Q1146" i="1"/>
  <c r="T1145" i="1"/>
  <c r="Q1145" i="1"/>
  <c r="T1144" i="1"/>
  <c r="Q1144" i="1"/>
  <c r="T1143" i="1"/>
  <c r="Q1143" i="1"/>
  <c r="T1142" i="1"/>
  <c r="Q1142" i="1"/>
  <c r="T1141" i="1"/>
  <c r="Q1141" i="1"/>
  <c r="T1140" i="1"/>
  <c r="Q1140" i="1"/>
  <c r="T1139" i="1"/>
  <c r="Q1139" i="1"/>
  <c r="T1138" i="1"/>
  <c r="Q1138" i="1"/>
  <c r="T1137" i="1"/>
  <c r="Q1137" i="1"/>
  <c r="T1136" i="1"/>
  <c r="Q1136" i="1"/>
  <c r="T1135" i="1"/>
  <c r="Q1135" i="1"/>
  <c r="T1134" i="1"/>
  <c r="Q1134" i="1"/>
  <c r="T1133" i="1"/>
  <c r="Q1133" i="1"/>
  <c r="T1132" i="1"/>
  <c r="Q1132" i="1"/>
  <c r="T1131" i="1"/>
  <c r="Q1131" i="1"/>
  <c r="T1130" i="1"/>
  <c r="Q1130" i="1"/>
  <c r="T1129" i="1"/>
  <c r="Q1129" i="1"/>
  <c r="T1128" i="1"/>
  <c r="Q1128" i="1"/>
  <c r="T1127" i="1"/>
  <c r="Q1127" i="1"/>
  <c r="T1126" i="1"/>
  <c r="Q1126" i="1"/>
  <c r="T1125" i="1"/>
  <c r="Q1125" i="1"/>
  <c r="T1124" i="1"/>
  <c r="Q1124" i="1"/>
  <c r="T1123" i="1"/>
  <c r="Q1123" i="1"/>
  <c r="T1122" i="1"/>
  <c r="Q1122" i="1"/>
  <c r="T1121" i="1"/>
  <c r="Q1121" i="1"/>
  <c r="T1120" i="1"/>
  <c r="Q1120" i="1"/>
  <c r="T1119" i="1"/>
  <c r="Q1119" i="1"/>
  <c r="T1118" i="1"/>
  <c r="Q1118" i="1"/>
  <c r="T1117" i="1"/>
  <c r="Q1117" i="1"/>
  <c r="T1116" i="1"/>
  <c r="Q1116" i="1"/>
  <c r="T1115" i="1"/>
  <c r="Q1115" i="1"/>
  <c r="T1114" i="1"/>
  <c r="Q1114" i="1"/>
  <c r="T1113" i="1"/>
  <c r="Q1113" i="1"/>
  <c r="T1112" i="1"/>
  <c r="Q1112" i="1"/>
  <c r="T1111" i="1"/>
  <c r="Q1111" i="1"/>
  <c r="T1110" i="1"/>
  <c r="Q1110" i="1"/>
  <c r="T1109" i="1"/>
  <c r="Q1109" i="1"/>
  <c r="T1108" i="1"/>
  <c r="Q1108" i="1"/>
  <c r="T1107" i="1"/>
  <c r="Q1107" i="1"/>
  <c r="T1106" i="1"/>
  <c r="Q1106" i="1"/>
  <c r="T1105" i="1"/>
  <c r="Q1105" i="1"/>
  <c r="T1104" i="1"/>
  <c r="Q1104" i="1"/>
  <c r="T1103" i="1"/>
  <c r="Q1103" i="1"/>
  <c r="T1102" i="1"/>
  <c r="Q1102" i="1"/>
  <c r="T1101" i="1"/>
  <c r="Q1101" i="1"/>
  <c r="T1100" i="1"/>
  <c r="Q1100" i="1"/>
  <c r="T1099" i="1"/>
  <c r="Q1099" i="1"/>
  <c r="T1098" i="1"/>
  <c r="Q1098" i="1"/>
  <c r="T1097" i="1"/>
  <c r="Q1097" i="1"/>
  <c r="T1096" i="1"/>
  <c r="Q1096" i="1"/>
  <c r="T1095" i="1"/>
  <c r="Q1095" i="1"/>
  <c r="T1094" i="1"/>
  <c r="Q1094" i="1"/>
  <c r="T1093" i="1"/>
  <c r="Q1093" i="1"/>
  <c r="T1092" i="1"/>
  <c r="Q1092" i="1"/>
  <c r="T1091" i="1"/>
  <c r="Q1091" i="1"/>
  <c r="T1090" i="1"/>
  <c r="Q1090" i="1"/>
  <c r="T1089" i="1"/>
  <c r="Q1089" i="1"/>
  <c r="T1088" i="1"/>
  <c r="Q1088" i="1"/>
  <c r="T1087" i="1"/>
  <c r="Q1087" i="1"/>
  <c r="T1086" i="1"/>
  <c r="Q1086" i="1"/>
  <c r="T1085" i="1"/>
  <c r="Q1085" i="1"/>
  <c r="T1084" i="1"/>
  <c r="Q1084" i="1"/>
  <c r="T1083" i="1"/>
  <c r="Q1083" i="1"/>
  <c r="T1082" i="1"/>
  <c r="Q1082" i="1"/>
  <c r="T1081" i="1"/>
  <c r="Q1081" i="1"/>
  <c r="T1080" i="1"/>
  <c r="Q1080" i="1"/>
  <c r="T1079" i="1"/>
  <c r="Q1079" i="1"/>
  <c r="T1078" i="1"/>
  <c r="Q1078" i="1"/>
  <c r="T1077" i="1"/>
  <c r="Q1077" i="1"/>
  <c r="T1076" i="1"/>
  <c r="Q1076" i="1"/>
  <c r="T1075" i="1"/>
  <c r="Q1075" i="1"/>
  <c r="T1074" i="1"/>
  <c r="Q1074" i="1"/>
  <c r="T1073" i="1"/>
  <c r="Q1073" i="1"/>
  <c r="T1072" i="1"/>
  <c r="Q1072" i="1"/>
  <c r="T1071" i="1"/>
  <c r="Q1071" i="1"/>
  <c r="T1070" i="1"/>
  <c r="Q1070" i="1"/>
  <c r="T1069" i="1"/>
  <c r="Q1069" i="1"/>
  <c r="T1068" i="1"/>
  <c r="Q1068" i="1"/>
  <c r="T1067" i="1"/>
  <c r="Q1067" i="1"/>
  <c r="T1066" i="1"/>
  <c r="Q1066" i="1"/>
  <c r="T1065" i="1"/>
  <c r="Q1065" i="1"/>
  <c r="T1064" i="1"/>
  <c r="Q1064" i="1"/>
  <c r="T1063" i="1"/>
  <c r="Q1063" i="1"/>
  <c r="T1062" i="1"/>
  <c r="Q1062" i="1"/>
  <c r="T1061" i="1"/>
  <c r="Q1061" i="1"/>
  <c r="T1060" i="1"/>
  <c r="Q1060" i="1"/>
  <c r="T1059" i="1"/>
  <c r="Q1059" i="1"/>
  <c r="T1058" i="1"/>
  <c r="Q1058" i="1"/>
  <c r="T1057" i="1"/>
  <c r="Q1057" i="1"/>
  <c r="T1056" i="1"/>
  <c r="Q1056" i="1"/>
  <c r="T1055" i="1"/>
  <c r="Q1055" i="1"/>
  <c r="T1054" i="1"/>
  <c r="Q1054" i="1"/>
  <c r="T1053" i="1"/>
  <c r="Q1053" i="1"/>
  <c r="T1052" i="1"/>
  <c r="Q1052" i="1"/>
  <c r="T1051" i="1"/>
  <c r="Q1051" i="1"/>
  <c r="T1050" i="1"/>
  <c r="Q1050" i="1"/>
  <c r="T1049" i="1"/>
  <c r="Q1049" i="1"/>
  <c r="T1048" i="1"/>
  <c r="Q1048" i="1"/>
  <c r="T1047" i="1"/>
  <c r="Q1047" i="1"/>
  <c r="T1046" i="1"/>
  <c r="Q1046" i="1"/>
  <c r="T1045" i="1"/>
  <c r="Q1045" i="1"/>
  <c r="T1044" i="1"/>
  <c r="Q1044" i="1"/>
  <c r="T1043" i="1"/>
  <c r="Q1043" i="1"/>
  <c r="T1042" i="1"/>
  <c r="Q1042" i="1"/>
  <c r="T1041" i="1"/>
  <c r="Q1041" i="1"/>
  <c r="T1040" i="1"/>
  <c r="Q1040" i="1"/>
  <c r="T1039" i="1"/>
  <c r="Q1039" i="1"/>
  <c r="T1038" i="1"/>
  <c r="Q1038" i="1"/>
  <c r="T1037" i="1"/>
  <c r="Q1037" i="1"/>
  <c r="T1036" i="1"/>
  <c r="Q1036" i="1"/>
  <c r="T1035" i="1"/>
  <c r="Q1035" i="1"/>
  <c r="T1034" i="1"/>
  <c r="Q1034" i="1"/>
  <c r="T1033" i="1"/>
  <c r="Q1033" i="1"/>
  <c r="T1032" i="1"/>
  <c r="Q1032" i="1"/>
  <c r="T1031" i="1"/>
  <c r="Q1031" i="1"/>
  <c r="T1030" i="1"/>
  <c r="Q1030" i="1"/>
  <c r="T1029" i="1"/>
  <c r="Q1029" i="1"/>
  <c r="T1028" i="1"/>
  <c r="Q1028" i="1"/>
  <c r="T1027" i="1"/>
  <c r="Q1027" i="1"/>
  <c r="T1026" i="1"/>
  <c r="Q1026" i="1"/>
  <c r="T1025" i="1"/>
  <c r="Q1025" i="1"/>
  <c r="T1024" i="1"/>
  <c r="Q1024" i="1"/>
  <c r="T1023" i="1"/>
  <c r="Q1023" i="1"/>
  <c r="T1022" i="1"/>
  <c r="Q1022" i="1"/>
  <c r="T1021" i="1"/>
  <c r="Q1021" i="1"/>
  <c r="T1020" i="1"/>
  <c r="Q1020" i="1"/>
  <c r="T1019" i="1"/>
  <c r="Q1019" i="1"/>
  <c r="T1018" i="1"/>
  <c r="Q1018" i="1"/>
  <c r="T1017" i="1"/>
  <c r="Q1017" i="1"/>
  <c r="T1016" i="1"/>
  <c r="Q1016" i="1"/>
  <c r="T1015" i="1"/>
  <c r="Q1015" i="1"/>
  <c r="T1014" i="1"/>
  <c r="Q1014" i="1"/>
  <c r="T1013" i="1"/>
  <c r="Q1013" i="1"/>
  <c r="T1012" i="1"/>
  <c r="Q1012" i="1"/>
  <c r="T1011" i="1"/>
  <c r="Q1011" i="1"/>
  <c r="T1010" i="1"/>
  <c r="Q1010" i="1"/>
  <c r="T1009" i="1"/>
  <c r="Q1009" i="1"/>
  <c r="T1008" i="1"/>
  <c r="Q1008" i="1"/>
  <c r="T1007" i="1"/>
  <c r="Q1007" i="1"/>
  <c r="T1006" i="1"/>
  <c r="Q1006" i="1"/>
  <c r="T1005" i="1"/>
  <c r="Q1005" i="1"/>
  <c r="T1004" i="1"/>
  <c r="Q1004" i="1"/>
  <c r="T1003" i="1"/>
  <c r="Q1003" i="1"/>
  <c r="T1002" i="1"/>
  <c r="Q1002" i="1"/>
  <c r="T1001" i="1"/>
  <c r="Q1001" i="1"/>
  <c r="T1000" i="1"/>
  <c r="Q1000" i="1"/>
  <c r="T999" i="1"/>
  <c r="Q999" i="1"/>
  <c r="T998" i="1"/>
  <c r="Q998" i="1"/>
  <c r="T997" i="1"/>
  <c r="Q997" i="1"/>
  <c r="T996" i="1"/>
  <c r="Q996" i="1"/>
  <c r="T995" i="1"/>
  <c r="Q995" i="1"/>
  <c r="T994" i="1"/>
  <c r="Q994" i="1"/>
  <c r="T993" i="1"/>
  <c r="Q993" i="1"/>
  <c r="T992" i="1"/>
  <c r="Q992" i="1"/>
  <c r="T991" i="1"/>
  <c r="Q991" i="1"/>
  <c r="T990" i="1"/>
  <c r="Q990" i="1"/>
  <c r="T989" i="1"/>
  <c r="Q989" i="1"/>
  <c r="T988" i="1"/>
  <c r="Q988" i="1"/>
  <c r="T987" i="1"/>
  <c r="Q987" i="1"/>
  <c r="T986" i="1"/>
  <c r="Q986" i="1"/>
  <c r="T985" i="1"/>
  <c r="Q985" i="1"/>
  <c r="T984" i="1"/>
  <c r="Q984" i="1"/>
  <c r="T983" i="1"/>
  <c r="Q983" i="1"/>
  <c r="T982" i="1"/>
  <c r="Q982" i="1"/>
  <c r="T981" i="1"/>
  <c r="Q981" i="1"/>
  <c r="T980" i="1"/>
  <c r="Q980" i="1"/>
  <c r="T979" i="1"/>
  <c r="Q979" i="1"/>
  <c r="T978" i="1"/>
  <c r="Q978" i="1"/>
  <c r="T977" i="1"/>
  <c r="Q977" i="1"/>
  <c r="T976" i="1"/>
  <c r="Q976" i="1"/>
  <c r="T975" i="1"/>
  <c r="Q975" i="1"/>
  <c r="T974" i="1"/>
  <c r="Q974" i="1"/>
  <c r="T973" i="1"/>
  <c r="Q973" i="1"/>
  <c r="T972" i="1"/>
  <c r="Q972" i="1"/>
  <c r="T971" i="1"/>
  <c r="Q971" i="1"/>
  <c r="T970" i="1"/>
  <c r="Q970" i="1"/>
  <c r="T969" i="1"/>
  <c r="Q969" i="1"/>
  <c r="T968" i="1"/>
  <c r="Q968" i="1"/>
  <c r="T967" i="1"/>
  <c r="Q967" i="1"/>
  <c r="T966" i="1"/>
  <c r="Q966" i="1"/>
  <c r="T965" i="1"/>
  <c r="Q965" i="1"/>
  <c r="T964" i="1"/>
  <c r="Q964" i="1"/>
  <c r="T963" i="1"/>
  <c r="Q963" i="1"/>
  <c r="T962" i="1"/>
  <c r="Q962" i="1"/>
  <c r="T961" i="1"/>
  <c r="Q961" i="1"/>
  <c r="T960" i="1"/>
  <c r="Q960" i="1"/>
  <c r="T959" i="1"/>
  <c r="Q959" i="1"/>
  <c r="T958" i="1"/>
  <c r="Q958" i="1"/>
  <c r="T957" i="1"/>
  <c r="Q957" i="1"/>
  <c r="T956" i="1"/>
  <c r="Q956" i="1"/>
  <c r="T955" i="1"/>
  <c r="Q955" i="1"/>
  <c r="T954" i="1"/>
  <c r="Q954" i="1"/>
  <c r="T953" i="1"/>
  <c r="Q953" i="1"/>
  <c r="T952" i="1"/>
  <c r="Q952" i="1"/>
  <c r="T951" i="1"/>
  <c r="Q951" i="1"/>
  <c r="T950" i="1"/>
  <c r="Q950" i="1"/>
  <c r="T949" i="1"/>
  <c r="Q949" i="1"/>
  <c r="T948" i="1"/>
  <c r="Q948" i="1"/>
  <c r="T947" i="1"/>
  <c r="Q947" i="1"/>
  <c r="T946" i="1"/>
  <c r="Q946" i="1"/>
  <c r="T945" i="1"/>
  <c r="Q945" i="1"/>
  <c r="T944" i="1"/>
  <c r="Q944" i="1"/>
  <c r="T943" i="1"/>
  <c r="Q943" i="1"/>
  <c r="T942" i="1"/>
  <c r="Q942" i="1"/>
  <c r="T941" i="1"/>
  <c r="Q941" i="1"/>
  <c r="T940" i="1"/>
  <c r="Q940" i="1"/>
  <c r="T939" i="1"/>
  <c r="Q939" i="1"/>
  <c r="T938" i="1"/>
  <c r="Q938" i="1"/>
  <c r="T937" i="1"/>
  <c r="Q937" i="1"/>
  <c r="T936" i="1"/>
  <c r="Q936" i="1"/>
  <c r="T935" i="1"/>
  <c r="Q935" i="1"/>
  <c r="T934" i="1"/>
  <c r="Q934" i="1"/>
  <c r="T933" i="1"/>
  <c r="Q933" i="1"/>
  <c r="T932" i="1"/>
  <c r="Q932" i="1"/>
  <c r="T931" i="1"/>
  <c r="Q931" i="1"/>
  <c r="T930" i="1"/>
  <c r="Q930" i="1"/>
  <c r="T929" i="1"/>
  <c r="Q929" i="1"/>
  <c r="T928" i="1"/>
  <c r="Q928" i="1"/>
  <c r="T927" i="1"/>
  <c r="Q927" i="1"/>
  <c r="T926" i="1"/>
  <c r="Q926" i="1"/>
  <c r="T925" i="1"/>
  <c r="Q925" i="1"/>
  <c r="T924" i="1"/>
  <c r="Q924" i="1"/>
  <c r="T923" i="1"/>
  <c r="Q923" i="1"/>
  <c r="T922" i="1"/>
  <c r="Q922" i="1"/>
  <c r="T921" i="1"/>
  <c r="Q921" i="1"/>
  <c r="T920" i="1"/>
  <c r="Q920" i="1"/>
  <c r="T919" i="1"/>
  <c r="Q919" i="1"/>
  <c r="T918" i="1"/>
  <c r="Q918" i="1"/>
  <c r="T917" i="1"/>
  <c r="Q917" i="1"/>
  <c r="T916" i="1"/>
  <c r="Q916" i="1"/>
  <c r="T915" i="1"/>
  <c r="Q915" i="1"/>
  <c r="T914" i="1"/>
  <c r="Q914" i="1"/>
  <c r="T913" i="1"/>
  <c r="Q913" i="1"/>
  <c r="T912" i="1"/>
  <c r="Q912" i="1"/>
  <c r="T911" i="1"/>
  <c r="Q911" i="1"/>
  <c r="T910" i="1"/>
  <c r="Q910" i="1"/>
  <c r="T909" i="1"/>
  <c r="Q909" i="1"/>
  <c r="T908" i="1"/>
  <c r="Q908" i="1"/>
  <c r="T907" i="1"/>
  <c r="Q907" i="1"/>
  <c r="T906" i="1"/>
  <c r="Q906" i="1"/>
  <c r="T905" i="1"/>
  <c r="Q905" i="1"/>
  <c r="T904" i="1"/>
  <c r="Q904" i="1"/>
  <c r="T903" i="1"/>
  <c r="Q903" i="1"/>
  <c r="T902" i="1"/>
  <c r="Q902" i="1"/>
  <c r="T901" i="1"/>
  <c r="Q901" i="1"/>
  <c r="T900" i="1"/>
  <c r="Q900" i="1"/>
  <c r="T899" i="1"/>
  <c r="Q899" i="1"/>
  <c r="T898" i="1"/>
  <c r="Q898" i="1"/>
  <c r="T897" i="1"/>
  <c r="Q897" i="1"/>
  <c r="T896" i="1"/>
  <c r="Q896" i="1"/>
  <c r="T895" i="1"/>
  <c r="Q895" i="1"/>
  <c r="T894" i="1"/>
  <c r="Q894" i="1"/>
  <c r="T893" i="1"/>
  <c r="Q893" i="1"/>
  <c r="T892" i="1"/>
  <c r="Q892" i="1"/>
  <c r="T891" i="1"/>
  <c r="Q891" i="1"/>
  <c r="T890" i="1"/>
  <c r="Q890" i="1"/>
  <c r="T889" i="1"/>
  <c r="Q889" i="1"/>
  <c r="T888" i="1"/>
  <c r="Q888" i="1"/>
  <c r="T887" i="1"/>
  <c r="Q887" i="1"/>
  <c r="T886" i="1"/>
  <c r="Q886" i="1"/>
  <c r="T885" i="1"/>
  <c r="Q885" i="1"/>
  <c r="T884" i="1"/>
  <c r="Q884" i="1"/>
  <c r="T883" i="1"/>
  <c r="Q883" i="1"/>
  <c r="T882" i="1"/>
  <c r="Q882" i="1"/>
  <c r="T881" i="1"/>
  <c r="Q881" i="1"/>
  <c r="T880" i="1"/>
  <c r="Q880" i="1"/>
  <c r="T879" i="1"/>
  <c r="Q879" i="1"/>
  <c r="T878" i="1"/>
  <c r="Q878" i="1"/>
  <c r="T877" i="1"/>
  <c r="Q877" i="1"/>
  <c r="T876" i="1"/>
  <c r="Q876" i="1"/>
  <c r="T875" i="1"/>
  <c r="Q875" i="1"/>
  <c r="T874" i="1"/>
  <c r="Q874" i="1"/>
  <c r="T873" i="1"/>
  <c r="Q873" i="1"/>
  <c r="T872" i="1"/>
  <c r="Q872" i="1"/>
  <c r="T871" i="1"/>
  <c r="Q871" i="1"/>
  <c r="T870" i="1"/>
  <c r="Q870" i="1"/>
  <c r="T869" i="1"/>
  <c r="Q869" i="1"/>
  <c r="T868" i="1"/>
  <c r="Q868" i="1"/>
  <c r="T867" i="1"/>
  <c r="Q867" i="1"/>
  <c r="T866" i="1"/>
  <c r="Q866" i="1"/>
  <c r="T865" i="1"/>
  <c r="Q865" i="1"/>
  <c r="T864" i="1"/>
  <c r="Q864" i="1"/>
  <c r="T863" i="1"/>
  <c r="Q863" i="1"/>
  <c r="T862" i="1"/>
  <c r="Q862" i="1"/>
  <c r="T861" i="1"/>
  <c r="Q861" i="1"/>
  <c r="T860" i="1"/>
  <c r="Q860" i="1"/>
  <c r="T859" i="1"/>
  <c r="Q859" i="1"/>
  <c r="T858" i="1"/>
  <c r="Q858" i="1"/>
  <c r="T857" i="1"/>
  <c r="Q857" i="1"/>
  <c r="T856" i="1"/>
  <c r="Q856" i="1"/>
  <c r="T855" i="1"/>
  <c r="Q855" i="1"/>
  <c r="T854" i="1"/>
  <c r="Q854" i="1"/>
  <c r="T853" i="1"/>
  <c r="Q853" i="1"/>
  <c r="T852" i="1"/>
  <c r="Q852" i="1"/>
  <c r="T851" i="1"/>
  <c r="Q851" i="1"/>
  <c r="T850" i="1"/>
  <c r="Q850" i="1"/>
  <c r="T849" i="1"/>
  <c r="Q849" i="1"/>
  <c r="T848" i="1"/>
  <c r="Q848" i="1"/>
  <c r="T847" i="1"/>
  <c r="Q847" i="1"/>
  <c r="T846" i="1"/>
  <c r="Q846" i="1"/>
  <c r="T845" i="1"/>
  <c r="Q845" i="1"/>
  <c r="T844" i="1"/>
  <c r="Q844" i="1"/>
  <c r="T843" i="1"/>
  <c r="Q843" i="1"/>
  <c r="T842" i="1"/>
  <c r="Q842" i="1"/>
  <c r="T841" i="1"/>
  <c r="Q841" i="1"/>
  <c r="T840" i="1"/>
  <c r="Q840" i="1"/>
  <c r="T839" i="1"/>
  <c r="Q839" i="1"/>
  <c r="T838" i="1"/>
  <c r="Q838" i="1"/>
  <c r="T837" i="1"/>
  <c r="Q837" i="1"/>
  <c r="T836" i="1"/>
  <c r="Q836" i="1"/>
  <c r="T835" i="1"/>
  <c r="Q835" i="1"/>
  <c r="T834" i="1"/>
  <c r="Q834" i="1"/>
  <c r="T833" i="1"/>
  <c r="Q833" i="1"/>
  <c r="T832" i="1"/>
  <c r="Q832" i="1"/>
  <c r="T831" i="1"/>
  <c r="Q831" i="1"/>
  <c r="T830" i="1"/>
  <c r="Q830" i="1"/>
  <c r="T829" i="1"/>
  <c r="Q829" i="1"/>
  <c r="T828" i="1"/>
  <c r="Q828" i="1"/>
  <c r="T827" i="1"/>
  <c r="Q827" i="1"/>
  <c r="T826" i="1"/>
  <c r="Q826" i="1"/>
  <c r="T825" i="1"/>
  <c r="Q825" i="1"/>
  <c r="T824" i="1"/>
  <c r="Q824" i="1"/>
  <c r="T823" i="1"/>
  <c r="Q823" i="1"/>
  <c r="T822" i="1"/>
  <c r="Q822" i="1"/>
  <c r="T821" i="1"/>
  <c r="Q821" i="1"/>
  <c r="T820" i="1"/>
  <c r="Q820" i="1"/>
  <c r="T819" i="1"/>
  <c r="Q819" i="1"/>
  <c r="T818" i="1"/>
  <c r="Q818" i="1"/>
  <c r="T817" i="1"/>
  <c r="Q817" i="1"/>
  <c r="T816" i="1"/>
  <c r="Q816" i="1"/>
  <c r="T815" i="1"/>
  <c r="Q815" i="1"/>
  <c r="T814" i="1"/>
  <c r="Q814" i="1"/>
  <c r="T813" i="1"/>
  <c r="Q813" i="1"/>
  <c r="T812" i="1"/>
  <c r="Q812" i="1"/>
  <c r="T811" i="1"/>
  <c r="Q811" i="1"/>
  <c r="T810" i="1"/>
  <c r="Q810" i="1"/>
  <c r="T809" i="1"/>
  <c r="Q809" i="1"/>
  <c r="T808" i="1"/>
  <c r="Q808" i="1"/>
  <c r="T807" i="1"/>
  <c r="Q807" i="1"/>
  <c r="T806" i="1"/>
  <c r="Q806" i="1"/>
  <c r="T805" i="1"/>
  <c r="Q805" i="1"/>
  <c r="T804" i="1"/>
  <c r="Q804" i="1"/>
  <c r="T803" i="1"/>
  <c r="Q803" i="1"/>
  <c r="T802" i="1"/>
  <c r="Q802" i="1"/>
  <c r="T801" i="1"/>
  <c r="S801" i="1"/>
  <c r="Q801" i="1"/>
  <c r="R1012" i="1" s="1"/>
  <c r="T800" i="1"/>
  <c r="S800" i="1"/>
  <c r="Q800" i="1"/>
  <c r="R1004" i="1" s="1"/>
  <c r="T799" i="1"/>
  <c r="S799" i="1"/>
  <c r="Q799" i="1"/>
  <c r="R799" i="1" s="1"/>
  <c r="T798" i="1"/>
  <c r="S798" i="1"/>
  <c r="Q798" i="1"/>
  <c r="R1064" i="1" s="1"/>
  <c r="T797" i="1"/>
  <c r="S797" i="1"/>
  <c r="Q797" i="1"/>
  <c r="R886" i="1" s="1"/>
  <c r="T796" i="1"/>
  <c r="S796" i="1"/>
  <c r="Q796" i="1"/>
  <c r="R796" i="1" s="1"/>
  <c r="T795" i="1"/>
  <c r="S795" i="1"/>
  <c r="Q795" i="1"/>
  <c r="R795" i="1" s="1"/>
  <c r="T794" i="1"/>
  <c r="S794" i="1"/>
  <c r="Q794" i="1"/>
  <c r="T793" i="1"/>
  <c r="S793" i="1"/>
  <c r="Q793" i="1"/>
  <c r="R793" i="1" s="1"/>
  <c r="T792" i="1"/>
  <c r="S792" i="1"/>
  <c r="Q792" i="1"/>
  <c r="R1037" i="1" s="1"/>
  <c r="T791" i="1"/>
  <c r="S791" i="1"/>
  <c r="Q791" i="1"/>
  <c r="R791" i="1" s="1"/>
  <c r="T790" i="1"/>
  <c r="S790" i="1"/>
  <c r="Q790" i="1"/>
  <c r="R1455" i="1" s="1"/>
  <c r="T789" i="1"/>
  <c r="S789" i="1"/>
  <c r="Q789" i="1"/>
  <c r="R1183" i="1" s="1"/>
  <c r="T788" i="1"/>
  <c r="S788" i="1"/>
  <c r="Q788" i="1"/>
  <c r="R788" i="1" s="1"/>
  <c r="T787" i="1"/>
  <c r="S787" i="1"/>
  <c r="Q787" i="1"/>
  <c r="R787" i="1" s="1"/>
  <c r="T786" i="1"/>
  <c r="S786" i="1"/>
  <c r="Q786" i="1"/>
  <c r="T785" i="1"/>
  <c r="S785" i="1"/>
  <c r="Q785" i="1"/>
  <c r="R785" i="1" s="1"/>
  <c r="T784" i="1"/>
  <c r="S784" i="1"/>
  <c r="Q784" i="1"/>
  <c r="R784" i="1" s="1"/>
  <c r="T783" i="1"/>
  <c r="S783" i="1"/>
  <c r="Q783" i="1"/>
  <c r="R783" i="1" s="1"/>
  <c r="T782" i="1"/>
  <c r="S782" i="1"/>
  <c r="Q782" i="1"/>
  <c r="R782" i="1" s="1"/>
  <c r="T781" i="1"/>
  <c r="S781" i="1"/>
  <c r="Q781" i="1"/>
  <c r="R1263" i="1" s="1"/>
  <c r="T780" i="1"/>
  <c r="S780" i="1"/>
  <c r="Q780" i="1"/>
  <c r="R780" i="1" s="1"/>
  <c r="T779" i="1"/>
  <c r="S779" i="1"/>
  <c r="Q779" i="1"/>
  <c r="R779" i="1" s="1"/>
  <c r="T778" i="1"/>
  <c r="S778" i="1"/>
  <c r="Q778" i="1"/>
  <c r="R778" i="1" s="1"/>
  <c r="T777" i="1"/>
  <c r="S777" i="1"/>
  <c r="Q777" i="1"/>
  <c r="R777" i="1" s="1"/>
  <c r="T776" i="1"/>
  <c r="S776" i="1"/>
  <c r="Q776" i="1"/>
  <c r="R776" i="1" s="1"/>
  <c r="T775" i="1"/>
  <c r="S775" i="1"/>
  <c r="Q775" i="1"/>
  <c r="R775" i="1" s="1"/>
  <c r="T774" i="1"/>
  <c r="S774" i="1"/>
  <c r="Q774" i="1"/>
  <c r="R913" i="1" s="1"/>
  <c r="T773" i="1"/>
  <c r="S773" i="1"/>
  <c r="Q773" i="1"/>
  <c r="R773" i="1" s="1"/>
  <c r="T772" i="1"/>
  <c r="S772" i="1"/>
  <c r="Q772" i="1"/>
  <c r="R772" i="1" s="1"/>
  <c r="T771" i="1"/>
  <c r="S771" i="1"/>
  <c r="Q771" i="1"/>
  <c r="R771" i="1" s="1"/>
  <c r="T770" i="1"/>
  <c r="S770" i="1"/>
  <c r="Q770" i="1"/>
  <c r="R851" i="1" s="1"/>
  <c r="T769" i="1"/>
  <c r="S769" i="1"/>
  <c r="Q769" i="1"/>
  <c r="R769" i="1" s="1"/>
  <c r="T768" i="1"/>
  <c r="S768" i="1"/>
  <c r="Q768" i="1"/>
  <c r="R768" i="1" s="1"/>
  <c r="T767" i="1"/>
  <c r="S767" i="1"/>
  <c r="Q767" i="1"/>
  <c r="R767" i="1" s="1"/>
  <c r="T766" i="1"/>
  <c r="S766" i="1"/>
  <c r="Q766" i="1"/>
  <c r="R1111" i="1" s="1"/>
  <c r="T765" i="1"/>
  <c r="S765" i="1"/>
  <c r="Q765" i="1"/>
  <c r="R1150" i="1" s="1"/>
  <c r="T764" i="1"/>
  <c r="S764" i="1"/>
  <c r="Q764" i="1"/>
  <c r="R764" i="1" s="1"/>
  <c r="T763" i="1"/>
  <c r="S763" i="1"/>
  <c r="Q763" i="1"/>
  <c r="R763" i="1" s="1"/>
  <c r="T762" i="1"/>
  <c r="S762" i="1"/>
  <c r="Q762" i="1"/>
  <c r="R762" i="1" s="1"/>
  <c r="T761" i="1"/>
  <c r="S761" i="1"/>
  <c r="Q761" i="1"/>
  <c r="R879" i="1" s="1"/>
  <c r="T760" i="1"/>
  <c r="S760" i="1"/>
  <c r="Q760" i="1"/>
  <c r="R1074" i="1" s="1"/>
  <c r="T759" i="1"/>
  <c r="S759" i="1"/>
  <c r="Q759" i="1"/>
  <c r="R759" i="1" s="1"/>
  <c r="T758" i="1"/>
  <c r="S758" i="1"/>
  <c r="Q758" i="1"/>
  <c r="R758" i="1" s="1"/>
  <c r="T757" i="1"/>
  <c r="S757" i="1"/>
  <c r="Q757" i="1"/>
  <c r="R1220" i="1" s="1"/>
  <c r="T756" i="1"/>
  <c r="S756" i="1"/>
  <c r="Q756" i="1"/>
  <c r="R756" i="1" s="1"/>
  <c r="T755" i="1"/>
  <c r="S755" i="1"/>
  <c r="Q755" i="1"/>
  <c r="R755" i="1" s="1"/>
  <c r="T754" i="1"/>
  <c r="S754" i="1"/>
  <c r="Q754" i="1"/>
  <c r="R754" i="1" s="1"/>
  <c r="T753" i="1"/>
  <c r="S753" i="1"/>
  <c r="Q753" i="1"/>
  <c r="R753" i="1" s="1"/>
  <c r="T752" i="1"/>
  <c r="S752" i="1"/>
  <c r="Q752" i="1"/>
  <c r="R752" i="1" s="1"/>
  <c r="T751" i="1"/>
  <c r="S751" i="1"/>
  <c r="Q751" i="1"/>
  <c r="R751" i="1" s="1"/>
  <c r="T750" i="1"/>
  <c r="S750" i="1"/>
  <c r="Q750" i="1"/>
  <c r="T749" i="1"/>
  <c r="S749" i="1"/>
  <c r="Q749" i="1"/>
  <c r="R749" i="1" s="1"/>
  <c r="T748" i="1"/>
  <c r="S748" i="1"/>
  <c r="Q748" i="1"/>
  <c r="R748" i="1" s="1"/>
  <c r="T747" i="1"/>
  <c r="S747" i="1"/>
  <c r="Q747" i="1"/>
  <c r="R747" i="1" s="1"/>
  <c r="T746" i="1"/>
  <c r="S746" i="1"/>
  <c r="Q746" i="1"/>
  <c r="R746" i="1" s="1"/>
  <c r="T745" i="1"/>
  <c r="S745" i="1"/>
  <c r="Q745" i="1"/>
  <c r="R745" i="1" s="1"/>
  <c r="T744" i="1"/>
  <c r="S744" i="1"/>
  <c r="Q744" i="1"/>
  <c r="T743" i="1"/>
  <c r="S743" i="1"/>
  <c r="Q743" i="1"/>
  <c r="R743" i="1" s="1"/>
  <c r="T742" i="1"/>
  <c r="S742" i="1"/>
  <c r="Q742" i="1"/>
  <c r="R742" i="1" s="1"/>
  <c r="T741" i="1"/>
  <c r="S741" i="1"/>
  <c r="Q741" i="1"/>
  <c r="T740" i="1"/>
  <c r="S740" i="1"/>
  <c r="Q740" i="1"/>
  <c r="R740" i="1" s="1"/>
  <c r="T739" i="1"/>
  <c r="S739" i="1"/>
  <c r="Q739" i="1"/>
  <c r="R739" i="1" s="1"/>
  <c r="T738" i="1"/>
  <c r="S738" i="1"/>
  <c r="Q738" i="1"/>
  <c r="R738" i="1" s="1"/>
  <c r="T737" i="1"/>
  <c r="S737" i="1"/>
  <c r="Q737" i="1"/>
  <c r="T736" i="1"/>
  <c r="S736" i="1"/>
  <c r="Q736" i="1"/>
  <c r="R736" i="1" s="1"/>
  <c r="T735" i="1"/>
  <c r="S735" i="1"/>
  <c r="Q735" i="1"/>
  <c r="T734" i="1"/>
  <c r="S734" i="1"/>
  <c r="Q734" i="1"/>
  <c r="R1079" i="1" s="1"/>
  <c r="T733" i="1"/>
  <c r="S733" i="1"/>
  <c r="Q733" i="1"/>
  <c r="R987" i="1" s="1"/>
  <c r="T732" i="1"/>
  <c r="S732" i="1"/>
  <c r="Q732" i="1"/>
  <c r="R1143" i="1" s="1"/>
  <c r="T731" i="1"/>
  <c r="S731" i="1"/>
  <c r="Q731" i="1"/>
  <c r="R731" i="1" s="1"/>
  <c r="T730" i="1"/>
  <c r="S730" i="1"/>
  <c r="Q730" i="1"/>
  <c r="R730" i="1" s="1"/>
  <c r="T729" i="1"/>
  <c r="S729" i="1"/>
  <c r="Q729" i="1"/>
  <c r="R1333" i="1" s="1"/>
  <c r="T728" i="1"/>
  <c r="S728" i="1"/>
  <c r="Q728" i="1"/>
  <c r="R1290" i="1" s="1"/>
  <c r="T727" i="1"/>
  <c r="S727" i="1"/>
  <c r="Q727" i="1"/>
  <c r="R727" i="1" s="1"/>
  <c r="T726" i="1"/>
  <c r="S726" i="1"/>
  <c r="Q726" i="1"/>
  <c r="T725" i="1"/>
  <c r="S725" i="1"/>
  <c r="Q725" i="1"/>
  <c r="R725" i="1" s="1"/>
  <c r="T724" i="1"/>
  <c r="S724" i="1"/>
  <c r="Q724" i="1"/>
  <c r="R1362" i="1" s="1"/>
  <c r="T723" i="1"/>
  <c r="S723" i="1"/>
  <c r="Q723" i="1"/>
  <c r="R723" i="1" s="1"/>
  <c r="T722" i="1"/>
  <c r="S722" i="1"/>
  <c r="Q722" i="1"/>
  <c r="R722" i="1" s="1"/>
  <c r="T721" i="1"/>
  <c r="S721" i="1"/>
  <c r="Q721" i="1"/>
  <c r="R1104" i="1" s="1"/>
  <c r="T720" i="1"/>
  <c r="S720" i="1"/>
  <c r="Q720" i="1"/>
  <c r="R720" i="1" s="1"/>
  <c r="T719" i="1"/>
  <c r="S719" i="1"/>
  <c r="Q719" i="1"/>
  <c r="R1454" i="1" s="1"/>
  <c r="T718" i="1"/>
  <c r="S718" i="1"/>
  <c r="Q718" i="1"/>
  <c r="T717" i="1"/>
  <c r="S717" i="1"/>
  <c r="Q717" i="1"/>
  <c r="R837" i="1" s="1"/>
  <c r="T716" i="1"/>
  <c r="S716" i="1"/>
  <c r="Q716" i="1"/>
  <c r="R1085" i="1" s="1"/>
  <c r="T715" i="1"/>
  <c r="S715" i="1"/>
  <c r="Q715" i="1"/>
  <c r="R858" i="1" s="1"/>
  <c r="T714" i="1"/>
  <c r="S714" i="1"/>
  <c r="Q714" i="1"/>
  <c r="T713" i="1"/>
  <c r="S713" i="1"/>
  <c r="Q713" i="1"/>
  <c r="R1472" i="1" s="1"/>
  <c r="T712" i="1"/>
  <c r="S712" i="1"/>
  <c r="Q712" i="1"/>
  <c r="R1086" i="1" s="1"/>
  <c r="T711" i="1"/>
  <c r="S711" i="1"/>
  <c r="Q711" i="1"/>
  <c r="T710" i="1"/>
  <c r="S710" i="1"/>
  <c r="Q710" i="1"/>
  <c r="R710" i="1" s="1"/>
  <c r="T709" i="1"/>
  <c r="S709" i="1"/>
  <c r="Q709" i="1"/>
  <c r="R709" i="1" s="1"/>
  <c r="T708" i="1"/>
  <c r="S708" i="1"/>
  <c r="Q708" i="1"/>
  <c r="T707" i="1"/>
  <c r="S707" i="1"/>
  <c r="Q707" i="1"/>
  <c r="R707" i="1" s="1"/>
  <c r="T706" i="1"/>
  <c r="S706" i="1"/>
  <c r="Q706" i="1"/>
  <c r="R706" i="1" s="1"/>
  <c r="T705" i="1"/>
  <c r="S705" i="1"/>
  <c r="Q705" i="1"/>
  <c r="T704" i="1"/>
  <c r="S704" i="1"/>
  <c r="Q704" i="1"/>
  <c r="R704" i="1" s="1"/>
  <c r="T703" i="1"/>
  <c r="S703" i="1"/>
  <c r="Q703" i="1"/>
  <c r="R703" i="1" s="1"/>
  <c r="T702" i="1"/>
  <c r="S702" i="1"/>
  <c r="Q702" i="1"/>
  <c r="R809" i="1" s="1"/>
  <c r="T701" i="1"/>
  <c r="S701" i="1"/>
  <c r="Q701" i="1"/>
  <c r="R701" i="1" s="1"/>
  <c r="T700" i="1"/>
  <c r="S700" i="1"/>
  <c r="Q700" i="1"/>
  <c r="R1178" i="1" s="1"/>
  <c r="T699" i="1"/>
  <c r="S699" i="1"/>
  <c r="Q699" i="1"/>
  <c r="T698" i="1"/>
  <c r="S698" i="1"/>
  <c r="Q698" i="1"/>
  <c r="R698" i="1" s="1"/>
  <c r="T697" i="1"/>
  <c r="S697" i="1"/>
  <c r="Q697" i="1"/>
  <c r="T696" i="1"/>
  <c r="S696" i="1"/>
  <c r="Q696" i="1"/>
  <c r="R696" i="1" s="1"/>
  <c r="T695" i="1"/>
  <c r="S695" i="1"/>
  <c r="Q695" i="1"/>
  <c r="R695" i="1" s="1"/>
  <c r="T694" i="1"/>
  <c r="S694" i="1"/>
  <c r="Q694" i="1"/>
  <c r="T693" i="1"/>
  <c r="S693" i="1"/>
  <c r="Q693" i="1"/>
  <c r="R693" i="1" s="1"/>
  <c r="T692" i="1"/>
  <c r="S692" i="1"/>
  <c r="Q692" i="1"/>
  <c r="R692" i="1" s="1"/>
  <c r="T691" i="1"/>
  <c r="S691" i="1"/>
  <c r="Q691" i="1"/>
  <c r="R691" i="1" s="1"/>
  <c r="T690" i="1"/>
  <c r="S690" i="1"/>
  <c r="Q690" i="1"/>
  <c r="R690" i="1" s="1"/>
  <c r="T689" i="1"/>
  <c r="S689" i="1"/>
  <c r="Q689" i="1"/>
  <c r="T688" i="1"/>
  <c r="S688" i="1"/>
  <c r="Q688" i="1"/>
  <c r="R688" i="1" s="1"/>
  <c r="T687" i="1"/>
  <c r="S687" i="1"/>
  <c r="Q687" i="1"/>
  <c r="R687" i="1" s="1"/>
  <c r="T686" i="1"/>
  <c r="S686" i="1"/>
  <c r="Q686" i="1"/>
  <c r="R686" i="1" s="1"/>
  <c r="T685" i="1"/>
  <c r="S685" i="1"/>
  <c r="Q685" i="1"/>
  <c r="R685" i="1" s="1"/>
  <c r="T684" i="1"/>
  <c r="S684" i="1"/>
  <c r="Q684" i="1"/>
  <c r="R1131" i="1" s="1"/>
  <c r="T683" i="1"/>
  <c r="S683" i="1"/>
  <c r="Q683" i="1"/>
  <c r="R867" i="1" s="1"/>
  <c r="T682" i="1"/>
  <c r="S682" i="1"/>
  <c r="Q682" i="1"/>
  <c r="R870" i="1" s="1"/>
  <c r="T681" i="1"/>
  <c r="S681" i="1"/>
  <c r="Q681" i="1"/>
  <c r="R1191" i="1" s="1"/>
  <c r="T680" i="1"/>
  <c r="S680" i="1"/>
  <c r="Q680" i="1"/>
  <c r="T679" i="1"/>
  <c r="S679" i="1"/>
  <c r="Q679" i="1"/>
  <c r="R679" i="1" s="1"/>
  <c r="T678" i="1"/>
  <c r="S678" i="1"/>
  <c r="Q678" i="1"/>
  <c r="R1205" i="1" s="1"/>
  <c r="T677" i="1"/>
  <c r="S677" i="1"/>
  <c r="Q677" i="1"/>
  <c r="R677" i="1" s="1"/>
  <c r="T676" i="1"/>
  <c r="S676" i="1"/>
  <c r="Q676" i="1"/>
  <c r="R676" i="1" s="1"/>
  <c r="T675" i="1"/>
  <c r="S675" i="1"/>
  <c r="Q675" i="1"/>
  <c r="R675" i="1" s="1"/>
  <c r="T674" i="1"/>
  <c r="S674" i="1"/>
  <c r="Q674" i="1"/>
  <c r="R674" i="1" s="1"/>
  <c r="T673" i="1"/>
  <c r="S673" i="1"/>
  <c r="Q673" i="1"/>
  <c r="R1281" i="1" s="1"/>
  <c r="T672" i="1"/>
  <c r="S672" i="1"/>
  <c r="Q672" i="1"/>
  <c r="R672" i="1" s="1"/>
  <c r="T671" i="1"/>
  <c r="S671" i="1"/>
  <c r="Q671" i="1"/>
  <c r="R671" i="1" s="1"/>
  <c r="T670" i="1"/>
  <c r="S670" i="1"/>
  <c r="Q670" i="1"/>
  <c r="R670" i="1" s="1"/>
  <c r="T669" i="1"/>
  <c r="S669" i="1"/>
  <c r="Q669" i="1"/>
  <c r="R669" i="1" s="1"/>
  <c r="T668" i="1"/>
  <c r="S668" i="1"/>
  <c r="Q668" i="1"/>
  <c r="R668" i="1" s="1"/>
  <c r="T667" i="1"/>
  <c r="S667" i="1"/>
  <c r="Q667" i="1"/>
  <c r="T666" i="1"/>
  <c r="S666" i="1"/>
  <c r="Q666" i="1"/>
  <c r="R666" i="1" s="1"/>
  <c r="T665" i="1"/>
  <c r="S665" i="1"/>
  <c r="Q665" i="1"/>
  <c r="R665" i="1" s="1"/>
  <c r="T664" i="1"/>
  <c r="S664" i="1"/>
  <c r="Q664" i="1"/>
  <c r="R664" i="1" s="1"/>
  <c r="T663" i="1"/>
  <c r="S663" i="1"/>
  <c r="Q663" i="1"/>
  <c r="R1115" i="1" s="1"/>
  <c r="T662" i="1"/>
  <c r="S662" i="1"/>
  <c r="Q662" i="1"/>
  <c r="T661" i="1"/>
  <c r="S661" i="1"/>
  <c r="Q661" i="1"/>
  <c r="R1299" i="1" s="1"/>
  <c r="T660" i="1"/>
  <c r="S660" i="1"/>
  <c r="Q660" i="1"/>
  <c r="R660" i="1" s="1"/>
  <c r="T659" i="1"/>
  <c r="S659" i="1"/>
  <c r="Q659" i="1"/>
  <c r="R659" i="1" s="1"/>
  <c r="T658" i="1"/>
  <c r="S658" i="1"/>
  <c r="Q658" i="1"/>
  <c r="R658" i="1" s="1"/>
  <c r="T657" i="1"/>
  <c r="S657" i="1"/>
  <c r="Q657" i="1"/>
  <c r="R1237" i="1" s="1"/>
  <c r="T656" i="1"/>
  <c r="S656" i="1"/>
  <c r="Q656" i="1"/>
  <c r="R656" i="1" s="1"/>
  <c r="T655" i="1"/>
  <c r="S655" i="1"/>
  <c r="Q655" i="1"/>
  <c r="T654" i="1"/>
  <c r="S654" i="1"/>
  <c r="Q654" i="1"/>
  <c r="R654" i="1" s="1"/>
  <c r="T653" i="1"/>
  <c r="S653" i="1"/>
  <c r="Q653" i="1"/>
  <c r="T652" i="1"/>
  <c r="S652" i="1"/>
  <c r="Q652" i="1"/>
  <c r="R652" i="1" s="1"/>
  <c r="T651" i="1"/>
  <c r="S651" i="1"/>
  <c r="Q651" i="1"/>
  <c r="R651" i="1" s="1"/>
  <c r="T650" i="1"/>
  <c r="S650" i="1"/>
  <c r="Q650" i="1"/>
  <c r="R650" i="1" s="1"/>
  <c r="T649" i="1"/>
  <c r="S649" i="1"/>
  <c r="Q649" i="1"/>
  <c r="R1121" i="1" s="1"/>
  <c r="T648" i="1"/>
  <c r="S648" i="1"/>
  <c r="Q648" i="1"/>
  <c r="R1126" i="1" s="1"/>
  <c r="T647" i="1"/>
  <c r="S647" i="1"/>
  <c r="Q647" i="1"/>
  <c r="R647" i="1" s="1"/>
  <c r="T646" i="1"/>
  <c r="S646" i="1"/>
  <c r="Q646" i="1"/>
  <c r="R1417" i="1" s="1"/>
  <c r="T645" i="1"/>
  <c r="S645" i="1"/>
  <c r="Q645" i="1"/>
  <c r="R1248" i="1" s="1"/>
  <c r="T644" i="1"/>
  <c r="S644" i="1"/>
  <c r="Q644" i="1"/>
  <c r="R644" i="1" s="1"/>
  <c r="T643" i="1"/>
  <c r="S643" i="1"/>
  <c r="Q643" i="1"/>
  <c r="R643" i="1" s="1"/>
  <c r="T642" i="1"/>
  <c r="S642" i="1"/>
  <c r="Q642" i="1"/>
  <c r="R642" i="1" s="1"/>
  <c r="T641" i="1"/>
  <c r="S641" i="1"/>
  <c r="Q641" i="1"/>
  <c r="R641" i="1" s="1"/>
  <c r="T640" i="1"/>
  <c r="S640" i="1"/>
  <c r="Q640" i="1"/>
  <c r="R640" i="1" s="1"/>
  <c r="T639" i="1"/>
  <c r="S639" i="1"/>
  <c r="Q639" i="1"/>
  <c r="R639" i="1" s="1"/>
  <c r="T638" i="1"/>
  <c r="S638" i="1"/>
  <c r="Q638" i="1"/>
  <c r="R638" i="1" s="1"/>
  <c r="T637" i="1"/>
  <c r="S637" i="1"/>
  <c r="Q637" i="1"/>
  <c r="R637" i="1" s="1"/>
  <c r="T636" i="1"/>
  <c r="S636" i="1"/>
  <c r="Q636" i="1"/>
  <c r="R636" i="1" s="1"/>
  <c r="T635" i="1"/>
  <c r="S635" i="1"/>
  <c r="Q635" i="1"/>
  <c r="R635" i="1" s="1"/>
  <c r="T634" i="1"/>
  <c r="S634" i="1"/>
  <c r="Q634" i="1"/>
  <c r="T633" i="1"/>
  <c r="S633" i="1"/>
  <c r="Q633" i="1"/>
  <c r="T632" i="1"/>
  <c r="S632" i="1"/>
  <c r="Q632" i="1"/>
  <c r="R1444" i="1" s="1"/>
  <c r="T631" i="1"/>
  <c r="S631" i="1"/>
  <c r="Q631" i="1"/>
  <c r="R631" i="1" s="1"/>
  <c r="T630" i="1"/>
  <c r="S630" i="1"/>
  <c r="Q630" i="1"/>
  <c r="R630" i="1" s="1"/>
  <c r="T629" i="1"/>
  <c r="S629" i="1"/>
  <c r="Q629" i="1"/>
  <c r="R629" i="1" s="1"/>
  <c r="T628" i="1"/>
  <c r="S628" i="1"/>
  <c r="Q628" i="1"/>
  <c r="R956" i="1" s="1"/>
  <c r="T627" i="1"/>
  <c r="S627" i="1"/>
  <c r="Q627" i="1"/>
  <c r="R627" i="1" s="1"/>
  <c r="T626" i="1"/>
  <c r="S626" i="1"/>
  <c r="Q626" i="1"/>
  <c r="R626" i="1" s="1"/>
  <c r="T625" i="1"/>
  <c r="S625" i="1"/>
  <c r="Q625" i="1"/>
  <c r="R625" i="1" s="1"/>
  <c r="T624" i="1"/>
  <c r="S624" i="1"/>
  <c r="Q624" i="1"/>
  <c r="R624" i="1" s="1"/>
  <c r="T623" i="1"/>
  <c r="S623" i="1"/>
  <c r="Q623" i="1"/>
  <c r="R1496" i="1" s="1"/>
  <c r="T622" i="1"/>
  <c r="S622" i="1"/>
  <c r="Q622" i="1"/>
  <c r="R622" i="1" s="1"/>
  <c r="T621" i="1"/>
  <c r="S621" i="1"/>
  <c r="Q621" i="1"/>
  <c r="R995" i="1" s="1"/>
  <c r="T620" i="1"/>
  <c r="S620" i="1"/>
  <c r="Q620" i="1"/>
  <c r="T619" i="1"/>
  <c r="S619" i="1"/>
  <c r="Q619" i="1"/>
  <c r="R619" i="1" s="1"/>
  <c r="T618" i="1"/>
  <c r="S618" i="1"/>
  <c r="Q618" i="1"/>
  <c r="R618" i="1" s="1"/>
  <c r="T617" i="1"/>
  <c r="S617" i="1"/>
  <c r="Q617" i="1"/>
  <c r="T616" i="1"/>
  <c r="S616" i="1"/>
  <c r="Q616" i="1"/>
  <c r="R993" i="1" s="1"/>
  <c r="T615" i="1"/>
  <c r="S615" i="1"/>
  <c r="Q615" i="1"/>
  <c r="T614" i="1"/>
  <c r="S614" i="1"/>
  <c r="Q614" i="1"/>
  <c r="R1371" i="1" s="1"/>
  <c r="T613" i="1"/>
  <c r="S613" i="1"/>
  <c r="Q613" i="1"/>
  <c r="T612" i="1"/>
  <c r="S612" i="1"/>
  <c r="Q612" i="1"/>
  <c r="R612" i="1" s="1"/>
  <c r="T611" i="1"/>
  <c r="S611" i="1"/>
  <c r="Q611" i="1"/>
  <c r="R1415" i="1" s="1"/>
  <c r="T610" i="1"/>
  <c r="S610" i="1"/>
  <c r="Q610" i="1"/>
  <c r="R610" i="1" s="1"/>
  <c r="T609" i="1"/>
  <c r="S609" i="1"/>
  <c r="Q609" i="1"/>
  <c r="R609" i="1" s="1"/>
  <c r="T608" i="1"/>
  <c r="S608" i="1"/>
  <c r="Q608" i="1"/>
  <c r="T607" i="1"/>
  <c r="S607" i="1"/>
  <c r="Q607" i="1"/>
  <c r="R607" i="1" s="1"/>
  <c r="T606" i="1"/>
  <c r="S606" i="1"/>
  <c r="Q606" i="1"/>
  <c r="T605" i="1"/>
  <c r="S605" i="1"/>
  <c r="Q605" i="1"/>
  <c r="R1109" i="1" s="1"/>
  <c r="T604" i="1"/>
  <c r="S604" i="1"/>
  <c r="Q604" i="1"/>
  <c r="R918" i="1" s="1"/>
  <c r="T603" i="1"/>
  <c r="S603" i="1"/>
  <c r="Q603" i="1"/>
  <c r="R603" i="1" s="1"/>
  <c r="T602" i="1"/>
  <c r="S602" i="1"/>
  <c r="Q602" i="1"/>
  <c r="R934" i="1" s="1"/>
  <c r="T601" i="1"/>
  <c r="S601" i="1"/>
  <c r="Q601" i="1"/>
  <c r="R601" i="1" s="1"/>
  <c r="T600" i="1"/>
  <c r="S600" i="1"/>
  <c r="Q600" i="1"/>
  <c r="T599" i="1"/>
  <c r="S599" i="1"/>
  <c r="Q599" i="1"/>
  <c r="R599" i="1" s="1"/>
  <c r="T598" i="1"/>
  <c r="S598" i="1"/>
  <c r="Q598" i="1"/>
  <c r="R598" i="1" s="1"/>
  <c r="T597" i="1"/>
  <c r="S597" i="1"/>
  <c r="Q597" i="1"/>
  <c r="R1213" i="1" s="1"/>
  <c r="T596" i="1"/>
  <c r="S596" i="1"/>
  <c r="Q596" i="1"/>
  <c r="R1203" i="1" s="1"/>
  <c r="T595" i="1"/>
  <c r="S595" i="1"/>
  <c r="Q595" i="1"/>
  <c r="R595" i="1" s="1"/>
  <c r="T594" i="1"/>
  <c r="S594" i="1"/>
  <c r="Q594" i="1"/>
  <c r="T593" i="1"/>
  <c r="S593" i="1"/>
  <c r="Q593" i="1"/>
  <c r="R593" i="1" s="1"/>
  <c r="T592" i="1"/>
  <c r="S592" i="1"/>
  <c r="Q592" i="1"/>
  <c r="R592" i="1" s="1"/>
  <c r="T591" i="1"/>
  <c r="S591" i="1"/>
  <c r="Q591" i="1"/>
  <c r="R591" i="1" s="1"/>
  <c r="T590" i="1"/>
  <c r="S590" i="1"/>
  <c r="Q590" i="1"/>
  <c r="R590" i="1" s="1"/>
  <c r="T589" i="1"/>
  <c r="S589" i="1"/>
  <c r="Q589" i="1"/>
  <c r="R589" i="1" s="1"/>
  <c r="T588" i="1"/>
  <c r="S588" i="1"/>
  <c r="Q588" i="1"/>
  <c r="T587" i="1"/>
  <c r="S587" i="1"/>
  <c r="Q587" i="1"/>
  <c r="R1356" i="1" s="1"/>
  <c r="T586" i="1"/>
  <c r="S586" i="1"/>
  <c r="Q586" i="1"/>
  <c r="R586" i="1" s="1"/>
  <c r="T585" i="1"/>
  <c r="S585" i="1"/>
  <c r="Q585" i="1"/>
  <c r="R585" i="1" s="1"/>
  <c r="T584" i="1"/>
  <c r="S584" i="1"/>
  <c r="Q584" i="1"/>
  <c r="T583" i="1"/>
  <c r="S583" i="1"/>
  <c r="Q583" i="1"/>
  <c r="R583" i="1" s="1"/>
  <c r="T582" i="1"/>
  <c r="S582" i="1"/>
  <c r="Q582" i="1"/>
  <c r="R582" i="1" s="1"/>
  <c r="T581" i="1"/>
  <c r="S581" i="1"/>
  <c r="Q581" i="1"/>
  <c r="R1424" i="1" s="1"/>
  <c r="T580" i="1"/>
  <c r="S580" i="1"/>
  <c r="Q580" i="1"/>
  <c r="R1385" i="1" s="1"/>
  <c r="T579" i="1"/>
  <c r="S579" i="1"/>
  <c r="Q579" i="1"/>
  <c r="R579" i="1" s="1"/>
  <c r="T578" i="1"/>
  <c r="S578" i="1"/>
  <c r="Q578" i="1"/>
  <c r="R578" i="1" s="1"/>
  <c r="T577" i="1"/>
  <c r="S577" i="1"/>
  <c r="Q577" i="1"/>
  <c r="R1349" i="1" s="1"/>
  <c r="T576" i="1"/>
  <c r="S576" i="1"/>
  <c r="Q576" i="1"/>
  <c r="R576" i="1" s="1"/>
  <c r="T575" i="1"/>
  <c r="S575" i="1"/>
  <c r="Q575" i="1"/>
  <c r="T574" i="1"/>
  <c r="S574" i="1"/>
  <c r="Q574" i="1"/>
  <c r="R574" i="1" s="1"/>
  <c r="T573" i="1"/>
  <c r="S573" i="1"/>
  <c r="Q573" i="1"/>
  <c r="R1048" i="1" s="1"/>
  <c r="T572" i="1"/>
  <c r="S572" i="1"/>
  <c r="Q572" i="1"/>
  <c r="R1201" i="1" s="1"/>
  <c r="T571" i="1"/>
  <c r="S571" i="1"/>
  <c r="Q571" i="1"/>
  <c r="R571" i="1" s="1"/>
  <c r="T570" i="1"/>
  <c r="S570" i="1"/>
  <c r="Q570" i="1"/>
  <c r="T569" i="1"/>
  <c r="S569" i="1"/>
  <c r="Q569" i="1"/>
  <c r="T568" i="1"/>
  <c r="S568" i="1"/>
  <c r="Q568" i="1"/>
  <c r="T567" i="1"/>
  <c r="S567" i="1"/>
  <c r="Q567" i="1"/>
  <c r="R567" i="1" s="1"/>
  <c r="T566" i="1"/>
  <c r="S566" i="1"/>
  <c r="Q566" i="1"/>
  <c r="R1311" i="1" s="1"/>
  <c r="T565" i="1"/>
  <c r="S565" i="1"/>
  <c r="Q565" i="1"/>
  <c r="R1324" i="1" s="1"/>
  <c r="T564" i="1"/>
  <c r="S564" i="1"/>
  <c r="Q564" i="1"/>
  <c r="R1016" i="1" s="1"/>
  <c r="T563" i="1"/>
  <c r="S563" i="1"/>
  <c r="Q563" i="1"/>
  <c r="R563" i="1" s="1"/>
  <c r="T562" i="1"/>
  <c r="S562" i="1"/>
  <c r="Q562" i="1"/>
  <c r="R562" i="1" s="1"/>
  <c r="T561" i="1"/>
  <c r="S561" i="1"/>
  <c r="Q561" i="1"/>
  <c r="R561" i="1" s="1"/>
  <c r="T560" i="1"/>
  <c r="S560" i="1"/>
  <c r="Q560" i="1"/>
  <c r="R560" i="1" s="1"/>
  <c r="T559" i="1"/>
  <c r="S559" i="1"/>
  <c r="Q559" i="1"/>
  <c r="R1482" i="1" s="1"/>
  <c r="T558" i="1"/>
  <c r="S558" i="1"/>
  <c r="Q558" i="1"/>
  <c r="R558" i="1" s="1"/>
  <c r="T557" i="1"/>
  <c r="S557" i="1"/>
  <c r="Q557" i="1"/>
  <c r="R557" i="1" s="1"/>
  <c r="T556" i="1"/>
  <c r="S556" i="1"/>
  <c r="Q556" i="1"/>
  <c r="R556" i="1" s="1"/>
  <c r="T555" i="1"/>
  <c r="S555" i="1"/>
  <c r="Q555" i="1"/>
  <c r="R1364" i="1" s="1"/>
  <c r="T554" i="1"/>
  <c r="S554" i="1"/>
  <c r="Q554" i="1"/>
  <c r="R554" i="1" s="1"/>
  <c r="T553" i="1"/>
  <c r="S553" i="1"/>
  <c r="Q553" i="1"/>
  <c r="R1340" i="1" s="1"/>
  <c r="T552" i="1"/>
  <c r="S552" i="1"/>
  <c r="Q552" i="1"/>
  <c r="T551" i="1"/>
  <c r="S551" i="1"/>
  <c r="Q551" i="1"/>
  <c r="R551" i="1" s="1"/>
  <c r="T550" i="1"/>
  <c r="S550" i="1"/>
  <c r="Q550" i="1"/>
  <c r="R1195" i="1" s="1"/>
  <c r="T549" i="1"/>
  <c r="S549" i="1"/>
  <c r="Q549" i="1"/>
  <c r="R1078" i="1" s="1"/>
  <c r="T548" i="1"/>
  <c r="S548" i="1"/>
  <c r="Q548" i="1"/>
  <c r="R548" i="1" s="1"/>
  <c r="T547" i="1"/>
  <c r="S547" i="1"/>
  <c r="Q547" i="1"/>
  <c r="R1389" i="1" s="1"/>
  <c r="T546" i="1"/>
  <c r="S546" i="1"/>
  <c r="Q546" i="1"/>
  <c r="T545" i="1"/>
  <c r="S545" i="1"/>
  <c r="Q545" i="1"/>
  <c r="R545" i="1" s="1"/>
  <c r="T544" i="1"/>
  <c r="S544" i="1"/>
  <c r="Q544" i="1"/>
  <c r="R1494" i="1" s="1"/>
  <c r="T543" i="1"/>
  <c r="S543" i="1"/>
  <c r="Q543" i="1"/>
  <c r="R901" i="1" s="1"/>
  <c r="T542" i="1"/>
  <c r="S542" i="1"/>
  <c r="Q542" i="1"/>
  <c r="T541" i="1"/>
  <c r="S541" i="1"/>
  <c r="Q541" i="1"/>
  <c r="R541" i="1" s="1"/>
  <c r="T540" i="1"/>
  <c r="S540" i="1"/>
  <c r="Q540" i="1"/>
  <c r="R540" i="1" s="1"/>
  <c r="T539" i="1"/>
  <c r="S539" i="1"/>
  <c r="Q539" i="1"/>
  <c r="R904" i="1" s="1"/>
  <c r="T538" i="1"/>
  <c r="S538" i="1"/>
  <c r="Q538" i="1"/>
  <c r="R1357" i="1" s="1"/>
  <c r="T537" i="1"/>
  <c r="S537" i="1"/>
  <c r="Q537" i="1"/>
  <c r="R1250" i="1" s="1"/>
  <c r="T536" i="1"/>
  <c r="S536" i="1"/>
  <c r="Q536" i="1"/>
  <c r="R536" i="1" s="1"/>
  <c r="T535" i="1"/>
  <c r="S535" i="1"/>
  <c r="Q535" i="1"/>
  <c r="R895" i="1" s="1"/>
  <c r="T534" i="1"/>
  <c r="S534" i="1"/>
  <c r="Q534" i="1"/>
  <c r="R534" i="1" s="1"/>
  <c r="T533" i="1"/>
  <c r="S533" i="1"/>
  <c r="Q533" i="1"/>
  <c r="R533" i="1" s="1"/>
  <c r="T532" i="1"/>
  <c r="S532" i="1"/>
  <c r="Q532" i="1"/>
  <c r="T531" i="1"/>
  <c r="S531" i="1"/>
  <c r="Q531" i="1"/>
  <c r="R531" i="1" s="1"/>
  <c r="T530" i="1"/>
  <c r="S530" i="1"/>
  <c r="Q530" i="1"/>
  <c r="R1077" i="1" s="1"/>
  <c r="T529" i="1"/>
  <c r="S529" i="1"/>
  <c r="Q529" i="1"/>
  <c r="R1212" i="1" s="1"/>
  <c r="T528" i="1"/>
  <c r="S528" i="1"/>
  <c r="Q528" i="1"/>
  <c r="R1470" i="1" s="1"/>
  <c r="T527" i="1"/>
  <c r="S527" i="1"/>
  <c r="Q527" i="1"/>
  <c r="R1443" i="1" s="1"/>
  <c r="T526" i="1"/>
  <c r="S526" i="1"/>
  <c r="Q526" i="1"/>
  <c r="R526" i="1" s="1"/>
  <c r="T525" i="1"/>
  <c r="S525" i="1"/>
  <c r="Q525" i="1"/>
  <c r="T524" i="1"/>
  <c r="S524" i="1"/>
  <c r="Q524" i="1"/>
  <c r="R524" i="1" s="1"/>
  <c r="T523" i="1"/>
  <c r="S523" i="1"/>
  <c r="Q523" i="1"/>
  <c r="T522" i="1"/>
  <c r="S522" i="1"/>
  <c r="Q522" i="1"/>
  <c r="R522" i="1" s="1"/>
  <c r="T521" i="1"/>
  <c r="S521" i="1"/>
  <c r="Q521" i="1"/>
  <c r="R521" i="1" s="1"/>
  <c r="T520" i="1"/>
  <c r="S520" i="1"/>
  <c r="Q520" i="1"/>
  <c r="T519" i="1"/>
  <c r="S519" i="1"/>
  <c r="Q519" i="1"/>
  <c r="T518" i="1"/>
  <c r="S518" i="1"/>
  <c r="Q518" i="1"/>
  <c r="R1081" i="1" s="1"/>
  <c r="T517" i="1"/>
  <c r="S517" i="1"/>
  <c r="Q517" i="1"/>
  <c r="R1127" i="1" s="1"/>
  <c r="T516" i="1"/>
  <c r="S516" i="1"/>
  <c r="Q516" i="1"/>
  <c r="T515" i="1"/>
  <c r="S515" i="1"/>
  <c r="Q515" i="1"/>
  <c r="R515" i="1" s="1"/>
  <c r="T514" i="1"/>
  <c r="S514" i="1"/>
  <c r="Q514" i="1"/>
  <c r="R933" i="1" s="1"/>
  <c r="T513" i="1"/>
  <c r="S513" i="1"/>
  <c r="Q513" i="1"/>
  <c r="R513" i="1" s="1"/>
  <c r="T512" i="1"/>
  <c r="S512" i="1"/>
  <c r="Q512" i="1"/>
  <c r="R512" i="1" s="1"/>
  <c r="T511" i="1"/>
  <c r="S511" i="1"/>
  <c r="Q511" i="1"/>
  <c r="R511" i="1" s="1"/>
  <c r="T510" i="1"/>
  <c r="S510" i="1"/>
  <c r="Q510" i="1"/>
  <c r="R510" i="1" s="1"/>
  <c r="T509" i="1"/>
  <c r="S509" i="1"/>
  <c r="Q509" i="1"/>
  <c r="R509" i="1" s="1"/>
  <c r="T508" i="1"/>
  <c r="S508" i="1"/>
  <c r="Q508" i="1"/>
  <c r="R508" i="1" s="1"/>
  <c r="T507" i="1"/>
  <c r="S507" i="1"/>
  <c r="Q507" i="1"/>
  <c r="T506" i="1"/>
  <c r="S506" i="1"/>
  <c r="Q506" i="1"/>
  <c r="R506" i="1" s="1"/>
  <c r="T505" i="1"/>
  <c r="S505" i="1"/>
  <c r="Q505" i="1"/>
  <c r="T504" i="1"/>
  <c r="S504" i="1"/>
  <c r="Q504" i="1"/>
  <c r="R504" i="1" s="1"/>
  <c r="T503" i="1"/>
  <c r="S503" i="1"/>
  <c r="Q503" i="1"/>
  <c r="R503" i="1" s="1"/>
  <c r="T502" i="1"/>
  <c r="S502" i="1"/>
  <c r="Q502" i="1"/>
  <c r="R502" i="1" s="1"/>
  <c r="T501" i="1"/>
  <c r="S501" i="1"/>
  <c r="Q501" i="1"/>
  <c r="R501" i="1" s="1"/>
  <c r="T500" i="1"/>
  <c r="S500" i="1"/>
  <c r="Q500" i="1"/>
  <c r="R500" i="1" s="1"/>
  <c r="T499" i="1"/>
  <c r="S499" i="1"/>
  <c r="Q499" i="1"/>
  <c r="R499" i="1" s="1"/>
  <c r="T498" i="1"/>
  <c r="S498" i="1"/>
  <c r="Q498" i="1"/>
  <c r="T497" i="1"/>
  <c r="S497" i="1"/>
  <c r="Q497" i="1"/>
  <c r="R497" i="1" s="1"/>
  <c r="T496" i="1"/>
  <c r="S496" i="1"/>
  <c r="Q496" i="1"/>
  <c r="R496" i="1" s="1"/>
  <c r="T495" i="1"/>
  <c r="S495" i="1"/>
  <c r="Q495" i="1"/>
  <c r="R1093" i="1" s="1"/>
  <c r="T494" i="1"/>
  <c r="S494" i="1"/>
  <c r="Q494" i="1"/>
  <c r="T493" i="1"/>
  <c r="S493" i="1"/>
  <c r="Q493" i="1"/>
  <c r="R493" i="1" s="1"/>
  <c r="T492" i="1"/>
  <c r="S492" i="1"/>
  <c r="Q492" i="1"/>
  <c r="R492" i="1" s="1"/>
  <c r="T491" i="1"/>
  <c r="S491" i="1"/>
  <c r="Q491" i="1"/>
  <c r="R491" i="1" s="1"/>
  <c r="T490" i="1"/>
  <c r="S490" i="1"/>
  <c r="Q490" i="1"/>
  <c r="R490" i="1" s="1"/>
  <c r="T489" i="1"/>
  <c r="S489" i="1"/>
  <c r="Q489" i="1"/>
  <c r="R489" i="1" s="1"/>
  <c r="T488" i="1"/>
  <c r="S488" i="1"/>
  <c r="Q488" i="1"/>
  <c r="R1031" i="1" s="1"/>
  <c r="T487" i="1"/>
  <c r="S487" i="1"/>
  <c r="Q487" i="1"/>
  <c r="R487" i="1" s="1"/>
  <c r="T486" i="1"/>
  <c r="S486" i="1"/>
  <c r="Q486" i="1"/>
  <c r="R486" i="1" s="1"/>
  <c r="T485" i="1"/>
  <c r="S485" i="1"/>
  <c r="Q485" i="1"/>
  <c r="R485" i="1" s="1"/>
  <c r="T484" i="1"/>
  <c r="S484" i="1"/>
  <c r="Q484" i="1"/>
  <c r="R484" i="1" s="1"/>
  <c r="T483" i="1"/>
  <c r="S483" i="1"/>
  <c r="Q483" i="1"/>
  <c r="R954" i="1" s="1"/>
  <c r="T482" i="1"/>
  <c r="S482" i="1"/>
  <c r="Q482" i="1"/>
  <c r="R482" i="1" s="1"/>
  <c r="T481" i="1"/>
  <c r="S481" i="1"/>
  <c r="Q481" i="1"/>
  <c r="R1008" i="1" s="1"/>
  <c r="T480" i="1"/>
  <c r="S480" i="1"/>
  <c r="Q480" i="1"/>
  <c r="R480" i="1" s="1"/>
  <c r="T479" i="1"/>
  <c r="S479" i="1"/>
  <c r="Q479" i="1"/>
  <c r="R1125" i="1" s="1"/>
  <c r="T478" i="1"/>
  <c r="S478" i="1"/>
  <c r="Q478" i="1"/>
  <c r="R1225" i="1" s="1"/>
  <c r="T477" i="1"/>
  <c r="S477" i="1"/>
  <c r="Q477" i="1"/>
  <c r="R477" i="1" s="1"/>
  <c r="T476" i="1"/>
  <c r="S476" i="1"/>
  <c r="Q476" i="1"/>
  <c r="R476" i="1" s="1"/>
  <c r="T475" i="1"/>
  <c r="S475" i="1"/>
  <c r="Q475" i="1"/>
  <c r="R475" i="1" s="1"/>
  <c r="T474" i="1"/>
  <c r="S474" i="1"/>
  <c r="Q474" i="1"/>
  <c r="R474" i="1" s="1"/>
  <c r="T473" i="1"/>
  <c r="S473" i="1"/>
  <c r="Q473" i="1"/>
  <c r="R473" i="1" s="1"/>
  <c r="T472" i="1"/>
  <c r="S472" i="1"/>
  <c r="Q472" i="1"/>
  <c r="R883" i="1" s="1"/>
  <c r="T471" i="1"/>
  <c r="S471" i="1"/>
  <c r="Q471" i="1"/>
  <c r="T470" i="1"/>
  <c r="S470" i="1"/>
  <c r="Q470" i="1"/>
  <c r="R1209" i="1" s="1"/>
  <c r="T469" i="1"/>
  <c r="S469" i="1"/>
  <c r="Q469" i="1"/>
  <c r="R469" i="1" s="1"/>
  <c r="T468" i="1"/>
  <c r="S468" i="1"/>
  <c r="Q468" i="1"/>
  <c r="T467" i="1"/>
  <c r="S467" i="1"/>
  <c r="Q467" i="1"/>
  <c r="T466" i="1"/>
  <c r="S466" i="1"/>
  <c r="Q466" i="1"/>
  <c r="R466" i="1" s="1"/>
  <c r="T465" i="1"/>
  <c r="S465" i="1"/>
  <c r="Q465" i="1"/>
  <c r="R465" i="1" s="1"/>
  <c r="T464" i="1"/>
  <c r="S464" i="1"/>
  <c r="Q464" i="1"/>
  <c r="R464" i="1" s="1"/>
  <c r="T463" i="1"/>
  <c r="S463" i="1"/>
  <c r="Q463" i="1"/>
  <c r="R1068" i="1" s="1"/>
  <c r="T462" i="1"/>
  <c r="S462" i="1"/>
  <c r="Q462" i="1"/>
  <c r="T461" i="1"/>
  <c r="S461" i="1"/>
  <c r="Q461" i="1"/>
  <c r="R461" i="1" s="1"/>
  <c r="T460" i="1"/>
  <c r="S460" i="1"/>
  <c r="Q460" i="1"/>
  <c r="R1462" i="1" s="1"/>
  <c r="T459" i="1"/>
  <c r="S459" i="1"/>
  <c r="Q459" i="1"/>
  <c r="R1478" i="1" s="1"/>
  <c r="T458" i="1"/>
  <c r="S458" i="1"/>
  <c r="Q458" i="1"/>
  <c r="R458" i="1" s="1"/>
  <c r="T457" i="1"/>
  <c r="S457" i="1"/>
  <c r="Q457" i="1"/>
  <c r="R1428" i="1" s="1"/>
  <c r="T456" i="1"/>
  <c r="S456" i="1"/>
  <c r="Q456" i="1"/>
  <c r="R456" i="1" s="1"/>
  <c r="T455" i="1"/>
  <c r="S455" i="1"/>
  <c r="Q455" i="1"/>
  <c r="R1151" i="1" s="1"/>
  <c r="T454" i="1"/>
  <c r="S454" i="1"/>
  <c r="Q454" i="1"/>
  <c r="R454" i="1" s="1"/>
  <c r="T453" i="1"/>
  <c r="S453" i="1"/>
  <c r="Q453" i="1"/>
  <c r="T452" i="1"/>
  <c r="S452" i="1"/>
  <c r="Q452" i="1"/>
  <c r="R1337" i="1" s="1"/>
  <c r="T451" i="1"/>
  <c r="S451" i="1"/>
  <c r="Q451" i="1"/>
  <c r="R451" i="1" s="1"/>
  <c r="T450" i="1"/>
  <c r="S450" i="1"/>
  <c r="Q450" i="1"/>
  <c r="R450" i="1" s="1"/>
  <c r="T449" i="1"/>
  <c r="S449" i="1"/>
  <c r="Q449" i="1"/>
  <c r="R449" i="1" s="1"/>
  <c r="T448" i="1"/>
  <c r="S448" i="1"/>
  <c r="Q448" i="1"/>
  <c r="R448" i="1" s="1"/>
  <c r="T447" i="1"/>
  <c r="S447" i="1"/>
  <c r="Q447" i="1"/>
  <c r="R447" i="1" s="1"/>
  <c r="T446" i="1"/>
  <c r="S446" i="1"/>
  <c r="Q446" i="1"/>
  <c r="R1083" i="1" s="1"/>
  <c r="T445" i="1"/>
  <c r="S445" i="1"/>
  <c r="Q445" i="1"/>
  <c r="R849" i="1" s="1"/>
  <c r="T444" i="1"/>
  <c r="S444" i="1"/>
  <c r="Q444" i="1"/>
  <c r="R444" i="1" s="1"/>
  <c r="T443" i="1"/>
  <c r="S443" i="1"/>
  <c r="Q443" i="1"/>
  <c r="R443" i="1" s="1"/>
  <c r="T442" i="1"/>
  <c r="S442" i="1"/>
  <c r="Q442" i="1"/>
  <c r="R1330" i="1" s="1"/>
  <c r="T441" i="1"/>
  <c r="S441" i="1"/>
  <c r="Q441" i="1"/>
  <c r="R441" i="1" s="1"/>
  <c r="T440" i="1"/>
  <c r="S440" i="1"/>
  <c r="Q440" i="1"/>
  <c r="R440" i="1" s="1"/>
  <c r="T439" i="1"/>
  <c r="S439" i="1"/>
  <c r="Q439" i="1"/>
  <c r="T438" i="1"/>
  <c r="S438" i="1"/>
  <c r="Q438" i="1"/>
  <c r="R1084" i="1" s="1"/>
  <c r="T437" i="1"/>
  <c r="S437" i="1"/>
  <c r="Q437" i="1"/>
  <c r="R437" i="1" s="1"/>
  <c r="T436" i="1"/>
  <c r="S436" i="1"/>
  <c r="Q436" i="1"/>
  <c r="R436" i="1" s="1"/>
  <c r="T435" i="1"/>
  <c r="S435" i="1"/>
  <c r="Q435" i="1"/>
  <c r="T434" i="1"/>
  <c r="S434" i="1"/>
  <c r="Q434" i="1"/>
  <c r="R1033" i="1" s="1"/>
  <c r="T433" i="1"/>
  <c r="S433" i="1"/>
  <c r="Q433" i="1"/>
  <c r="R433" i="1" s="1"/>
  <c r="T432" i="1"/>
  <c r="S432" i="1"/>
  <c r="Q432" i="1"/>
  <c r="R432" i="1" s="1"/>
  <c r="T431" i="1"/>
  <c r="S431" i="1"/>
  <c r="Q431" i="1"/>
  <c r="R431" i="1" s="1"/>
  <c r="T430" i="1"/>
  <c r="S430" i="1"/>
  <c r="Q430" i="1"/>
  <c r="R1153" i="1" s="1"/>
  <c r="T429" i="1"/>
  <c r="S429" i="1"/>
  <c r="Q429" i="1"/>
  <c r="R429" i="1" s="1"/>
  <c r="T428" i="1"/>
  <c r="S428" i="1"/>
  <c r="Q428" i="1"/>
  <c r="R973" i="1" s="1"/>
  <c r="T427" i="1"/>
  <c r="S427" i="1"/>
  <c r="Q427" i="1"/>
  <c r="R427" i="1" s="1"/>
  <c r="T426" i="1"/>
  <c r="S426" i="1"/>
  <c r="Q426" i="1"/>
  <c r="R426" i="1" s="1"/>
  <c r="T425" i="1"/>
  <c r="S425" i="1"/>
  <c r="Q425" i="1"/>
  <c r="R1432" i="1" s="1"/>
  <c r="T424" i="1"/>
  <c r="S424" i="1"/>
  <c r="Q424" i="1"/>
  <c r="R424" i="1" s="1"/>
  <c r="T423" i="1"/>
  <c r="S423" i="1"/>
  <c r="Q423" i="1"/>
  <c r="R423" i="1" s="1"/>
  <c r="T422" i="1"/>
  <c r="S422" i="1"/>
  <c r="Q422" i="1"/>
  <c r="R422" i="1" s="1"/>
  <c r="T421" i="1"/>
  <c r="S421" i="1"/>
  <c r="Q421" i="1"/>
  <c r="R421" i="1" s="1"/>
  <c r="T420" i="1"/>
  <c r="S420" i="1"/>
  <c r="Q420" i="1"/>
  <c r="R420" i="1" s="1"/>
  <c r="T419" i="1"/>
  <c r="S419" i="1"/>
  <c r="Q419" i="1"/>
  <c r="T418" i="1"/>
  <c r="S418" i="1"/>
  <c r="Q418" i="1"/>
  <c r="R418" i="1" s="1"/>
  <c r="T417" i="1"/>
  <c r="S417" i="1"/>
  <c r="Q417" i="1"/>
  <c r="R417" i="1" s="1"/>
  <c r="T416" i="1"/>
  <c r="S416" i="1"/>
  <c r="Q416" i="1"/>
  <c r="T415" i="1"/>
  <c r="S415" i="1"/>
  <c r="Q415" i="1"/>
  <c r="R415" i="1" s="1"/>
  <c r="T414" i="1"/>
  <c r="S414" i="1"/>
  <c r="Q414" i="1"/>
  <c r="R414" i="1" s="1"/>
  <c r="T413" i="1"/>
  <c r="S413" i="1"/>
  <c r="Q413" i="1"/>
  <c r="R1089" i="1" s="1"/>
  <c r="T412" i="1"/>
  <c r="S412" i="1"/>
  <c r="Q412" i="1"/>
  <c r="R412" i="1" s="1"/>
  <c r="T411" i="1"/>
  <c r="S411" i="1"/>
  <c r="Q411" i="1"/>
  <c r="R1468" i="1" s="1"/>
  <c r="T410" i="1"/>
  <c r="S410" i="1"/>
  <c r="Q410" i="1"/>
  <c r="R897" i="1" s="1"/>
  <c r="T409" i="1"/>
  <c r="S409" i="1"/>
  <c r="Q409" i="1"/>
  <c r="R409" i="1" s="1"/>
  <c r="T408" i="1"/>
  <c r="S408" i="1"/>
  <c r="Q408" i="1"/>
  <c r="T407" i="1"/>
  <c r="S407" i="1"/>
  <c r="Q407" i="1"/>
  <c r="R407" i="1" s="1"/>
  <c r="T406" i="1"/>
  <c r="S406" i="1"/>
  <c r="Q406" i="1"/>
  <c r="R406" i="1" s="1"/>
  <c r="T405" i="1"/>
  <c r="S405" i="1"/>
  <c r="Q405" i="1"/>
  <c r="R405" i="1" s="1"/>
  <c r="T404" i="1"/>
  <c r="S404" i="1"/>
  <c r="Q404" i="1"/>
  <c r="R404" i="1" s="1"/>
  <c r="T403" i="1"/>
  <c r="S403" i="1"/>
  <c r="Q403" i="1"/>
  <c r="T402" i="1"/>
  <c r="S402" i="1"/>
  <c r="Q402" i="1"/>
  <c r="R963" i="1" s="1"/>
  <c r="T401" i="1"/>
  <c r="S401" i="1"/>
  <c r="Q401" i="1"/>
  <c r="R401" i="1" s="1"/>
  <c r="T400" i="1"/>
  <c r="S400" i="1"/>
  <c r="Q400" i="1"/>
  <c r="R1022" i="1" s="1"/>
  <c r="T399" i="1"/>
  <c r="S399" i="1"/>
  <c r="Q399" i="1"/>
  <c r="R1028" i="1" s="1"/>
  <c r="T398" i="1"/>
  <c r="S398" i="1"/>
  <c r="Q398" i="1"/>
  <c r="R398" i="1" s="1"/>
  <c r="T397" i="1"/>
  <c r="S397" i="1"/>
  <c r="Q397" i="1"/>
  <c r="R828" i="1" s="1"/>
  <c r="T396" i="1"/>
  <c r="S396" i="1"/>
  <c r="Q396" i="1"/>
  <c r="R396" i="1" s="1"/>
  <c r="T395" i="1"/>
  <c r="S395" i="1"/>
  <c r="Q395" i="1"/>
  <c r="R395" i="1" s="1"/>
  <c r="T394" i="1"/>
  <c r="S394" i="1"/>
  <c r="Q394" i="1"/>
  <c r="T393" i="1"/>
  <c r="S393" i="1"/>
  <c r="Q393" i="1"/>
  <c r="R393" i="1" s="1"/>
  <c r="T392" i="1"/>
  <c r="S392" i="1"/>
  <c r="Q392" i="1"/>
  <c r="R392" i="1" s="1"/>
  <c r="T391" i="1"/>
  <c r="S391" i="1"/>
  <c r="Q391" i="1"/>
  <c r="R1138" i="1" s="1"/>
  <c r="T390" i="1"/>
  <c r="S390" i="1"/>
  <c r="Q390" i="1"/>
  <c r="R390" i="1" s="1"/>
  <c r="T389" i="1"/>
  <c r="S389" i="1"/>
  <c r="Q389" i="1"/>
  <c r="R1469" i="1" s="1"/>
  <c r="T388" i="1"/>
  <c r="S388" i="1"/>
  <c r="Q388" i="1"/>
  <c r="R388" i="1" s="1"/>
  <c r="T387" i="1"/>
  <c r="S387" i="1"/>
  <c r="Q387" i="1"/>
  <c r="R387" i="1" s="1"/>
  <c r="T386" i="1"/>
  <c r="S386" i="1"/>
  <c r="Q386" i="1"/>
  <c r="T385" i="1"/>
  <c r="S385" i="1"/>
  <c r="Q385" i="1"/>
  <c r="T384" i="1"/>
  <c r="S384" i="1"/>
  <c r="Q384" i="1"/>
  <c r="T383" i="1"/>
  <c r="S383" i="1"/>
  <c r="Q383" i="1"/>
  <c r="R383" i="1" s="1"/>
  <c r="T382" i="1"/>
  <c r="S382" i="1"/>
  <c r="Q382" i="1"/>
  <c r="R382" i="1" s="1"/>
  <c r="T381" i="1"/>
  <c r="S381" i="1"/>
  <c r="Q381" i="1"/>
  <c r="R381" i="1" s="1"/>
  <c r="T380" i="1"/>
  <c r="S380" i="1"/>
  <c r="Q380" i="1"/>
  <c r="R380" i="1" s="1"/>
  <c r="T379" i="1"/>
  <c r="S379" i="1"/>
  <c r="Q379" i="1"/>
  <c r="R379" i="1" s="1"/>
  <c r="T378" i="1"/>
  <c r="S378" i="1"/>
  <c r="Q378" i="1"/>
  <c r="R378" i="1" s="1"/>
  <c r="T377" i="1"/>
  <c r="S377" i="1"/>
  <c r="Q377" i="1"/>
  <c r="T376" i="1"/>
  <c r="S376" i="1"/>
  <c r="Q376" i="1"/>
  <c r="R903" i="1" s="1"/>
  <c r="T375" i="1"/>
  <c r="S375" i="1"/>
  <c r="Q375" i="1"/>
  <c r="R375" i="1" s="1"/>
  <c r="T374" i="1"/>
  <c r="S374" i="1"/>
  <c r="Q374" i="1"/>
  <c r="R1377" i="1" s="1"/>
  <c r="T373" i="1"/>
  <c r="S373" i="1"/>
  <c r="Q373" i="1"/>
  <c r="R373" i="1" s="1"/>
  <c r="T372" i="1"/>
  <c r="S372" i="1"/>
  <c r="Q372" i="1"/>
  <c r="T371" i="1"/>
  <c r="S371" i="1"/>
  <c r="Q371" i="1"/>
  <c r="R371" i="1" s="1"/>
  <c r="T370" i="1"/>
  <c r="S370" i="1"/>
  <c r="Q370" i="1"/>
  <c r="T369" i="1"/>
  <c r="S369" i="1"/>
  <c r="Q369" i="1"/>
  <c r="R1073" i="1" s="1"/>
  <c r="T368" i="1"/>
  <c r="S368" i="1"/>
  <c r="Q368" i="1"/>
  <c r="R368" i="1" s="1"/>
  <c r="T367" i="1"/>
  <c r="S367" i="1"/>
  <c r="Q367" i="1"/>
  <c r="R367" i="1" s="1"/>
  <c r="T366" i="1"/>
  <c r="S366" i="1"/>
  <c r="Q366" i="1"/>
  <c r="R366" i="1" s="1"/>
  <c r="T365" i="1"/>
  <c r="S365" i="1"/>
  <c r="Q365" i="1"/>
  <c r="T364" i="1"/>
  <c r="S364" i="1"/>
  <c r="Q364" i="1"/>
  <c r="R364" i="1" s="1"/>
  <c r="T363" i="1"/>
  <c r="S363" i="1"/>
  <c r="Q363" i="1"/>
  <c r="T362" i="1"/>
  <c r="S362" i="1"/>
  <c r="Q362" i="1"/>
  <c r="R1353" i="1" s="1"/>
  <c r="T361" i="1"/>
  <c r="S361" i="1"/>
  <c r="Q361" i="1"/>
  <c r="T360" i="1"/>
  <c r="S360" i="1"/>
  <c r="Q360" i="1"/>
  <c r="R958" i="1" s="1"/>
  <c r="T359" i="1"/>
  <c r="S359" i="1"/>
  <c r="Q359" i="1"/>
  <c r="R1002" i="1" s="1"/>
  <c r="T358" i="1"/>
  <c r="S358" i="1"/>
  <c r="Q358" i="1"/>
  <c r="R948" i="1" s="1"/>
  <c r="T357" i="1"/>
  <c r="S357" i="1"/>
  <c r="Q357" i="1"/>
  <c r="R357" i="1" s="1"/>
  <c r="T356" i="1"/>
  <c r="S356" i="1"/>
  <c r="Q356" i="1"/>
  <c r="R356" i="1" s="1"/>
  <c r="T355" i="1"/>
  <c r="S355" i="1"/>
  <c r="Q355" i="1"/>
  <c r="R1251" i="1" s="1"/>
  <c r="T354" i="1"/>
  <c r="S354" i="1"/>
  <c r="Q354" i="1"/>
  <c r="T353" i="1"/>
  <c r="S353" i="1"/>
  <c r="Q353" i="1"/>
  <c r="R353" i="1" s="1"/>
  <c r="T352" i="1"/>
  <c r="S352" i="1"/>
  <c r="Q352" i="1"/>
  <c r="R352" i="1" s="1"/>
  <c r="T351" i="1"/>
  <c r="S351" i="1"/>
  <c r="Q351" i="1"/>
  <c r="R351" i="1" s="1"/>
  <c r="T350" i="1"/>
  <c r="S350" i="1"/>
  <c r="Q350" i="1"/>
  <c r="R852" i="1" s="1"/>
  <c r="T349" i="1"/>
  <c r="S349" i="1"/>
  <c r="Q349" i="1"/>
  <c r="R349" i="1" s="1"/>
  <c r="T348" i="1"/>
  <c r="S348" i="1"/>
  <c r="Q348" i="1"/>
  <c r="R348" i="1" s="1"/>
  <c r="T347" i="1"/>
  <c r="S347" i="1"/>
  <c r="Q347" i="1"/>
  <c r="R1446" i="1" s="1"/>
  <c r="T346" i="1"/>
  <c r="S346" i="1"/>
  <c r="Q346" i="1"/>
  <c r="R346" i="1" s="1"/>
  <c r="T345" i="1"/>
  <c r="S345" i="1"/>
  <c r="Q345" i="1"/>
  <c r="R345" i="1" s="1"/>
  <c r="T344" i="1"/>
  <c r="S344" i="1"/>
  <c r="Q344" i="1"/>
  <c r="R344" i="1" s="1"/>
  <c r="T343" i="1"/>
  <c r="S343" i="1"/>
  <c r="Q343" i="1"/>
  <c r="R343" i="1" s="1"/>
  <c r="T342" i="1"/>
  <c r="S342" i="1"/>
  <c r="Q342" i="1"/>
  <c r="R342" i="1" s="1"/>
  <c r="T341" i="1"/>
  <c r="S341" i="1"/>
  <c r="Q341" i="1"/>
  <c r="T340" i="1"/>
  <c r="S340" i="1"/>
  <c r="Q340" i="1"/>
  <c r="R340" i="1" s="1"/>
  <c r="T339" i="1"/>
  <c r="S339" i="1"/>
  <c r="Q339" i="1"/>
  <c r="R339" i="1" s="1"/>
  <c r="T338" i="1"/>
  <c r="S338" i="1"/>
  <c r="Q338" i="1"/>
  <c r="R1368" i="1" s="1"/>
  <c r="T337" i="1"/>
  <c r="S337" i="1"/>
  <c r="Q337" i="1"/>
  <c r="R833" i="1" s="1"/>
  <c r="T336" i="1"/>
  <c r="S336" i="1"/>
  <c r="Q336" i="1"/>
  <c r="T335" i="1"/>
  <c r="S335" i="1"/>
  <c r="Q335" i="1"/>
  <c r="R335" i="1" s="1"/>
  <c r="T334" i="1"/>
  <c r="S334" i="1"/>
  <c r="Q334" i="1"/>
  <c r="R866" i="1" s="1"/>
  <c r="T333" i="1"/>
  <c r="S333" i="1"/>
  <c r="Q333" i="1"/>
  <c r="R333" i="1" s="1"/>
  <c r="T332" i="1"/>
  <c r="S332" i="1"/>
  <c r="Q332" i="1"/>
  <c r="R332" i="1" s="1"/>
  <c r="T331" i="1"/>
  <c r="S331" i="1"/>
  <c r="Q331" i="1"/>
  <c r="R839" i="1" s="1"/>
  <c r="T330" i="1"/>
  <c r="S330" i="1"/>
  <c r="Q330" i="1"/>
  <c r="R330" i="1" s="1"/>
  <c r="T329" i="1"/>
  <c r="S329" i="1"/>
  <c r="Q329" i="1"/>
  <c r="R329" i="1" s="1"/>
  <c r="T328" i="1"/>
  <c r="S328" i="1"/>
  <c r="Q328" i="1"/>
  <c r="R1023" i="1" s="1"/>
  <c r="T327" i="1"/>
  <c r="S327" i="1"/>
  <c r="Q327" i="1"/>
  <c r="R327" i="1" s="1"/>
  <c r="T326" i="1"/>
  <c r="S326" i="1"/>
  <c r="Q326" i="1"/>
  <c r="R326" i="1" s="1"/>
  <c r="T325" i="1"/>
  <c r="S325" i="1"/>
  <c r="Q325" i="1"/>
  <c r="R325" i="1" s="1"/>
  <c r="T324" i="1"/>
  <c r="S324" i="1"/>
  <c r="Q324" i="1"/>
  <c r="R928" i="1" s="1"/>
  <c r="T323" i="1"/>
  <c r="S323" i="1"/>
  <c r="Q323" i="1"/>
  <c r="R323" i="1" s="1"/>
  <c r="T322" i="1"/>
  <c r="S322" i="1"/>
  <c r="Q322" i="1"/>
  <c r="R322" i="1" s="1"/>
  <c r="T321" i="1"/>
  <c r="S321" i="1"/>
  <c r="Q321" i="1"/>
  <c r="R988" i="1" s="1"/>
  <c r="T320" i="1"/>
  <c r="S320" i="1"/>
  <c r="Q320" i="1"/>
  <c r="T319" i="1"/>
  <c r="S319" i="1"/>
  <c r="Q319" i="1"/>
  <c r="R319" i="1" s="1"/>
  <c r="T318" i="1"/>
  <c r="S318" i="1"/>
  <c r="Q318" i="1"/>
  <c r="T317" i="1"/>
  <c r="S317" i="1"/>
  <c r="Q317" i="1"/>
  <c r="R1245" i="1" s="1"/>
  <c r="T316" i="1"/>
  <c r="S316" i="1"/>
  <c r="Q316" i="1"/>
  <c r="R1110" i="1" s="1"/>
  <c r="T315" i="1"/>
  <c r="S315" i="1"/>
  <c r="Q315" i="1"/>
  <c r="R315" i="1" s="1"/>
  <c r="T314" i="1"/>
  <c r="S314" i="1"/>
  <c r="Q314" i="1"/>
  <c r="R314" i="1" s="1"/>
  <c r="T313" i="1"/>
  <c r="S313" i="1"/>
  <c r="Q313" i="1"/>
  <c r="T312" i="1"/>
  <c r="S312" i="1"/>
  <c r="Q312" i="1"/>
  <c r="R312" i="1" s="1"/>
  <c r="T311" i="1"/>
  <c r="S311" i="1"/>
  <c r="Q311" i="1"/>
  <c r="R1301" i="1" s="1"/>
  <c r="T310" i="1"/>
  <c r="S310" i="1"/>
  <c r="Q310" i="1"/>
  <c r="R310" i="1" s="1"/>
  <c r="T309" i="1"/>
  <c r="S309" i="1"/>
  <c r="Q309" i="1"/>
  <c r="R309" i="1" s="1"/>
  <c r="T308" i="1"/>
  <c r="S308" i="1"/>
  <c r="Q308" i="1"/>
  <c r="R1408" i="1" s="1"/>
  <c r="T307" i="1"/>
  <c r="S307" i="1"/>
  <c r="Q307" i="1"/>
  <c r="R1272" i="1" s="1"/>
  <c r="T306" i="1"/>
  <c r="S306" i="1"/>
  <c r="Q306" i="1"/>
  <c r="R306" i="1" s="1"/>
  <c r="T305" i="1"/>
  <c r="S305" i="1"/>
  <c r="Q305" i="1"/>
  <c r="R305" i="1" s="1"/>
  <c r="T304" i="1"/>
  <c r="S304" i="1"/>
  <c r="Q304" i="1"/>
  <c r="R1130" i="1" s="1"/>
  <c r="T303" i="1"/>
  <c r="S303" i="1"/>
  <c r="Q303" i="1"/>
  <c r="R1312" i="1" s="1"/>
  <c r="T302" i="1"/>
  <c r="S302" i="1"/>
  <c r="Q302" i="1"/>
  <c r="R302" i="1" s="1"/>
  <c r="T301" i="1"/>
  <c r="S301" i="1"/>
  <c r="Q301" i="1"/>
  <c r="T300" i="1"/>
  <c r="S300" i="1"/>
  <c r="Q300" i="1"/>
  <c r="R300" i="1" s="1"/>
  <c r="T299" i="1"/>
  <c r="S299" i="1"/>
  <c r="Q299" i="1"/>
  <c r="R1168" i="1" s="1"/>
  <c r="T298" i="1"/>
  <c r="S298" i="1"/>
  <c r="Q298" i="1"/>
  <c r="R298" i="1" s="1"/>
  <c r="T297" i="1"/>
  <c r="S297" i="1"/>
  <c r="Q297" i="1"/>
  <c r="T296" i="1"/>
  <c r="S296" i="1"/>
  <c r="Q296" i="1"/>
  <c r="T295" i="1"/>
  <c r="S295" i="1"/>
  <c r="Q295" i="1"/>
  <c r="R947" i="1" s="1"/>
  <c r="T294" i="1"/>
  <c r="S294" i="1"/>
  <c r="Q294" i="1"/>
  <c r="R1166" i="1" s="1"/>
  <c r="T293" i="1"/>
  <c r="S293" i="1"/>
  <c r="Q293" i="1"/>
  <c r="R293" i="1" s="1"/>
  <c r="T292" i="1"/>
  <c r="S292" i="1"/>
  <c r="Q292" i="1"/>
  <c r="R292" i="1" s="1"/>
  <c r="T291" i="1"/>
  <c r="S291" i="1"/>
  <c r="Q291" i="1"/>
  <c r="R291" i="1" s="1"/>
  <c r="T290" i="1"/>
  <c r="S290" i="1"/>
  <c r="Q290" i="1"/>
  <c r="R290" i="1" s="1"/>
  <c r="T289" i="1"/>
  <c r="S289" i="1"/>
  <c r="Q289" i="1"/>
  <c r="R289" i="1" s="1"/>
  <c r="T288" i="1"/>
  <c r="S288" i="1"/>
  <c r="Q288" i="1"/>
  <c r="R288" i="1" s="1"/>
  <c r="T287" i="1"/>
  <c r="S287" i="1"/>
  <c r="Q287" i="1"/>
  <c r="R1234" i="1" s="1"/>
  <c r="T286" i="1"/>
  <c r="S286" i="1"/>
  <c r="Q286" i="1"/>
  <c r="R286" i="1" s="1"/>
  <c r="T285" i="1"/>
  <c r="S285" i="1"/>
  <c r="Q285" i="1"/>
  <c r="R285" i="1" s="1"/>
  <c r="T284" i="1"/>
  <c r="S284" i="1"/>
  <c r="Q284" i="1"/>
  <c r="R284" i="1" s="1"/>
  <c r="T283" i="1"/>
  <c r="S283" i="1"/>
  <c r="Q283" i="1"/>
  <c r="R283" i="1" s="1"/>
  <c r="T282" i="1"/>
  <c r="S282" i="1"/>
  <c r="Q282" i="1"/>
  <c r="T281" i="1"/>
  <c r="S281" i="1"/>
  <c r="Q281" i="1"/>
  <c r="R281" i="1" s="1"/>
  <c r="T280" i="1"/>
  <c r="S280" i="1"/>
  <c r="Q280" i="1"/>
  <c r="R280" i="1" s="1"/>
  <c r="T279" i="1"/>
  <c r="S279" i="1"/>
  <c r="Q279" i="1"/>
  <c r="R279" i="1" s="1"/>
  <c r="T278" i="1"/>
  <c r="S278" i="1"/>
  <c r="Q278" i="1"/>
  <c r="R278" i="1" s="1"/>
  <c r="T277" i="1"/>
  <c r="S277" i="1"/>
  <c r="Q277" i="1"/>
  <c r="R277" i="1" s="1"/>
  <c r="T276" i="1"/>
  <c r="S276" i="1"/>
  <c r="Q276" i="1"/>
  <c r="T275" i="1"/>
  <c r="S275" i="1"/>
  <c r="Q275" i="1"/>
  <c r="R275" i="1" s="1"/>
  <c r="T274" i="1"/>
  <c r="S274" i="1"/>
  <c r="Q274" i="1"/>
  <c r="R1176" i="1" s="1"/>
  <c r="T273" i="1"/>
  <c r="S273" i="1"/>
  <c r="Q273" i="1"/>
  <c r="R273" i="1" s="1"/>
  <c r="T272" i="1"/>
  <c r="S272" i="1"/>
  <c r="Q272" i="1"/>
  <c r="R272" i="1" s="1"/>
  <c r="T271" i="1"/>
  <c r="S271" i="1"/>
  <c r="Q271" i="1"/>
  <c r="R271" i="1" s="1"/>
  <c r="T270" i="1"/>
  <c r="S270" i="1"/>
  <c r="Q270" i="1"/>
  <c r="R270" i="1" s="1"/>
  <c r="T269" i="1"/>
  <c r="S269" i="1"/>
  <c r="Q269" i="1"/>
  <c r="R269" i="1" s="1"/>
  <c r="T268" i="1"/>
  <c r="S268" i="1"/>
  <c r="Q268" i="1"/>
  <c r="R920" i="1" s="1"/>
  <c r="T267" i="1"/>
  <c r="S267" i="1"/>
  <c r="Q267" i="1"/>
  <c r="R908" i="1" s="1"/>
  <c r="T266" i="1"/>
  <c r="S266" i="1"/>
  <c r="Q266" i="1"/>
  <c r="R1090" i="1" s="1"/>
  <c r="T265" i="1"/>
  <c r="S265" i="1"/>
  <c r="Q265" i="1"/>
  <c r="R1202" i="1" s="1"/>
  <c r="T264" i="1"/>
  <c r="S264" i="1"/>
  <c r="Q264" i="1"/>
  <c r="R264" i="1" s="1"/>
  <c r="T263" i="1"/>
  <c r="S263" i="1"/>
  <c r="Q263" i="1"/>
  <c r="R1475" i="1" s="1"/>
  <c r="T262" i="1"/>
  <c r="S262" i="1"/>
  <c r="Q262" i="1"/>
  <c r="R262" i="1" s="1"/>
  <c r="T261" i="1"/>
  <c r="S261" i="1"/>
  <c r="Q261" i="1"/>
  <c r="T260" i="1"/>
  <c r="S260" i="1"/>
  <c r="Q260" i="1"/>
  <c r="T259" i="1"/>
  <c r="S259" i="1"/>
  <c r="Q259" i="1"/>
  <c r="R259" i="1" s="1"/>
  <c r="T258" i="1"/>
  <c r="S258" i="1"/>
  <c r="Q258" i="1"/>
  <c r="R1040" i="1" s="1"/>
  <c r="T257" i="1"/>
  <c r="S257" i="1"/>
  <c r="Q257" i="1"/>
  <c r="R257" i="1" s="1"/>
  <c r="T256" i="1"/>
  <c r="S256" i="1"/>
  <c r="Q256" i="1"/>
  <c r="R256" i="1" s="1"/>
  <c r="T255" i="1"/>
  <c r="S255" i="1"/>
  <c r="Q255" i="1"/>
  <c r="R255" i="1" s="1"/>
  <c r="T254" i="1"/>
  <c r="S254" i="1"/>
  <c r="Q254" i="1"/>
  <c r="R1437" i="1" s="1"/>
  <c r="T253" i="1"/>
  <c r="S253" i="1"/>
  <c r="Q253" i="1"/>
  <c r="R253" i="1" s="1"/>
  <c r="T252" i="1"/>
  <c r="S252" i="1"/>
  <c r="Q252" i="1"/>
  <c r="R1120" i="1" s="1"/>
  <c r="T251" i="1"/>
  <c r="S251" i="1"/>
  <c r="Q251" i="1"/>
  <c r="R251" i="1" s="1"/>
  <c r="T250" i="1"/>
  <c r="S250" i="1"/>
  <c r="Q250" i="1"/>
  <c r="R1175" i="1" s="1"/>
  <c r="T249" i="1"/>
  <c r="S249" i="1"/>
  <c r="Q249" i="1"/>
  <c r="R249" i="1" s="1"/>
  <c r="T248" i="1"/>
  <c r="S248" i="1"/>
  <c r="Q248" i="1"/>
  <c r="R923" i="1" s="1"/>
  <c r="T247" i="1"/>
  <c r="S247" i="1"/>
  <c r="Q247" i="1"/>
  <c r="R1296" i="1" s="1"/>
  <c r="T246" i="1"/>
  <c r="S246" i="1"/>
  <c r="Q246" i="1"/>
  <c r="T245" i="1"/>
  <c r="S245" i="1"/>
  <c r="Q245" i="1"/>
  <c r="R245" i="1" s="1"/>
  <c r="T244" i="1"/>
  <c r="S244" i="1"/>
  <c r="Q244" i="1"/>
  <c r="T243" i="1"/>
  <c r="S243" i="1"/>
  <c r="Q243" i="1"/>
  <c r="R243" i="1" s="1"/>
  <c r="T242" i="1"/>
  <c r="S242" i="1"/>
  <c r="Q242" i="1"/>
  <c r="T241" i="1"/>
  <c r="S241" i="1"/>
  <c r="Q241" i="1"/>
  <c r="R241" i="1" s="1"/>
  <c r="T240" i="1"/>
  <c r="S240" i="1"/>
  <c r="Q240" i="1"/>
  <c r="R240" i="1" s="1"/>
  <c r="T239" i="1"/>
  <c r="S239" i="1"/>
  <c r="Q239" i="1"/>
  <c r="R239" i="1" s="1"/>
  <c r="T238" i="1"/>
  <c r="S238" i="1"/>
  <c r="Q238" i="1"/>
  <c r="R238" i="1" s="1"/>
  <c r="T237" i="1"/>
  <c r="S237" i="1"/>
  <c r="Q237" i="1"/>
  <c r="T236" i="1"/>
  <c r="S236" i="1"/>
  <c r="Q236" i="1"/>
  <c r="R236" i="1" s="1"/>
  <c r="T235" i="1"/>
  <c r="S235" i="1"/>
  <c r="Q235" i="1"/>
  <c r="R235" i="1" s="1"/>
  <c r="T234" i="1"/>
  <c r="S234" i="1"/>
  <c r="Q234" i="1"/>
  <c r="R967" i="1" s="1"/>
  <c r="T233" i="1"/>
  <c r="S233" i="1"/>
  <c r="Q233" i="1"/>
  <c r="R233" i="1" s="1"/>
  <c r="T232" i="1"/>
  <c r="S232" i="1"/>
  <c r="Q232" i="1"/>
  <c r="R232" i="1" s="1"/>
  <c r="T231" i="1"/>
  <c r="S231" i="1"/>
  <c r="Q231" i="1"/>
  <c r="R1282" i="1" s="1"/>
  <c r="T230" i="1"/>
  <c r="S230" i="1"/>
  <c r="Q230" i="1"/>
  <c r="R230" i="1" s="1"/>
  <c r="T229" i="1"/>
  <c r="S229" i="1"/>
  <c r="Q229" i="1"/>
  <c r="R229" i="1" s="1"/>
  <c r="T228" i="1"/>
  <c r="S228" i="1"/>
  <c r="Q228" i="1"/>
  <c r="T227" i="1"/>
  <c r="S227" i="1"/>
  <c r="Q227" i="1"/>
  <c r="R1054" i="1" s="1"/>
  <c r="T226" i="1"/>
  <c r="S226" i="1"/>
  <c r="Q226" i="1"/>
  <c r="R226" i="1" s="1"/>
  <c r="T225" i="1"/>
  <c r="S225" i="1"/>
  <c r="Q225" i="1"/>
  <c r="R225" i="1" s="1"/>
  <c r="T224" i="1"/>
  <c r="S224" i="1"/>
  <c r="Q224" i="1"/>
  <c r="R224" i="1" s="1"/>
  <c r="T223" i="1"/>
  <c r="S223" i="1"/>
  <c r="Q223" i="1"/>
  <c r="R840" i="1" s="1"/>
  <c r="T222" i="1"/>
  <c r="S222" i="1"/>
  <c r="Q222" i="1"/>
  <c r="T221" i="1"/>
  <c r="S221" i="1"/>
  <c r="Q221" i="1"/>
  <c r="R221" i="1" s="1"/>
  <c r="T220" i="1"/>
  <c r="S220" i="1"/>
  <c r="Q220" i="1"/>
  <c r="R931" i="1" s="1"/>
  <c r="T219" i="1"/>
  <c r="S219" i="1"/>
  <c r="Q219" i="1"/>
  <c r="R219" i="1" s="1"/>
  <c r="T218" i="1"/>
  <c r="S218" i="1"/>
  <c r="Q218" i="1"/>
  <c r="R218" i="1" s="1"/>
  <c r="T217" i="1"/>
  <c r="S217" i="1"/>
  <c r="Q217" i="1"/>
  <c r="R1122" i="1" s="1"/>
  <c r="T216" i="1"/>
  <c r="S216" i="1"/>
  <c r="Q216" i="1"/>
  <c r="R216" i="1" s="1"/>
  <c r="T215" i="1"/>
  <c r="S215" i="1"/>
  <c r="Q215" i="1"/>
  <c r="R215" i="1" s="1"/>
  <c r="T214" i="1"/>
  <c r="S214" i="1"/>
  <c r="Q214" i="1"/>
  <c r="R1180" i="1" s="1"/>
  <c r="T213" i="1"/>
  <c r="S213" i="1"/>
  <c r="Q213" i="1"/>
  <c r="R213" i="1" s="1"/>
  <c r="T212" i="1"/>
  <c r="S212" i="1"/>
  <c r="Q212" i="1"/>
  <c r="R212" i="1" s="1"/>
  <c r="T211" i="1"/>
  <c r="S211" i="1"/>
  <c r="Q211" i="1"/>
  <c r="R211" i="1" s="1"/>
  <c r="T210" i="1"/>
  <c r="S210" i="1"/>
  <c r="Q210" i="1"/>
  <c r="R1014" i="1" s="1"/>
  <c r="T209" i="1"/>
  <c r="S209" i="1"/>
  <c r="Q209" i="1"/>
  <c r="R209" i="1" s="1"/>
  <c r="T208" i="1"/>
  <c r="S208" i="1"/>
  <c r="Q208" i="1"/>
  <c r="R208" i="1" s="1"/>
  <c r="T207" i="1"/>
  <c r="S207" i="1"/>
  <c r="Q207" i="1"/>
  <c r="R1147" i="1" s="1"/>
  <c r="T206" i="1"/>
  <c r="S206" i="1"/>
  <c r="Q206" i="1"/>
  <c r="R935" i="1" s="1"/>
  <c r="T205" i="1"/>
  <c r="S205" i="1"/>
  <c r="Q205" i="1"/>
  <c r="T204" i="1"/>
  <c r="S204" i="1"/>
  <c r="Q204" i="1"/>
  <c r="T203" i="1"/>
  <c r="S203" i="1"/>
  <c r="Q203" i="1"/>
  <c r="R203" i="1" s="1"/>
  <c r="T202" i="1"/>
  <c r="S202" i="1"/>
  <c r="Q202" i="1"/>
  <c r="R202" i="1" s="1"/>
  <c r="T201" i="1"/>
  <c r="S201" i="1"/>
  <c r="Q201" i="1"/>
  <c r="T200" i="1"/>
  <c r="S200" i="1"/>
  <c r="Q200" i="1"/>
  <c r="R200" i="1" s="1"/>
  <c r="T199" i="1"/>
  <c r="S199" i="1"/>
  <c r="Q199" i="1"/>
  <c r="R199" i="1" s="1"/>
  <c r="T198" i="1"/>
  <c r="S198" i="1"/>
  <c r="Q198" i="1"/>
  <c r="R198" i="1" s="1"/>
  <c r="T197" i="1"/>
  <c r="S197" i="1"/>
  <c r="Q197" i="1"/>
  <c r="R853" i="1" s="1"/>
  <c r="T196" i="1"/>
  <c r="S196" i="1"/>
  <c r="Q196" i="1"/>
  <c r="R196" i="1" s="1"/>
  <c r="T195" i="1"/>
  <c r="S195" i="1"/>
  <c r="Q195" i="1"/>
  <c r="R970" i="1" s="1"/>
  <c r="T194" i="1"/>
  <c r="S194" i="1"/>
  <c r="Q194" i="1"/>
  <c r="R194" i="1" s="1"/>
  <c r="T193" i="1"/>
  <c r="S193" i="1"/>
  <c r="Q193" i="1"/>
  <c r="R193" i="1" s="1"/>
  <c r="T192" i="1"/>
  <c r="S192" i="1"/>
  <c r="Q192" i="1"/>
  <c r="T191" i="1"/>
  <c r="S191" i="1"/>
  <c r="Q191" i="1"/>
  <c r="R1279" i="1" s="1"/>
  <c r="T190" i="1"/>
  <c r="S190" i="1"/>
  <c r="Q190" i="1"/>
  <c r="R190" i="1" s="1"/>
  <c r="T189" i="1"/>
  <c r="S189" i="1"/>
  <c r="Q189" i="1"/>
  <c r="R189" i="1" s="1"/>
  <c r="T188" i="1"/>
  <c r="S188" i="1"/>
  <c r="Q188" i="1"/>
  <c r="R955" i="1" s="1"/>
  <c r="T187" i="1"/>
  <c r="S187" i="1"/>
  <c r="Q187" i="1"/>
  <c r="R187" i="1" s="1"/>
  <c r="T186" i="1"/>
  <c r="S186" i="1"/>
  <c r="Q186" i="1"/>
  <c r="R1419" i="1" s="1"/>
  <c r="T185" i="1"/>
  <c r="S185" i="1"/>
  <c r="Q185" i="1"/>
  <c r="R966" i="1" s="1"/>
  <c r="T184" i="1"/>
  <c r="S184" i="1"/>
  <c r="Q184" i="1"/>
  <c r="R827" i="1" s="1"/>
  <c r="T183" i="1"/>
  <c r="S183" i="1"/>
  <c r="Q183" i="1"/>
  <c r="R183" i="1" s="1"/>
  <c r="T182" i="1"/>
  <c r="S182" i="1"/>
  <c r="Q182" i="1"/>
  <c r="R182" i="1" s="1"/>
  <c r="T181" i="1"/>
  <c r="S181" i="1"/>
  <c r="Q181" i="1"/>
  <c r="R181" i="1" s="1"/>
  <c r="T180" i="1"/>
  <c r="S180" i="1"/>
  <c r="Q180" i="1"/>
  <c r="R180" i="1" s="1"/>
  <c r="T179" i="1"/>
  <c r="S179" i="1"/>
  <c r="Q179" i="1"/>
  <c r="R1471" i="1" s="1"/>
  <c r="T178" i="1"/>
  <c r="S178" i="1"/>
  <c r="Q178" i="1"/>
  <c r="R178" i="1" s="1"/>
  <c r="T177" i="1"/>
  <c r="S177" i="1"/>
  <c r="Q177" i="1"/>
  <c r="R1280" i="1" s="1"/>
  <c r="T176" i="1"/>
  <c r="S176" i="1"/>
  <c r="Q176" i="1"/>
  <c r="R885" i="1" s="1"/>
  <c r="T175" i="1"/>
  <c r="S175" i="1"/>
  <c r="Q175" i="1"/>
  <c r="R1137" i="1" s="1"/>
  <c r="T174" i="1"/>
  <c r="S174" i="1"/>
  <c r="Q174" i="1"/>
  <c r="T173" i="1"/>
  <c r="S173" i="1"/>
  <c r="Q173" i="1"/>
  <c r="T172" i="1"/>
  <c r="S172" i="1"/>
  <c r="Q172" i="1"/>
  <c r="R1102" i="1" s="1"/>
  <c r="T171" i="1"/>
  <c r="S171" i="1"/>
  <c r="Q171" i="1"/>
  <c r="R1341" i="1" s="1"/>
  <c r="T170" i="1"/>
  <c r="S170" i="1"/>
  <c r="Q170" i="1"/>
  <c r="R170" i="1" s="1"/>
  <c r="T169" i="1"/>
  <c r="S169" i="1"/>
  <c r="Q169" i="1"/>
  <c r="R980" i="1" s="1"/>
  <c r="T168" i="1"/>
  <c r="S168" i="1"/>
  <c r="Q168" i="1"/>
  <c r="R909" i="1" s="1"/>
  <c r="T167" i="1"/>
  <c r="S167" i="1"/>
  <c r="Q167" i="1"/>
  <c r="R167" i="1" s="1"/>
  <c r="T166" i="1"/>
  <c r="S166" i="1"/>
  <c r="Q166" i="1"/>
  <c r="R166" i="1" s="1"/>
  <c r="T165" i="1"/>
  <c r="S165" i="1"/>
  <c r="Q165" i="1"/>
  <c r="R165" i="1" s="1"/>
  <c r="T164" i="1"/>
  <c r="S164" i="1"/>
  <c r="Q164" i="1"/>
  <c r="T163" i="1"/>
  <c r="S163" i="1"/>
  <c r="Q163" i="1"/>
  <c r="R1097" i="1" s="1"/>
  <c r="T162" i="1"/>
  <c r="S162" i="1"/>
  <c r="Q162" i="1"/>
  <c r="R982" i="1" s="1"/>
  <c r="T161" i="1"/>
  <c r="S161" i="1"/>
  <c r="Q161" i="1"/>
  <c r="R1013" i="1" s="1"/>
  <c r="T160" i="1"/>
  <c r="S160" i="1"/>
  <c r="Q160" i="1"/>
  <c r="R160" i="1" s="1"/>
  <c r="T159" i="1"/>
  <c r="S159" i="1"/>
  <c r="Q159" i="1"/>
  <c r="R868" i="1" s="1"/>
  <c r="T158" i="1"/>
  <c r="S158" i="1"/>
  <c r="Q158" i="1"/>
  <c r="T157" i="1"/>
  <c r="S157" i="1"/>
  <c r="Q157" i="1"/>
  <c r="R157" i="1" s="1"/>
  <c r="T156" i="1"/>
  <c r="S156" i="1"/>
  <c r="Q156" i="1"/>
  <c r="R156" i="1" s="1"/>
  <c r="T155" i="1"/>
  <c r="S155" i="1"/>
  <c r="Q155" i="1"/>
  <c r="R155" i="1" s="1"/>
  <c r="T154" i="1"/>
  <c r="S154" i="1"/>
  <c r="Q154" i="1"/>
  <c r="R975" i="1" s="1"/>
  <c r="T153" i="1"/>
  <c r="S153" i="1"/>
  <c r="Q153" i="1"/>
  <c r="R153" i="1" s="1"/>
  <c r="T152" i="1"/>
  <c r="S152" i="1"/>
  <c r="Q152" i="1"/>
  <c r="R152" i="1" s="1"/>
  <c r="T151" i="1"/>
  <c r="S151" i="1"/>
  <c r="Q151" i="1"/>
  <c r="R151" i="1" s="1"/>
  <c r="T150" i="1"/>
  <c r="S150" i="1"/>
  <c r="Q150" i="1"/>
  <c r="R1117" i="1" s="1"/>
  <c r="T149" i="1"/>
  <c r="S149" i="1"/>
  <c r="Q149" i="1"/>
  <c r="R149" i="1" s="1"/>
  <c r="T148" i="1"/>
  <c r="S148" i="1"/>
  <c r="Q148" i="1"/>
  <c r="R148" i="1" s="1"/>
  <c r="T147" i="1"/>
  <c r="S147" i="1"/>
  <c r="Q147" i="1"/>
  <c r="R147" i="1" s="1"/>
  <c r="T146" i="1"/>
  <c r="S146" i="1"/>
  <c r="Q146" i="1"/>
  <c r="R996" i="1" s="1"/>
  <c r="T145" i="1"/>
  <c r="S145" i="1"/>
  <c r="Q145" i="1"/>
  <c r="R1092" i="1" s="1"/>
  <c r="T144" i="1"/>
  <c r="S144" i="1"/>
  <c r="Q144" i="1"/>
  <c r="R1018" i="1" s="1"/>
  <c r="T143" i="1"/>
  <c r="S143" i="1"/>
  <c r="Q143" i="1"/>
  <c r="R143" i="1" s="1"/>
  <c r="T142" i="1"/>
  <c r="S142" i="1"/>
  <c r="Q142" i="1"/>
  <c r="R142" i="1" s="1"/>
  <c r="T141" i="1"/>
  <c r="S141" i="1"/>
  <c r="Q141" i="1"/>
  <c r="R141" i="1" s="1"/>
  <c r="T140" i="1"/>
  <c r="S140" i="1"/>
  <c r="Q140" i="1"/>
  <c r="R1105" i="1" s="1"/>
  <c r="T139" i="1"/>
  <c r="S139" i="1"/>
  <c r="Q139" i="1"/>
  <c r="R139" i="1" s="1"/>
  <c r="T138" i="1"/>
  <c r="S138" i="1"/>
  <c r="Q138" i="1"/>
  <c r="R138" i="1" s="1"/>
  <c r="T137" i="1"/>
  <c r="S137" i="1"/>
  <c r="Q137" i="1"/>
  <c r="R1434" i="1" s="1"/>
  <c r="T136" i="1"/>
  <c r="S136" i="1"/>
  <c r="Q136" i="1"/>
  <c r="R1108" i="1" s="1"/>
  <c r="T135" i="1"/>
  <c r="S135" i="1"/>
  <c r="Q135" i="1"/>
  <c r="R135" i="1" s="1"/>
  <c r="T134" i="1"/>
  <c r="S134" i="1"/>
  <c r="Q134" i="1"/>
  <c r="R134" i="1" s="1"/>
  <c r="T133" i="1"/>
  <c r="S133" i="1"/>
  <c r="Q133" i="1"/>
  <c r="R133" i="1" s="1"/>
  <c r="T132" i="1"/>
  <c r="S132" i="1"/>
  <c r="Q132" i="1"/>
  <c r="T131" i="1"/>
  <c r="S131" i="1"/>
  <c r="Q131" i="1"/>
  <c r="R1114" i="1" s="1"/>
  <c r="T130" i="1"/>
  <c r="S130" i="1"/>
  <c r="Q130" i="1"/>
  <c r="R1050" i="1" s="1"/>
  <c r="T129" i="1"/>
  <c r="S129" i="1"/>
  <c r="Q129" i="1"/>
  <c r="T128" i="1"/>
  <c r="S128" i="1"/>
  <c r="Q128" i="1"/>
  <c r="T127" i="1"/>
  <c r="S127" i="1"/>
  <c r="Q127" i="1"/>
  <c r="R127" i="1" s="1"/>
  <c r="T126" i="1"/>
  <c r="S126" i="1"/>
  <c r="Q126" i="1"/>
  <c r="R126" i="1" s="1"/>
  <c r="T125" i="1"/>
  <c r="S125" i="1"/>
  <c r="Q125" i="1"/>
  <c r="R125" i="1" s="1"/>
  <c r="T124" i="1"/>
  <c r="S124" i="1"/>
  <c r="Q124" i="1"/>
  <c r="T123" i="1"/>
  <c r="S123" i="1"/>
  <c r="Q123" i="1"/>
  <c r="R123" i="1" s="1"/>
  <c r="T122" i="1"/>
  <c r="S122" i="1"/>
  <c r="Q122" i="1"/>
  <c r="R1291" i="1" s="1"/>
  <c r="T121" i="1"/>
  <c r="S121" i="1"/>
  <c r="Q121" i="1"/>
  <c r="R1378" i="1" s="1"/>
  <c r="T120" i="1"/>
  <c r="S120" i="1"/>
  <c r="Q120" i="1"/>
  <c r="R869" i="1" s="1"/>
  <c r="T119" i="1"/>
  <c r="S119" i="1"/>
  <c r="Q119" i="1"/>
  <c r="R119" i="1" s="1"/>
  <c r="T118" i="1"/>
  <c r="S118" i="1"/>
  <c r="Q118" i="1"/>
  <c r="R118" i="1" s="1"/>
  <c r="T117" i="1"/>
  <c r="S117" i="1"/>
  <c r="Q117" i="1"/>
  <c r="R1401" i="1" s="1"/>
  <c r="T116" i="1"/>
  <c r="S116" i="1"/>
  <c r="Q116" i="1"/>
  <c r="R1427" i="1" s="1"/>
  <c r="T115" i="1"/>
  <c r="S115" i="1"/>
  <c r="Q115" i="1"/>
  <c r="R115" i="1" s="1"/>
  <c r="T114" i="1"/>
  <c r="S114" i="1"/>
  <c r="Q114" i="1"/>
  <c r="T113" i="1"/>
  <c r="S113" i="1"/>
  <c r="Q113" i="1"/>
  <c r="R113" i="1" s="1"/>
  <c r="T112" i="1"/>
  <c r="S112" i="1"/>
  <c r="Q112" i="1"/>
  <c r="R112" i="1" s="1"/>
  <c r="T111" i="1"/>
  <c r="S111" i="1"/>
  <c r="Q111" i="1"/>
  <c r="R111" i="1" s="1"/>
  <c r="T110" i="1"/>
  <c r="S110" i="1"/>
  <c r="Q110" i="1"/>
  <c r="R110" i="1" s="1"/>
  <c r="T109" i="1"/>
  <c r="S109" i="1"/>
  <c r="Q109" i="1"/>
  <c r="R109" i="1" s="1"/>
  <c r="T108" i="1"/>
  <c r="S108" i="1"/>
  <c r="Q108" i="1"/>
  <c r="T107" i="1"/>
  <c r="S107" i="1"/>
  <c r="Q107" i="1"/>
  <c r="R107" i="1" s="1"/>
  <c r="T106" i="1"/>
  <c r="S106" i="1"/>
  <c r="Q106" i="1"/>
  <c r="R106" i="1" s="1"/>
  <c r="T105" i="1"/>
  <c r="S105" i="1"/>
  <c r="Q105" i="1"/>
  <c r="R997" i="1" s="1"/>
  <c r="T104" i="1"/>
  <c r="S104" i="1"/>
  <c r="Q104" i="1"/>
  <c r="R1495" i="1" s="1"/>
  <c r="T103" i="1"/>
  <c r="S103" i="1"/>
  <c r="Q103" i="1"/>
  <c r="T102" i="1"/>
  <c r="S102" i="1"/>
  <c r="Q102" i="1"/>
  <c r="R1255" i="1" s="1"/>
  <c r="T101" i="1"/>
  <c r="S101" i="1"/>
  <c r="Q101" i="1"/>
  <c r="R101" i="1" s="1"/>
  <c r="T100" i="1"/>
  <c r="S100" i="1"/>
  <c r="Q100" i="1"/>
  <c r="R100" i="1" s="1"/>
  <c r="T99" i="1"/>
  <c r="S99" i="1"/>
  <c r="Q99" i="1"/>
  <c r="T98" i="1"/>
  <c r="S98" i="1"/>
  <c r="Q98" i="1"/>
  <c r="R98" i="1" s="1"/>
  <c r="T97" i="1"/>
  <c r="S97" i="1"/>
  <c r="Q97" i="1"/>
  <c r="T96" i="1"/>
  <c r="S96" i="1"/>
  <c r="Q96" i="1"/>
  <c r="R1144" i="1" s="1"/>
  <c r="T95" i="1"/>
  <c r="S95" i="1"/>
  <c r="Q95" i="1"/>
  <c r="R806" i="1" s="1"/>
  <c r="T94" i="1"/>
  <c r="S94" i="1"/>
  <c r="Q94" i="1"/>
  <c r="R94" i="1" s="1"/>
  <c r="T93" i="1"/>
  <c r="S93" i="1"/>
  <c r="Q93" i="1"/>
  <c r="T92" i="1"/>
  <c r="S92" i="1"/>
  <c r="Q92" i="1"/>
  <c r="R92" i="1" s="1"/>
  <c r="T91" i="1"/>
  <c r="S91" i="1"/>
  <c r="Q91" i="1"/>
  <c r="R1438" i="1" s="1"/>
  <c r="T90" i="1"/>
  <c r="S90" i="1"/>
  <c r="Q90" i="1"/>
  <c r="R90" i="1" s="1"/>
  <c r="T89" i="1"/>
  <c r="S89" i="1"/>
  <c r="Q89" i="1"/>
  <c r="R89" i="1" s="1"/>
  <c r="T88" i="1"/>
  <c r="S88" i="1"/>
  <c r="Q88" i="1"/>
  <c r="R1297" i="1" s="1"/>
  <c r="T87" i="1"/>
  <c r="S87" i="1"/>
  <c r="Q87" i="1"/>
  <c r="R1481" i="1" s="1"/>
  <c r="T86" i="1"/>
  <c r="S86" i="1"/>
  <c r="Q86" i="1"/>
  <c r="R86" i="1" s="1"/>
  <c r="T85" i="1"/>
  <c r="S85" i="1"/>
  <c r="Q85" i="1"/>
  <c r="R1315" i="1" s="1"/>
  <c r="T84" i="1"/>
  <c r="S84" i="1"/>
  <c r="Q84" i="1"/>
  <c r="R84" i="1" s="1"/>
  <c r="T83" i="1"/>
  <c r="S83" i="1"/>
  <c r="Q83" i="1"/>
  <c r="R83" i="1" s="1"/>
  <c r="T82" i="1"/>
  <c r="S82" i="1"/>
  <c r="Q82" i="1"/>
  <c r="R932" i="1" s="1"/>
  <c r="T81" i="1"/>
  <c r="S81" i="1"/>
  <c r="Q81" i="1"/>
  <c r="R1103" i="1" s="1"/>
  <c r="T80" i="1"/>
  <c r="S80" i="1"/>
  <c r="Q80" i="1"/>
  <c r="R80" i="1" s="1"/>
  <c r="T79" i="1"/>
  <c r="S79" i="1"/>
  <c r="Q79" i="1"/>
  <c r="R79" i="1" s="1"/>
  <c r="T78" i="1"/>
  <c r="S78" i="1"/>
  <c r="Q78" i="1"/>
  <c r="R78" i="1" s="1"/>
  <c r="T77" i="1"/>
  <c r="S77" i="1"/>
  <c r="Q77" i="1"/>
  <c r="R77" i="1" s="1"/>
  <c r="T76" i="1"/>
  <c r="S76" i="1"/>
  <c r="Q76" i="1"/>
  <c r="R76" i="1" s="1"/>
  <c r="T75" i="1"/>
  <c r="S75" i="1"/>
  <c r="Q75" i="1"/>
  <c r="R75" i="1" s="1"/>
  <c r="T74" i="1"/>
  <c r="S74" i="1"/>
  <c r="Q74" i="1"/>
  <c r="R74" i="1" s="1"/>
  <c r="T73" i="1"/>
  <c r="S73" i="1"/>
  <c r="Q73" i="1"/>
  <c r="R73" i="1" s="1"/>
  <c r="T72" i="1"/>
  <c r="S72" i="1"/>
  <c r="Q72" i="1"/>
  <c r="R72" i="1" s="1"/>
  <c r="T71" i="1"/>
  <c r="S71" i="1"/>
  <c r="Q71" i="1"/>
  <c r="R71" i="1" s="1"/>
  <c r="T70" i="1"/>
  <c r="S70" i="1"/>
  <c r="Q70" i="1"/>
  <c r="R846" i="1" s="1"/>
  <c r="T69" i="1"/>
  <c r="S69" i="1"/>
  <c r="Q69" i="1"/>
  <c r="R942" i="1" s="1"/>
  <c r="T68" i="1"/>
  <c r="S68" i="1"/>
  <c r="Q68" i="1"/>
  <c r="R990" i="1" s="1"/>
  <c r="T67" i="1"/>
  <c r="S67" i="1"/>
  <c r="Q67" i="1"/>
  <c r="T66" i="1"/>
  <c r="S66" i="1"/>
  <c r="Q66" i="1"/>
  <c r="R66" i="1" s="1"/>
  <c r="T65" i="1"/>
  <c r="S65" i="1"/>
  <c r="Q65" i="1"/>
  <c r="R1204" i="1" s="1"/>
  <c r="T64" i="1"/>
  <c r="S64" i="1"/>
  <c r="Q64" i="1"/>
  <c r="T63" i="1"/>
  <c r="S63" i="1"/>
  <c r="Q63" i="1"/>
  <c r="T62" i="1"/>
  <c r="S62" i="1"/>
  <c r="Q62" i="1"/>
  <c r="R1477" i="1" s="1"/>
  <c r="T61" i="1"/>
  <c r="S61" i="1"/>
  <c r="Q61" i="1"/>
  <c r="R1287" i="1" s="1"/>
  <c r="T60" i="1"/>
  <c r="S60" i="1"/>
  <c r="Q60" i="1"/>
  <c r="T59" i="1"/>
  <c r="S59" i="1"/>
  <c r="Q59" i="1"/>
  <c r="R850" i="1" s="1"/>
  <c r="T58" i="1"/>
  <c r="S58" i="1"/>
  <c r="Q58" i="1"/>
  <c r="R58" i="1" s="1"/>
  <c r="T57" i="1"/>
  <c r="S57" i="1"/>
  <c r="Q57" i="1"/>
  <c r="R57" i="1" s="1"/>
  <c r="T56" i="1"/>
  <c r="S56" i="1"/>
  <c r="Q56" i="1"/>
  <c r="R906" i="1" s="1"/>
  <c r="T55" i="1"/>
  <c r="S55" i="1"/>
  <c r="Q55" i="1"/>
  <c r="R1069" i="1" s="1"/>
  <c r="T54" i="1"/>
  <c r="S54" i="1"/>
  <c r="Q54" i="1"/>
  <c r="R54" i="1" s="1"/>
  <c r="T53" i="1"/>
  <c r="S53" i="1"/>
  <c r="Q53" i="1"/>
  <c r="R53" i="1" s="1"/>
  <c r="T52" i="1"/>
  <c r="S52" i="1"/>
  <c r="Q52" i="1"/>
  <c r="R898" i="1" s="1"/>
  <c r="T51" i="1"/>
  <c r="S51" i="1"/>
  <c r="Q51" i="1"/>
  <c r="R51" i="1" s="1"/>
  <c r="T50" i="1"/>
  <c r="S50" i="1"/>
  <c r="Q50" i="1"/>
  <c r="R1063" i="1" s="1"/>
  <c r="T49" i="1"/>
  <c r="S49" i="1"/>
  <c r="Q49" i="1"/>
  <c r="R49" i="1" s="1"/>
  <c r="T48" i="1"/>
  <c r="S48" i="1"/>
  <c r="Q48" i="1"/>
  <c r="R48" i="1" s="1"/>
  <c r="T47" i="1"/>
  <c r="S47" i="1"/>
  <c r="Q47" i="1"/>
  <c r="R859" i="1" s="1"/>
  <c r="T46" i="1"/>
  <c r="S46" i="1"/>
  <c r="Q46" i="1"/>
  <c r="R46" i="1" s="1"/>
  <c r="T45" i="1"/>
  <c r="S45" i="1"/>
  <c r="Q45" i="1"/>
  <c r="R45" i="1" s="1"/>
  <c r="T44" i="1"/>
  <c r="S44" i="1"/>
  <c r="Q44" i="1"/>
  <c r="R44" i="1" s="1"/>
  <c r="T43" i="1"/>
  <c r="S43" i="1"/>
  <c r="Q43" i="1"/>
  <c r="R43" i="1" s="1"/>
  <c r="T42" i="1"/>
  <c r="S42" i="1"/>
  <c r="Q42" i="1"/>
  <c r="T41" i="1"/>
  <c r="S41" i="1"/>
  <c r="Q41" i="1"/>
  <c r="R41" i="1" s="1"/>
  <c r="T40" i="1"/>
  <c r="S40" i="1"/>
  <c r="Q40" i="1"/>
  <c r="R40" i="1" s="1"/>
  <c r="T39" i="1"/>
  <c r="S39" i="1"/>
  <c r="Q39" i="1"/>
  <c r="R39" i="1" s="1"/>
  <c r="T38" i="1"/>
  <c r="S38" i="1"/>
  <c r="Q38" i="1"/>
  <c r="R1172" i="1" s="1"/>
  <c r="T37" i="1"/>
  <c r="S37" i="1"/>
  <c r="Q37" i="1"/>
  <c r="R37" i="1" s="1"/>
  <c r="T36" i="1"/>
  <c r="S36" i="1"/>
  <c r="Q36" i="1"/>
  <c r="R1095" i="1" s="1"/>
  <c r="T35" i="1"/>
  <c r="S35" i="1"/>
  <c r="Q35" i="1"/>
  <c r="R807" i="1" s="1"/>
  <c r="T34" i="1"/>
  <c r="S34" i="1"/>
  <c r="Q34" i="1"/>
  <c r="R34" i="1" s="1"/>
  <c r="T33" i="1"/>
  <c r="S33" i="1"/>
  <c r="Q33" i="1"/>
  <c r="R33" i="1" s="1"/>
  <c r="T32" i="1"/>
  <c r="S32" i="1"/>
  <c r="Q32" i="1"/>
  <c r="R32" i="1" s="1"/>
  <c r="T31" i="1"/>
  <c r="S31" i="1"/>
  <c r="Q31" i="1"/>
  <c r="R1029" i="1" s="1"/>
  <c r="T30" i="1"/>
  <c r="S30" i="1"/>
  <c r="Q30" i="1"/>
  <c r="T29" i="1"/>
  <c r="S29" i="1"/>
  <c r="Q29" i="1"/>
  <c r="T28" i="1"/>
  <c r="S28" i="1"/>
  <c r="Q28" i="1"/>
  <c r="R28" i="1" s="1"/>
  <c r="T27" i="1"/>
  <c r="S27" i="1"/>
  <c r="Q27" i="1"/>
  <c r="R27" i="1" s="1"/>
  <c r="T26" i="1"/>
  <c r="S26" i="1"/>
  <c r="Q26" i="1"/>
  <c r="T25" i="1"/>
  <c r="S25" i="1"/>
  <c r="Q25" i="1"/>
  <c r="R25" i="1" s="1"/>
  <c r="T24" i="1"/>
  <c r="S24" i="1"/>
  <c r="Q24" i="1"/>
  <c r="R24" i="1" s="1"/>
  <c r="T23" i="1"/>
  <c r="S23" i="1"/>
  <c r="Q23" i="1"/>
  <c r="R23" i="1" s="1"/>
  <c r="T22" i="1"/>
  <c r="S22" i="1"/>
  <c r="Q22" i="1"/>
  <c r="R22" i="1" s="1"/>
  <c r="T21" i="1"/>
  <c r="S21" i="1"/>
  <c r="Q21" i="1"/>
  <c r="R21" i="1" s="1"/>
  <c r="T20" i="1"/>
  <c r="S20" i="1"/>
  <c r="Q20" i="1"/>
  <c r="R20" i="1" s="1"/>
  <c r="T19" i="1"/>
  <c r="S19" i="1"/>
  <c r="Q19" i="1"/>
  <c r="R19" i="1" s="1"/>
  <c r="T18" i="1"/>
  <c r="S18" i="1"/>
  <c r="Q18" i="1"/>
  <c r="R18" i="1" s="1"/>
  <c r="T17" i="1"/>
  <c r="S17" i="1"/>
  <c r="Q17" i="1"/>
  <c r="R1387" i="1" s="1"/>
  <c r="T16" i="1"/>
  <c r="S16" i="1"/>
  <c r="Q16" i="1"/>
  <c r="R16" i="1" s="1"/>
  <c r="T15" i="1"/>
  <c r="S15" i="1"/>
  <c r="Q15" i="1"/>
  <c r="R15" i="1" s="1"/>
  <c r="T14" i="1"/>
  <c r="S14" i="1"/>
  <c r="Q14" i="1"/>
  <c r="T13" i="1"/>
  <c r="S13" i="1"/>
  <c r="Q13" i="1"/>
  <c r="R1052" i="1" s="1"/>
  <c r="T12" i="1"/>
  <c r="S12" i="1"/>
  <c r="Q12" i="1"/>
  <c r="R12" i="1" s="1"/>
  <c r="T11" i="1"/>
  <c r="S11" i="1"/>
  <c r="Q11" i="1"/>
  <c r="R11" i="1" s="1"/>
  <c r="T10" i="1"/>
  <c r="S10" i="1"/>
  <c r="Q10" i="1"/>
  <c r="T9" i="1"/>
  <c r="S9" i="1"/>
  <c r="Q9" i="1"/>
  <c r="R1339" i="1" s="1"/>
  <c r="T8" i="1"/>
  <c r="S8" i="1"/>
  <c r="Q8" i="1"/>
  <c r="R8" i="1" s="1"/>
  <c r="T7" i="1"/>
  <c r="S7" i="1"/>
  <c r="Q7" i="1"/>
  <c r="R959" i="1" s="1"/>
  <c r="T6" i="1"/>
  <c r="S6" i="1"/>
  <c r="Q6" i="1"/>
  <c r="R1458" i="1" s="1"/>
  <c r="T5" i="1"/>
  <c r="S5" i="1"/>
  <c r="Q5" i="1"/>
  <c r="R5" i="1" s="1"/>
  <c r="T4" i="1"/>
  <c r="S4" i="1"/>
  <c r="Q4" i="1"/>
  <c r="R4" i="1" s="1"/>
  <c r="T3" i="1"/>
  <c r="S3" i="1"/>
  <c r="Q3" i="1"/>
  <c r="R3" i="1" s="1"/>
  <c r="T2" i="1"/>
  <c r="S2" i="1"/>
  <c r="Q2" i="1"/>
  <c r="R2" i="1" s="1"/>
  <c r="R765" i="1" l="1"/>
  <c r="R1348" i="1"/>
  <c r="R902" i="1"/>
  <c r="R1173" i="1"/>
  <c r="R887" i="1"/>
  <c r="R1113" i="1"/>
  <c r="R1227" i="1"/>
  <c r="R1163" i="1"/>
  <c r="R1157" i="1"/>
  <c r="R1316" i="1"/>
  <c r="R1106" i="1"/>
  <c r="R972" i="1"/>
  <c r="R893" i="1"/>
  <c r="R919" i="1"/>
  <c r="R1327" i="1"/>
  <c r="R1483" i="1"/>
  <c r="R1193" i="1"/>
  <c r="R1343" i="1"/>
  <c r="R1056" i="1"/>
  <c r="R1396" i="1"/>
  <c r="R1232" i="1"/>
  <c r="R892" i="1"/>
  <c r="R926" i="1"/>
  <c r="R1112" i="1"/>
  <c r="R1338" i="1"/>
  <c r="R944" i="1"/>
  <c r="R1164" i="1"/>
  <c r="R1286" i="1"/>
  <c r="R1489" i="1"/>
  <c r="R1322" i="1"/>
  <c r="R1461" i="1"/>
  <c r="R1484" i="1"/>
  <c r="R1160" i="1"/>
  <c r="R1317" i="1"/>
  <c r="R1328" i="1"/>
  <c r="R1456" i="1"/>
  <c r="R1091" i="1"/>
  <c r="R1080" i="1"/>
  <c r="R1433" i="1"/>
  <c r="R986" i="1"/>
  <c r="R1480" i="1"/>
  <c r="R227" i="1"/>
  <c r="R1219" i="1"/>
  <c r="R1236" i="1"/>
  <c r="R1463" i="1"/>
  <c r="R800" i="1"/>
  <c r="R946" i="1"/>
  <c r="R1046" i="1"/>
  <c r="R1423" i="1"/>
  <c r="R717" i="1"/>
  <c r="R941" i="1"/>
  <c r="R1383" i="1"/>
  <c r="R1429" i="1"/>
  <c r="R1123" i="1"/>
  <c r="R445" i="1"/>
  <c r="R535" i="1"/>
  <c r="R803" i="1"/>
  <c r="R547" i="1"/>
  <c r="R857" i="1"/>
  <c r="R1418" i="1"/>
  <c r="R1146" i="1"/>
  <c r="R907" i="1"/>
  <c r="R1407" i="1"/>
  <c r="R1334" i="1"/>
  <c r="R1075" i="1"/>
  <c r="R810" i="1"/>
  <c r="R884" i="1"/>
  <c r="R962" i="1"/>
  <c r="R1071" i="1"/>
  <c r="R1182" i="1"/>
  <c r="R1347" i="1"/>
  <c r="R1370" i="1"/>
  <c r="R1398" i="1"/>
  <c r="R1431" i="1"/>
  <c r="R1369" i="1"/>
  <c r="R1397" i="1"/>
  <c r="R1430" i="1"/>
  <c r="R1435" i="1"/>
  <c r="R463" i="1"/>
  <c r="R838" i="1"/>
  <c r="R861" i="1"/>
  <c r="R1082" i="1"/>
  <c r="R1177" i="1"/>
  <c r="R683" i="1"/>
  <c r="R816" i="1"/>
  <c r="R1026" i="1"/>
  <c r="R1066" i="1"/>
  <c r="R1246" i="1"/>
  <c r="R1274" i="1"/>
  <c r="R1493" i="1"/>
  <c r="R760" i="1"/>
  <c r="R896" i="1"/>
  <c r="R1032" i="1"/>
  <c r="R304" i="1"/>
  <c r="R1247" i="1"/>
  <c r="R117" i="1"/>
  <c r="R1010" i="1"/>
  <c r="R234" i="1"/>
  <c r="R566" i="1"/>
  <c r="R1406" i="1"/>
  <c r="R1467" i="1"/>
  <c r="R369" i="1"/>
  <c r="R999" i="1"/>
  <c r="R1174" i="1"/>
  <c r="R479" i="1"/>
  <c r="R813" i="1"/>
  <c r="R1096" i="1"/>
  <c r="R1412" i="1"/>
  <c r="R797" i="1"/>
  <c r="R808" i="1"/>
  <c r="R882" i="1"/>
  <c r="R915" i="1"/>
  <c r="R1119" i="1"/>
  <c r="R65" i="1"/>
  <c r="R733" i="1"/>
  <c r="R836" i="1"/>
  <c r="R1260" i="1"/>
  <c r="R1283" i="1"/>
  <c r="R1440" i="1"/>
  <c r="R1474" i="1"/>
  <c r="R792" i="1"/>
  <c r="R825" i="1"/>
  <c r="R184" i="1"/>
  <c r="R1181" i="1"/>
  <c r="R820" i="1"/>
  <c r="R894" i="1"/>
  <c r="R939" i="1"/>
  <c r="R1030" i="1"/>
  <c r="R1267" i="1"/>
  <c r="R1375" i="1"/>
  <c r="R1403" i="1"/>
  <c r="R442" i="1"/>
  <c r="R1326" i="1"/>
  <c r="R801" i="1"/>
  <c r="R1265" i="1"/>
  <c r="R179" i="1"/>
  <c r="R888" i="1"/>
  <c r="R830" i="1"/>
  <c r="R36" i="1"/>
  <c r="R296" i="1"/>
  <c r="R634" i="1"/>
  <c r="R969" i="1"/>
  <c r="R31" i="1"/>
  <c r="R1107" i="1"/>
  <c r="R911" i="1"/>
  <c r="R1498" i="1"/>
  <c r="R413" i="1"/>
  <c r="R520" i="1"/>
  <c r="R1186" i="1"/>
  <c r="R130" i="1"/>
  <c r="R220" i="1"/>
  <c r="R359" i="1"/>
  <c r="R391" i="1"/>
  <c r="R1188" i="1"/>
  <c r="R1402" i="1"/>
  <c r="R1319" i="1"/>
  <c r="R1355" i="1"/>
  <c r="R265" i="1"/>
  <c r="R276" i="1"/>
  <c r="R1076" i="1"/>
  <c r="R1027" i="1"/>
  <c r="R1365" i="1"/>
  <c r="R945" i="1"/>
  <c r="R1361" i="1"/>
  <c r="R1208" i="1"/>
  <c r="R85" i="1"/>
  <c r="R1258" i="1"/>
  <c r="R1053" i="1"/>
  <c r="R248" i="1"/>
  <c r="R1039" i="1"/>
  <c r="R403" i="1"/>
  <c r="R848" i="1"/>
  <c r="R653" i="1"/>
  <c r="R737" i="1"/>
  <c r="R1457" i="1"/>
  <c r="R260" i="1"/>
  <c r="R1152" i="1"/>
  <c r="R1038" i="1"/>
  <c r="R1044" i="1"/>
  <c r="R860" i="1"/>
  <c r="R613" i="1"/>
  <c r="R726" i="1"/>
  <c r="R817" i="1"/>
  <c r="R864" i="1"/>
  <c r="R831" i="1"/>
  <c r="R1128" i="1"/>
  <c r="R1358" i="1"/>
  <c r="R360" i="1"/>
  <c r="R602" i="1"/>
  <c r="R715" i="1"/>
  <c r="R871" i="1"/>
  <c r="R188" i="1"/>
  <c r="R355" i="1"/>
  <c r="R376" i="1"/>
  <c r="R1395" i="1"/>
  <c r="R842" i="1"/>
  <c r="R1197" i="1"/>
  <c r="R826" i="1"/>
  <c r="R205" i="1"/>
  <c r="R872" i="1"/>
  <c r="R1404" i="1"/>
  <c r="R494" i="1"/>
  <c r="R580" i="1"/>
  <c r="R1314" i="1"/>
  <c r="R620" i="1"/>
  <c r="R821" i="1"/>
  <c r="R350" i="1"/>
  <c r="R983" i="1"/>
  <c r="R1460" i="1"/>
  <c r="R64" i="1"/>
  <c r="R172" i="1"/>
  <c r="R311" i="1"/>
  <c r="R317" i="1"/>
  <c r="R1497" i="1"/>
  <c r="R912" i="1"/>
  <c r="R965" i="1"/>
  <c r="R1295" i="1"/>
  <c r="R328" i="1"/>
  <c r="R873" i="1"/>
  <c r="R1300" i="1"/>
  <c r="R472" i="1"/>
  <c r="R1003" i="1"/>
  <c r="R575" i="1"/>
  <c r="R699" i="1"/>
  <c r="R1289" i="1"/>
  <c r="R961" i="1"/>
  <c r="R1275" i="1"/>
  <c r="R1321" i="1"/>
  <c r="R1441" i="1"/>
  <c r="R1318" i="1"/>
  <c r="R1035" i="1"/>
  <c r="R938" i="1"/>
  <c r="R467" i="1"/>
  <c r="R1257" i="1"/>
  <c r="R301" i="1"/>
  <c r="R1210" i="1"/>
  <c r="R1042" i="1"/>
  <c r="R334" i="1"/>
  <c r="R530" i="1"/>
  <c r="R661" i="1"/>
  <c r="R162" i="1"/>
  <c r="R42" i="1"/>
  <c r="R1051" i="1"/>
  <c r="R274" i="1"/>
  <c r="R324" i="1"/>
  <c r="R684" i="1"/>
  <c r="R774" i="1"/>
  <c r="R1059" i="1"/>
  <c r="R824" i="1"/>
  <c r="R1293" i="1"/>
  <c r="R662" i="1"/>
  <c r="R878" i="1"/>
  <c r="R14" i="1"/>
  <c r="R1058" i="1"/>
  <c r="R1025" i="1"/>
  <c r="R1001" i="1"/>
  <c r="R845" i="1"/>
  <c r="R252" i="1"/>
  <c r="R514" i="1"/>
  <c r="R930" i="1"/>
  <c r="R968" i="1"/>
  <c r="R1294" i="1"/>
  <c r="R1196" i="1"/>
  <c r="R835" i="1"/>
  <c r="R26" i="1"/>
  <c r="R124" i="1"/>
  <c r="R1388" i="1"/>
  <c r="R247" i="1"/>
  <c r="R1099" i="1"/>
  <c r="R1047" i="1"/>
  <c r="R297" i="1"/>
  <c r="R385" i="1"/>
  <c r="R419" i="1"/>
  <c r="R829" i="1"/>
  <c r="R657" i="1"/>
  <c r="R242" i="1"/>
  <c r="R1466" i="1"/>
  <c r="R9" i="1"/>
  <c r="R584" i="1"/>
  <c r="R1224" i="1"/>
  <c r="R108" i="1"/>
  <c r="R370" i="1"/>
  <c r="R1057" i="1"/>
  <c r="R386" i="1"/>
  <c r="R481" i="1"/>
  <c r="R1400" i="1"/>
  <c r="R1344" i="1"/>
  <c r="R114" i="1"/>
  <c r="R1218" i="1"/>
  <c r="R204" i="1"/>
  <c r="R103" i="1"/>
  <c r="R1036" i="1"/>
  <c r="R63" i="1"/>
  <c r="R814" i="1"/>
  <c r="R608" i="1"/>
  <c r="R81" i="1"/>
  <c r="R1459" i="1"/>
  <c r="R206" i="1"/>
  <c r="R711" i="1"/>
  <c r="R936" i="1"/>
  <c r="R1259" i="1"/>
  <c r="R1171" i="1"/>
  <c r="R822" i="1"/>
  <c r="R537" i="1"/>
  <c r="R1425" i="1"/>
  <c r="R744" i="1"/>
  <c r="R1499" i="1"/>
  <c r="R93" i="1"/>
  <c r="R1169" i="1"/>
  <c r="R287" i="1"/>
  <c r="R377" i="1"/>
  <c r="R468" i="1"/>
  <c r="R1223" i="1"/>
  <c r="R648" i="1"/>
  <c r="R1136" i="1"/>
  <c r="R244" i="1"/>
  <c r="R802" i="1"/>
  <c r="R1253" i="1"/>
  <c r="R341" i="1"/>
  <c r="R553" i="1"/>
  <c r="R750" i="1"/>
  <c r="R953" i="1"/>
  <c r="R819" i="1"/>
  <c r="R1043" i="1"/>
  <c r="R1170" i="1"/>
  <c r="R1276" i="1"/>
  <c r="R186" i="1"/>
  <c r="R191" i="1"/>
  <c r="R1189" i="1"/>
  <c r="R921" i="1"/>
  <c r="R702" i="1"/>
  <c r="R1024" i="1"/>
  <c r="R261" i="1"/>
  <c r="R565" i="1"/>
  <c r="R621" i="1"/>
  <c r="R950" i="1"/>
  <c r="R925" i="1"/>
  <c r="R1492" i="1"/>
  <c r="R197" i="1"/>
  <c r="R528" i="1"/>
  <c r="R729" i="1"/>
  <c r="R1067" i="1"/>
  <c r="R922" i="1"/>
  <c r="R655" i="1"/>
  <c r="R1184" i="1"/>
  <c r="R890" i="1"/>
  <c r="R594" i="1"/>
  <c r="R863" i="1"/>
  <c r="R1020" i="1"/>
  <c r="R1473" i="1"/>
  <c r="R1448" i="1"/>
  <c r="R17" i="1"/>
  <c r="R527" i="1"/>
  <c r="R728" i="1"/>
  <c r="R7" i="1"/>
  <c r="R55" i="1"/>
  <c r="R495" i="1"/>
  <c r="R99" i="1"/>
  <c r="R121" i="1"/>
  <c r="R207" i="1"/>
  <c r="R952" i="1"/>
  <c r="R927" i="1"/>
  <c r="R1154" i="1"/>
  <c r="R1271" i="1"/>
  <c r="R517" i="1"/>
  <c r="R1199" i="1"/>
  <c r="R1405" i="1"/>
  <c r="R713" i="1"/>
  <c r="R116" i="1"/>
  <c r="R1221" i="1"/>
  <c r="R616" i="1"/>
  <c r="R697" i="1"/>
  <c r="R981" i="1"/>
  <c r="R992" i="1"/>
  <c r="R13" i="1"/>
  <c r="R67" i="1"/>
  <c r="R1360" i="1"/>
  <c r="R1284" i="1"/>
  <c r="R384" i="1"/>
  <c r="R1304" i="1"/>
  <c r="R523" i="1"/>
  <c r="R843" i="1"/>
  <c r="R544" i="1"/>
  <c r="R549" i="1"/>
  <c r="R724" i="1"/>
  <c r="R735" i="1"/>
  <c r="R1309" i="1"/>
  <c r="R1062" i="1"/>
  <c r="R1313" i="1"/>
  <c r="R62" i="1"/>
  <c r="R171" i="1"/>
  <c r="R1116" i="1"/>
  <c r="R1017" i="1"/>
  <c r="R389" i="1"/>
  <c r="R539" i="1"/>
  <c r="R719" i="1"/>
  <c r="R35" i="1"/>
  <c r="R144" i="1"/>
  <c r="R337" i="1"/>
  <c r="R400" i="1"/>
  <c r="R438" i="1"/>
  <c r="R459" i="1"/>
  <c r="R617" i="1"/>
  <c r="R1416" i="1"/>
  <c r="R1264" i="1"/>
  <c r="R1269" i="1"/>
  <c r="R611" i="1"/>
  <c r="R916" i="1"/>
  <c r="R161" i="1"/>
  <c r="R177" i="1"/>
  <c r="R267" i="1"/>
  <c r="R175" i="1"/>
  <c r="R258" i="1"/>
  <c r="O227" i="2"/>
  <c r="R227" i="2" s="1"/>
  <c r="O617" i="2"/>
  <c r="R617" i="2" s="1"/>
  <c r="O17" i="2"/>
  <c r="R17" i="2" s="1"/>
  <c r="O576" i="2"/>
  <c r="R576" i="2" s="1"/>
  <c r="O341" i="2"/>
  <c r="R341" i="2" s="1"/>
  <c r="O403" i="2"/>
  <c r="R403" i="2" s="1"/>
  <c r="O523" i="2"/>
  <c r="R523" i="2" s="1"/>
  <c r="O63" i="2"/>
  <c r="R63" i="2" s="1"/>
  <c r="O4" i="2"/>
  <c r="R4" i="2" s="1"/>
  <c r="O170" i="2"/>
  <c r="R170" i="2" s="1"/>
  <c r="O178" i="2"/>
  <c r="R178" i="2" s="1"/>
  <c r="O186" i="2"/>
  <c r="R186" i="2" s="1"/>
  <c r="O370" i="2"/>
  <c r="R370" i="2" s="1"/>
  <c r="O437" i="2"/>
  <c r="R437" i="2" s="1"/>
  <c r="O681" i="2"/>
  <c r="R681" i="2" s="1"/>
  <c r="O113" i="2"/>
  <c r="R113" i="2" s="1"/>
  <c r="O247" i="2"/>
  <c r="R247" i="2" s="1"/>
  <c r="O289" i="2"/>
  <c r="R289" i="2" s="1"/>
  <c r="O393" i="2"/>
  <c r="R393" i="2" s="1"/>
  <c r="O594" i="2"/>
  <c r="R594" i="2" s="1"/>
  <c r="O415" i="2"/>
  <c r="R415" i="2" s="1"/>
  <c r="O528" i="2"/>
  <c r="R528" i="2" s="1"/>
  <c r="O572" i="2"/>
  <c r="R572" i="2" s="1"/>
  <c r="O638" i="2"/>
  <c r="R638" i="2" s="1"/>
  <c r="R362" i="1"/>
  <c r="R1162" i="1"/>
  <c r="R1476" i="1"/>
  <c r="R434" i="1"/>
  <c r="R1230" i="1"/>
  <c r="R462" i="1"/>
  <c r="R789" i="1"/>
  <c r="O785" i="2"/>
  <c r="R785" i="2" s="1"/>
  <c r="R136" i="1"/>
  <c r="R1345" i="1"/>
  <c r="R1235" i="1"/>
  <c r="R978" i="1"/>
  <c r="R542" i="1"/>
  <c r="R1465" i="1"/>
  <c r="R815" i="1"/>
  <c r="N13" i="2"/>
  <c r="O13" i="2" s="1"/>
  <c r="R13" i="2" s="1"/>
  <c r="O51" i="2"/>
  <c r="R51" i="2" s="1"/>
  <c r="N51" i="2"/>
  <c r="N286" i="2"/>
  <c r="O286" i="2"/>
  <c r="R286" i="2" s="1"/>
  <c r="O627" i="2"/>
  <c r="R627" i="2" s="1"/>
  <c r="N704" i="2"/>
  <c r="O704" i="2"/>
  <c r="R704" i="2" s="1"/>
  <c r="N754" i="2"/>
  <c r="O754" i="2"/>
  <c r="R754" i="2" s="1"/>
  <c r="R201" i="1"/>
  <c r="R914" i="1"/>
  <c r="R452" i="1"/>
  <c r="R646" i="1"/>
  <c r="R689" i="1"/>
  <c r="R770" i="1"/>
  <c r="N167" i="2"/>
  <c r="O167" i="2" s="1"/>
  <c r="R167" i="2" s="1"/>
  <c r="N178" i="2"/>
  <c r="N190" i="2"/>
  <c r="O190" i="2" s="1"/>
  <c r="R190" i="2" s="1"/>
  <c r="N350" i="2"/>
  <c r="O350" i="2" s="1"/>
  <c r="R350" i="2" s="1"/>
  <c r="N378" i="2"/>
  <c r="O378" i="2" s="1"/>
  <c r="R378" i="2" s="1"/>
  <c r="O426" i="2"/>
  <c r="R426" i="2" s="1"/>
  <c r="N557" i="2"/>
  <c r="O557" i="2" s="1"/>
  <c r="R557" i="2" s="1"/>
  <c r="N594" i="2"/>
  <c r="O674" i="2"/>
  <c r="R674" i="2" s="1"/>
  <c r="O686" i="2"/>
  <c r="R686" i="2" s="1"/>
  <c r="N711" i="2"/>
  <c r="O711" i="2" s="1"/>
  <c r="R711" i="2" s="1"/>
  <c r="O718" i="2"/>
  <c r="R718" i="2" s="1"/>
  <c r="R168" i="1"/>
  <c r="R268" i="1"/>
  <c r="R1165" i="1"/>
  <c r="R282" i="1"/>
  <c r="R457" i="1"/>
  <c r="R1488" i="1"/>
  <c r="R471" i="1"/>
  <c r="R1442" i="1"/>
  <c r="R1139" i="1"/>
  <c r="R1342" i="1"/>
  <c r="R880" i="1"/>
  <c r="R798" i="1"/>
  <c r="O79" i="2"/>
  <c r="R79" i="2" s="1"/>
  <c r="O275" i="2"/>
  <c r="R275" i="2" s="1"/>
  <c r="N281" i="2"/>
  <c r="O281" i="2" s="1"/>
  <c r="R281" i="2" s="1"/>
  <c r="O581" i="2"/>
  <c r="R581" i="2" s="1"/>
  <c r="N732" i="2"/>
  <c r="O732" i="2" s="1"/>
  <c r="R732" i="2" s="1"/>
  <c r="O773" i="2"/>
  <c r="R773" i="2" s="1"/>
  <c r="N773" i="2"/>
  <c r="R145" i="1"/>
  <c r="R159" i="1"/>
  <c r="R254" i="1"/>
  <c r="R372" i="1"/>
  <c r="R1266" i="1"/>
  <c r="R623" i="1"/>
  <c r="R1217" i="1"/>
  <c r="R929" i="1"/>
  <c r="R1411" i="1"/>
  <c r="O20" i="2"/>
  <c r="R20" i="2" s="1"/>
  <c r="O25" i="2"/>
  <c r="R25" i="2" s="1"/>
  <c r="O74" i="2"/>
  <c r="R74" i="2" s="1"/>
  <c r="O84" i="2"/>
  <c r="R84" i="2" s="1"/>
  <c r="O101" i="2"/>
  <c r="R101" i="2" s="1"/>
  <c r="O128" i="2"/>
  <c r="R128" i="2" s="1"/>
  <c r="O174" i="2"/>
  <c r="R174" i="2" s="1"/>
  <c r="N247" i="2"/>
  <c r="N415" i="2"/>
  <c r="O474" i="2"/>
  <c r="R474" i="2" s="1"/>
  <c r="N528" i="2"/>
  <c r="N576" i="2"/>
  <c r="R949" i="1"/>
  <c r="R453" i="1"/>
  <c r="R572" i="1"/>
  <c r="R614" i="1"/>
  <c r="R1451" i="1"/>
  <c r="R714" i="1"/>
  <c r="R766" i="1"/>
  <c r="R1323" i="1"/>
  <c r="R1394" i="1"/>
  <c r="R1167" i="1"/>
  <c r="N52" i="2"/>
  <c r="O52" i="2" s="1"/>
  <c r="R52" i="2" s="1"/>
  <c r="N63" i="2"/>
  <c r="O242" i="2"/>
  <c r="R242" i="2" s="1"/>
  <c r="O264" i="2"/>
  <c r="R264" i="2" s="1"/>
  <c r="N552" i="2"/>
  <c r="O552" i="2"/>
  <c r="R552" i="2" s="1"/>
  <c r="N681" i="2"/>
  <c r="R164" i="1"/>
  <c r="R320" i="1"/>
  <c r="R1215" i="1"/>
  <c r="R1447" i="1"/>
  <c r="R363" i="1"/>
  <c r="R411" i="1"/>
  <c r="R976" i="1"/>
  <c r="R1363" i="1"/>
  <c r="R605" i="1"/>
  <c r="R757" i="1"/>
  <c r="O791" i="2"/>
  <c r="R791" i="2" s="1"/>
  <c r="R47" i="1"/>
  <c r="R52" i="1"/>
  <c r="R416" i="1"/>
  <c r="R1233" i="1"/>
  <c r="R960" i="1"/>
  <c r="R505" i="1"/>
  <c r="R1285" i="1"/>
  <c r="R529" i="1"/>
  <c r="R596" i="1"/>
  <c r="R957" i="1"/>
  <c r="R1061" i="1"/>
  <c r="R1366" i="1"/>
  <c r="O162" i="2"/>
  <c r="R162" i="2" s="1"/>
  <c r="N227" i="2"/>
  <c r="O322" i="2"/>
  <c r="R322" i="2" s="1"/>
  <c r="N617" i="2"/>
  <c r="O670" i="2"/>
  <c r="R670" i="2" s="1"/>
  <c r="R1288" i="1"/>
  <c r="R1320" i="1"/>
  <c r="R95" i="1"/>
  <c r="R1065" i="1"/>
  <c r="R174" i="1"/>
  <c r="R231" i="1"/>
  <c r="R397" i="1"/>
  <c r="R402" i="1"/>
  <c r="R587" i="1"/>
  <c r="R1149" i="1"/>
  <c r="R681" i="1"/>
  <c r="R734" i="1"/>
  <c r="R790" i="1"/>
  <c r="R1336" i="1"/>
  <c r="O798" i="2"/>
  <c r="R798" i="2" s="1"/>
  <c r="R1249" i="1"/>
  <c r="R1194" i="1"/>
  <c r="R1453" i="1"/>
  <c r="R217" i="1"/>
  <c r="R1007" i="1"/>
  <c r="R1367" i="1"/>
  <c r="R977" i="1"/>
  <c r="R222" i="1"/>
  <c r="R1270" i="1"/>
  <c r="R354" i="1"/>
  <c r="R1422" i="1"/>
  <c r="R525" i="1"/>
  <c r="R573" i="1"/>
  <c r="R841" i="1"/>
  <c r="R606" i="1"/>
  <c r="R781" i="1"/>
  <c r="R943" i="1"/>
  <c r="R1158" i="1"/>
  <c r="R1331" i="1"/>
  <c r="O5" i="2"/>
  <c r="R5" i="2" s="1"/>
  <c r="O64" i="2"/>
  <c r="R64" i="2" s="1"/>
  <c r="N64" i="2"/>
  <c r="O175" i="2"/>
  <c r="R175" i="2" s="1"/>
  <c r="N289" i="2"/>
  <c r="N370" i="2"/>
  <c r="O524" i="2"/>
  <c r="R524" i="2" s="1"/>
  <c r="O565" i="2"/>
  <c r="R565" i="2" s="1"/>
  <c r="O636" i="2"/>
  <c r="R636" i="2" s="1"/>
  <c r="O695" i="2"/>
  <c r="R695" i="2" s="1"/>
  <c r="N721" i="2"/>
  <c r="O721" i="2" s="1"/>
  <c r="R721" i="2" s="1"/>
  <c r="O763" i="2"/>
  <c r="R763" i="2" s="1"/>
  <c r="R105" i="1"/>
  <c r="R316" i="1"/>
  <c r="R321" i="1"/>
  <c r="R1133" i="1"/>
  <c r="R1148" i="1"/>
  <c r="O22" i="2"/>
  <c r="R22" i="2" s="1"/>
  <c r="N22" i="2"/>
  <c r="O59" i="2"/>
  <c r="R59" i="2" s="1"/>
  <c r="O590" i="2"/>
  <c r="R590" i="2" s="1"/>
  <c r="R823" i="1"/>
  <c r="R1214" i="1"/>
  <c r="R237" i="1"/>
  <c r="R307" i="1"/>
  <c r="R559" i="1"/>
  <c r="R564" i="1"/>
  <c r="R924" i="1"/>
  <c r="R1352" i="1"/>
  <c r="N92" i="2"/>
  <c r="O92" i="2" s="1"/>
  <c r="R92" i="2" s="1"/>
  <c r="O336" i="2"/>
  <c r="R336" i="2" s="1"/>
  <c r="N572" i="2"/>
  <c r="O613" i="2"/>
  <c r="R613" i="2" s="1"/>
  <c r="O729" i="2"/>
  <c r="R729" i="2" s="1"/>
  <c r="N729" i="2"/>
  <c r="R818" i="1"/>
  <c r="R516" i="1"/>
  <c r="R1374" i="1"/>
  <c r="R682" i="1"/>
  <c r="N113" i="2"/>
  <c r="N125" i="2"/>
  <c r="O125" i="2" s="1"/>
  <c r="R125" i="2" s="1"/>
  <c r="O260" i="2"/>
  <c r="R260" i="2" s="1"/>
  <c r="N313" i="2"/>
  <c r="O313" i="2" s="1"/>
  <c r="R313" i="2" s="1"/>
  <c r="N411" i="2"/>
  <c r="O411" i="2"/>
  <c r="R411" i="2" s="1"/>
  <c r="N460" i="2"/>
  <c r="O460" i="2" s="1"/>
  <c r="R460" i="2" s="1"/>
  <c r="N514" i="2"/>
  <c r="O514" i="2" s="1"/>
  <c r="R514" i="2" s="1"/>
  <c r="N799" i="2"/>
  <c r="O799" i="2" s="1"/>
  <c r="R799" i="2" s="1"/>
  <c r="R6" i="1"/>
  <c r="R1382" i="1"/>
  <c r="R129" i="1"/>
  <c r="R1410" i="1"/>
  <c r="R185" i="1"/>
  <c r="R223" i="1"/>
  <c r="R266" i="1"/>
  <c r="R303" i="1"/>
  <c r="R1045" i="1"/>
  <c r="R1464" i="1"/>
  <c r="R455" i="1"/>
  <c r="R478" i="1"/>
  <c r="R483" i="1"/>
  <c r="R550" i="1"/>
  <c r="R989" i="1"/>
  <c r="R994" i="1"/>
  <c r="R1159" i="1"/>
  <c r="R1373" i="1"/>
  <c r="N17" i="2"/>
  <c r="O43" i="2"/>
  <c r="R43" i="2" s="1"/>
  <c r="N430" i="2"/>
  <c r="O430" i="2" s="1"/>
  <c r="R430" i="2" s="1"/>
  <c r="R1243" i="1"/>
  <c r="R30" i="1"/>
  <c r="R875" i="1"/>
  <c r="R82" i="1"/>
  <c r="R1041" i="1"/>
  <c r="R120" i="1"/>
  <c r="R984" i="1"/>
  <c r="R228" i="1"/>
  <c r="R294" i="1"/>
  <c r="R1244" i="1"/>
  <c r="R336" i="1"/>
  <c r="R365" i="1"/>
  <c r="R446" i="1"/>
  <c r="R910" i="1"/>
  <c r="R1134" i="1"/>
  <c r="R1384" i="1"/>
  <c r="R1399" i="1"/>
  <c r="O38" i="2"/>
  <c r="R38" i="2" s="1"/>
  <c r="O165" i="2"/>
  <c r="R165" i="2" s="1"/>
  <c r="O171" i="2"/>
  <c r="R171" i="2" s="1"/>
  <c r="N223" i="2"/>
  <c r="O223" i="2" s="1"/>
  <c r="R223" i="2" s="1"/>
  <c r="N484" i="2"/>
  <c r="O484" i="2" s="1"/>
  <c r="R484" i="2" s="1"/>
  <c r="R308" i="1"/>
  <c r="R460" i="1"/>
  <c r="R488" i="1"/>
  <c r="R1335" i="1"/>
  <c r="R546" i="1"/>
  <c r="R1207" i="1"/>
  <c r="R678" i="1"/>
  <c r="R1216" i="1"/>
  <c r="R998" i="1"/>
  <c r="R900" i="1"/>
  <c r="R905" i="1"/>
  <c r="R1015" i="1"/>
  <c r="R1094" i="1"/>
  <c r="R1273" i="1"/>
  <c r="R1303" i="1"/>
  <c r="R1308" i="1"/>
  <c r="N33" i="2"/>
  <c r="O33" i="2" s="1"/>
  <c r="R33" i="2" s="1"/>
  <c r="O93" i="2"/>
  <c r="R93" i="2" s="1"/>
  <c r="N148" i="2"/>
  <c r="O148" i="2" s="1"/>
  <c r="R148" i="2" s="1"/>
  <c r="O182" i="2"/>
  <c r="R182" i="2" s="1"/>
  <c r="N200" i="2"/>
  <c r="O200" i="2" s="1"/>
  <c r="R200" i="2" s="1"/>
  <c r="O206" i="2"/>
  <c r="R206" i="2" s="1"/>
  <c r="N206" i="2"/>
  <c r="N437" i="2"/>
  <c r="O465" i="2"/>
  <c r="R465" i="2" s="1"/>
  <c r="O543" i="2"/>
  <c r="R543" i="2" s="1"/>
  <c r="O614" i="2"/>
  <c r="R614" i="2" s="1"/>
  <c r="N638" i="2"/>
  <c r="N691" i="2"/>
  <c r="O691" i="2" s="1"/>
  <c r="R691" i="2" s="1"/>
  <c r="N716" i="2"/>
  <c r="O716" i="2" s="1"/>
  <c r="R716" i="2" s="1"/>
  <c r="N759" i="2"/>
  <c r="O759" i="2" s="1"/>
  <c r="R759" i="2" s="1"/>
  <c r="N794" i="2"/>
  <c r="O794" i="2"/>
  <c r="R794" i="2" s="1"/>
  <c r="R917" i="1"/>
  <c r="R60" i="1"/>
  <c r="R1268" i="1"/>
  <c r="R1310" i="1"/>
  <c r="R834" i="1"/>
  <c r="O8" i="2"/>
  <c r="R8" i="2" s="1"/>
  <c r="N56" i="2"/>
  <c r="O56" i="2" s="1"/>
  <c r="R56" i="2" s="1"/>
  <c r="O115" i="2"/>
  <c r="R115" i="2" s="1"/>
  <c r="N219" i="2"/>
  <c r="O219" i="2"/>
  <c r="R219" i="2" s="1"/>
  <c r="N298" i="2"/>
  <c r="O298" i="2" s="1"/>
  <c r="R298" i="2" s="1"/>
  <c r="N658" i="2"/>
  <c r="O658" i="2"/>
  <c r="R658" i="2" s="1"/>
  <c r="O725" i="2"/>
  <c r="R725" i="2" s="1"/>
  <c r="R140" i="1"/>
  <c r="R163" i="1"/>
  <c r="R974" i="1"/>
  <c r="R951" i="1"/>
  <c r="R263" i="1"/>
  <c r="R410" i="1"/>
  <c r="R518" i="1"/>
  <c r="R552" i="1"/>
  <c r="R1132" i="1"/>
  <c r="R604" i="1"/>
  <c r="R1200" i="1"/>
  <c r="R718" i="1"/>
  <c r="O46" i="2"/>
  <c r="R46" i="2" s="1"/>
  <c r="O310" i="2"/>
  <c r="R310" i="2" s="1"/>
  <c r="O327" i="2"/>
  <c r="R327" i="2" s="1"/>
  <c r="N408" i="2"/>
  <c r="O408" i="2" s="1"/>
  <c r="R408" i="2" s="1"/>
  <c r="N420" i="2"/>
  <c r="O420" i="2" s="1"/>
  <c r="R420" i="2" s="1"/>
  <c r="N432" i="2"/>
  <c r="O432" i="2" s="1"/>
  <c r="R432" i="2" s="1"/>
  <c r="N539" i="2"/>
  <c r="O539" i="2" s="1"/>
  <c r="R539" i="2" s="1"/>
  <c r="N627" i="2"/>
  <c r="N680" i="2"/>
  <c r="O680" i="2" s="1"/>
  <c r="R680" i="2" s="1"/>
  <c r="R131" i="1"/>
  <c r="R154" i="1"/>
  <c r="R1055" i="1"/>
  <c r="R1329" i="1"/>
  <c r="R581" i="1"/>
  <c r="R632" i="1"/>
  <c r="R1087" i="1"/>
  <c r="R694" i="1"/>
  <c r="R761" i="1"/>
  <c r="R812" i="1"/>
  <c r="O208" i="2"/>
  <c r="R208" i="2" s="1"/>
  <c r="O357" i="2"/>
  <c r="R357" i="2" s="1"/>
  <c r="O511" i="2"/>
  <c r="R511" i="2" s="1"/>
  <c r="O551" i="2"/>
  <c r="R551" i="2" s="1"/>
  <c r="O622" i="2"/>
  <c r="R622" i="2" s="1"/>
  <c r="N674" i="2"/>
  <c r="N699" i="2"/>
  <c r="O699" i="2" s="1"/>
  <c r="R699" i="2" s="1"/>
  <c r="R70" i="1"/>
  <c r="R122" i="1"/>
  <c r="R1380" i="1"/>
  <c r="R1292" i="1"/>
  <c r="R1118" i="1"/>
  <c r="R192" i="1"/>
  <c r="R979" i="1"/>
  <c r="R804" i="1"/>
  <c r="R538" i="1"/>
  <c r="R1346" i="1"/>
  <c r="R543" i="1"/>
  <c r="R600" i="1"/>
  <c r="R1450" i="1"/>
  <c r="R1140" i="1"/>
  <c r="R1379" i="1"/>
  <c r="O214" i="2"/>
  <c r="R214" i="2" s="1"/>
  <c r="N252" i="2"/>
  <c r="O252" i="2" s="1"/>
  <c r="R252" i="2" s="1"/>
  <c r="O293" i="2"/>
  <c r="R293" i="2" s="1"/>
  <c r="N403" i="2"/>
  <c r="N523" i="2"/>
  <c r="N581" i="2"/>
  <c r="N610" i="2"/>
  <c r="O610" i="2" s="1"/>
  <c r="R610" i="2" s="1"/>
  <c r="N622" i="2"/>
  <c r="N719" i="2"/>
  <c r="O719" i="2" s="1"/>
  <c r="R719" i="2" s="1"/>
  <c r="R56" i="1"/>
  <c r="R61" i="1"/>
  <c r="R1486" i="1"/>
  <c r="R1485" i="1"/>
  <c r="R150" i="1"/>
  <c r="R173" i="1"/>
  <c r="R425" i="1"/>
  <c r="R439" i="1"/>
  <c r="R832" i="1"/>
  <c r="R876" i="1"/>
  <c r="R1141" i="1"/>
  <c r="R519" i="1"/>
  <c r="R628" i="1"/>
  <c r="R680" i="1"/>
  <c r="R1421" i="1"/>
  <c r="R1426" i="1"/>
  <c r="N4" i="2"/>
  <c r="O9" i="2"/>
  <c r="R9" i="2" s="1"/>
  <c r="O156" i="2"/>
  <c r="R156" i="2" s="1"/>
  <c r="O232" i="2"/>
  <c r="R232" i="2" s="1"/>
  <c r="O288" i="2"/>
  <c r="R288" i="2" s="1"/>
  <c r="O392" i="2"/>
  <c r="R392" i="2" s="1"/>
  <c r="O564" i="2"/>
  <c r="R564" i="2" s="1"/>
  <c r="N665" i="2"/>
  <c r="O665" i="2" s="1"/>
  <c r="R665" i="2" s="1"/>
  <c r="R104" i="1"/>
  <c r="R1392" i="1"/>
  <c r="R1487" i="1"/>
  <c r="R937" i="1"/>
  <c r="R358" i="1"/>
  <c r="R430" i="1"/>
  <c r="R577" i="1"/>
  <c r="R1156" i="1"/>
  <c r="R633" i="1"/>
  <c r="R794" i="1"/>
  <c r="N15" i="2"/>
  <c r="O15" i="2" s="1"/>
  <c r="R15" i="2" s="1"/>
  <c r="O47" i="2"/>
  <c r="R47" i="2" s="1"/>
  <c r="O151" i="2"/>
  <c r="R151" i="2" s="1"/>
  <c r="O169" i="2"/>
  <c r="R169" i="2" s="1"/>
  <c r="O179" i="2"/>
  <c r="R179" i="2" s="1"/>
  <c r="N264" i="2"/>
  <c r="N341" i="2"/>
  <c r="O386" i="2"/>
  <c r="R386" i="2" s="1"/>
  <c r="N392" i="2"/>
  <c r="N506" i="2"/>
  <c r="O506" i="2"/>
  <c r="R506" i="2" s="1"/>
  <c r="O605" i="2"/>
  <c r="R605" i="2" s="1"/>
  <c r="N623" i="2"/>
  <c r="O623" i="2" s="1"/>
  <c r="R623" i="2" s="1"/>
  <c r="N647" i="2"/>
  <c r="O647" i="2" s="1"/>
  <c r="R647" i="2" s="1"/>
  <c r="N675" i="2"/>
  <c r="O675" i="2" s="1"/>
  <c r="R675" i="2" s="1"/>
  <c r="R132" i="1"/>
  <c r="R169" i="1"/>
  <c r="R700" i="1"/>
  <c r="R877" i="1"/>
  <c r="R705" i="1"/>
  <c r="N346" i="2"/>
  <c r="O346" i="2" s="1"/>
  <c r="R346" i="2" s="1"/>
  <c r="R1381" i="1"/>
  <c r="R1241" i="1"/>
  <c r="R146" i="1"/>
  <c r="R1009" i="1"/>
  <c r="R899" i="1"/>
  <c r="R1252" i="1"/>
  <c r="R1098" i="1"/>
  <c r="R1491" i="1"/>
  <c r="R615" i="1"/>
  <c r="O75" i="2"/>
  <c r="R75" i="2" s="1"/>
  <c r="O97" i="2"/>
  <c r="R97" i="2" s="1"/>
  <c r="N186" i="2"/>
  <c r="O259" i="2"/>
  <c r="R259" i="2" s="1"/>
  <c r="O387" i="2"/>
  <c r="R387" i="2" s="1"/>
  <c r="N519" i="2"/>
  <c r="O519" i="2" s="1"/>
  <c r="R519" i="2" s="1"/>
  <c r="O648" i="2"/>
  <c r="R648" i="2" s="1"/>
  <c r="R38" i="1"/>
  <c r="R137" i="1"/>
  <c r="R1262" i="1"/>
  <c r="R1011" i="1"/>
  <c r="R568" i="1"/>
  <c r="R1393" i="1"/>
  <c r="O48" i="2"/>
  <c r="R48" i="2" s="1"/>
  <c r="O210" i="2"/>
  <c r="R210" i="2" s="1"/>
  <c r="O283" i="2"/>
  <c r="R283" i="2" s="1"/>
  <c r="O318" i="2"/>
  <c r="R318" i="2" s="1"/>
  <c r="N387" i="2"/>
  <c r="N393" i="2"/>
  <c r="O398" i="2"/>
  <c r="R398" i="2" s="1"/>
  <c r="O416" i="2"/>
  <c r="R416" i="2" s="1"/>
  <c r="N422" i="2"/>
  <c r="O422" i="2" s="1"/>
  <c r="R422" i="2" s="1"/>
  <c r="N495" i="2"/>
  <c r="O495" i="2" s="1"/>
  <c r="R495" i="2" s="1"/>
  <c r="N501" i="2"/>
  <c r="O501" i="2" s="1"/>
  <c r="R501" i="2" s="1"/>
  <c r="N601" i="2"/>
  <c r="O601" i="2" s="1"/>
  <c r="R601" i="2" s="1"/>
  <c r="R1306" i="1"/>
  <c r="R1490" i="1"/>
  <c r="R1439" i="1"/>
  <c r="R1386" i="1"/>
  <c r="R128" i="1"/>
  <c r="R1072" i="1"/>
  <c r="R1449" i="1"/>
  <c r="R1021" i="1"/>
  <c r="R667" i="1"/>
  <c r="R786" i="1"/>
  <c r="R1190" i="1"/>
  <c r="O37" i="2"/>
  <c r="R37" i="2" s="1"/>
  <c r="N48" i="2"/>
  <c r="N152" i="2"/>
  <c r="O152" i="2" s="1"/>
  <c r="R152" i="2" s="1"/>
  <c r="N170" i="2"/>
  <c r="N210" i="2"/>
  <c r="N222" i="2"/>
  <c r="O222" i="2" s="1"/>
  <c r="R222" i="2" s="1"/>
  <c r="N318" i="2"/>
  <c r="N530" i="2"/>
  <c r="O530" i="2"/>
  <c r="R530" i="2" s="1"/>
  <c r="N584" i="2"/>
  <c r="O584" i="2" s="1"/>
  <c r="R584" i="2" s="1"/>
  <c r="N596" i="2"/>
  <c r="O596" i="2"/>
  <c r="R596" i="2" s="1"/>
  <c r="N666" i="2"/>
  <c r="O666" i="2" s="1"/>
  <c r="R666" i="2" s="1"/>
  <c r="R10" i="1"/>
  <c r="R29" i="1"/>
  <c r="R91" i="1"/>
  <c r="R1019" i="1"/>
  <c r="R1302" i="1"/>
  <c r="R1307" i="1"/>
  <c r="O239" i="2"/>
  <c r="R239" i="2" s="1"/>
  <c r="O254" i="2"/>
  <c r="R254" i="2" s="1"/>
  <c r="O470" i="2"/>
  <c r="R470" i="2" s="1"/>
  <c r="R874" i="1"/>
  <c r="R1391" i="1"/>
  <c r="R96" i="1"/>
  <c r="R374" i="1"/>
  <c r="R1185" i="1"/>
  <c r="R569" i="1"/>
  <c r="R844" i="1"/>
  <c r="R854" i="1"/>
  <c r="R1413" i="1"/>
  <c r="N119" i="2"/>
  <c r="O119" i="2" s="1"/>
  <c r="R119" i="2" s="1"/>
  <c r="N147" i="2"/>
  <c r="O147" i="2"/>
  <c r="R147" i="2" s="1"/>
  <c r="O406" i="2"/>
  <c r="R406" i="2" s="1"/>
  <c r="N520" i="2"/>
  <c r="O520" i="2"/>
  <c r="R520" i="2" s="1"/>
  <c r="O566" i="2"/>
  <c r="R566" i="2" s="1"/>
  <c r="O690" i="2"/>
  <c r="R690" i="2" s="1"/>
  <c r="R331" i="1"/>
  <c r="R663" i="1"/>
  <c r="R716" i="1"/>
  <c r="R1231" i="1"/>
  <c r="O60" i="2"/>
  <c r="R60" i="2" s="1"/>
  <c r="O71" i="2"/>
  <c r="R71" i="2" s="1"/>
  <c r="O142" i="2"/>
  <c r="R142" i="2" s="1"/>
  <c r="N394" i="2"/>
  <c r="O394" i="2" s="1"/>
  <c r="R394" i="2" s="1"/>
  <c r="N406" i="2"/>
  <c r="N631" i="2"/>
  <c r="O631" i="2" s="1"/>
  <c r="R631" i="2" s="1"/>
  <c r="N690" i="2"/>
  <c r="R68" i="1"/>
  <c r="R87" i="1"/>
  <c r="R1161" i="1"/>
  <c r="R394" i="1"/>
  <c r="R1414" i="1"/>
  <c r="R399" i="1"/>
  <c r="R1192" i="1"/>
  <c r="R1305" i="1"/>
  <c r="R507" i="1"/>
  <c r="R555" i="1"/>
  <c r="R649" i="1"/>
  <c r="R673" i="1"/>
  <c r="R721" i="1"/>
  <c r="R1034" i="1"/>
  <c r="R1242" i="1"/>
  <c r="R1298" i="1"/>
  <c r="N71" i="2"/>
  <c r="N142" i="2"/>
  <c r="O273" i="2"/>
  <c r="R273" i="2" s="1"/>
  <c r="O515" i="2"/>
  <c r="R515" i="2" s="1"/>
  <c r="O573" i="2"/>
  <c r="R573" i="2" s="1"/>
  <c r="O662" i="2"/>
  <c r="R662" i="2" s="1"/>
  <c r="N730" i="2"/>
  <c r="O730" i="2" s="1"/>
  <c r="R730" i="2" s="1"/>
  <c r="O740" i="2"/>
  <c r="R740" i="2" s="1"/>
  <c r="N782" i="2"/>
  <c r="O782" i="2" s="1"/>
  <c r="R782" i="2" s="1"/>
  <c r="R1376" i="1"/>
  <c r="R97" i="1"/>
  <c r="R214" i="1"/>
  <c r="R59" i="1"/>
  <c r="R195" i="1"/>
  <c r="R299" i="1"/>
  <c r="R313" i="1"/>
  <c r="R428" i="1"/>
  <c r="R645" i="1"/>
  <c r="R712" i="1"/>
  <c r="R1332" i="1"/>
  <c r="R1325" i="1"/>
  <c r="R741" i="1"/>
  <c r="R855" i="1"/>
  <c r="R865" i="1"/>
  <c r="R985" i="1"/>
  <c r="R1005" i="1"/>
  <c r="R1049" i="1"/>
  <c r="R1145" i="1"/>
  <c r="R1155" i="1"/>
  <c r="R1211" i="1"/>
  <c r="R1278" i="1"/>
  <c r="O12" i="2"/>
  <c r="R12" i="2" s="1"/>
  <c r="O100" i="2"/>
  <c r="R100" i="2" s="1"/>
  <c r="O218" i="2"/>
  <c r="R218" i="2" s="1"/>
  <c r="O256" i="2"/>
  <c r="R256" i="2" s="1"/>
  <c r="O285" i="2"/>
  <c r="R285" i="2" s="1"/>
  <c r="O377" i="2"/>
  <c r="R377" i="2" s="1"/>
  <c r="N389" i="2"/>
  <c r="O389" i="2" s="1"/>
  <c r="R389" i="2" s="1"/>
  <c r="N485" i="2"/>
  <c r="O485" i="2" s="1"/>
  <c r="R485" i="2" s="1"/>
  <c r="N497" i="2"/>
  <c r="O497" i="2" s="1"/>
  <c r="R497" i="2" s="1"/>
  <c r="O632" i="2"/>
  <c r="R632" i="2" s="1"/>
  <c r="O644" i="2"/>
  <c r="R644" i="2" s="1"/>
  <c r="O710" i="2"/>
  <c r="R710" i="2" s="1"/>
  <c r="O724" i="2"/>
  <c r="R724" i="2" s="1"/>
  <c r="O753" i="2"/>
  <c r="R753" i="2" s="1"/>
  <c r="O765" i="2"/>
  <c r="R765" i="2" s="1"/>
  <c r="N765" i="2"/>
  <c r="N777" i="2"/>
  <c r="O777" i="2" s="1"/>
  <c r="R777" i="2" s="1"/>
  <c r="R1239" i="1"/>
  <c r="R1350" i="1"/>
  <c r="R318" i="1"/>
  <c r="R1228" i="1"/>
  <c r="R940" i="1"/>
  <c r="R1420" i="1"/>
  <c r="R498" i="1"/>
  <c r="R811" i="1"/>
  <c r="R881" i="1"/>
  <c r="R891" i="1"/>
  <c r="O34" i="2"/>
  <c r="R34" i="2" s="1"/>
  <c r="N39" i="2"/>
  <c r="O39" i="2"/>
  <c r="R39" i="2" s="1"/>
  <c r="N94" i="2"/>
  <c r="O94" i="2"/>
  <c r="R94" i="2" s="1"/>
  <c r="O132" i="2"/>
  <c r="R132" i="2" s="1"/>
  <c r="O160" i="2"/>
  <c r="R160" i="2" s="1"/>
  <c r="N160" i="2"/>
  <c r="N195" i="2"/>
  <c r="O195" i="2" s="1"/>
  <c r="R195" i="2" s="1"/>
  <c r="N516" i="2"/>
  <c r="O516" i="2" s="1"/>
  <c r="R516" i="2" s="1"/>
  <c r="N657" i="2"/>
  <c r="O657" i="2" s="1"/>
  <c r="R657" i="2" s="1"/>
  <c r="R50" i="1"/>
  <c r="R69" i="1"/>
  <c r="R862" i="1"/>
  <c r="R1006" i="1"/>
  <c r="R158" i="1"/>
  <c r="R1142" i="1"/>
  <c r="R210" i="1"/>
  <c r="R1240" i="1"/>
  <c r="R1070" i="1"/>
  <c r="R295" i="1"/>
  <c r="R1452" i="1"/>
  <c r="R347" i="1"/>
  <c r="R1351" i="1"/>
  <c r="R1124" i="1"/>
  <c r="R470" i="1"/>
  <c r="R1372" i="1"/>
  <c r="R532" i="1"/>
  <c r="R1226" i="1"/>
  <c r="R889" i="1"/>
  <c r="R708" i="1"/>
  <c r="R1100" i="1"/>
  <c r="R1445" i="1"/>
  <c r="N34" i="2"/>
  <c r="O105" i="2"/>
  <c r="R105" i="2" s="1"/>
  <c r="N183" i="2"/>
  <c r="O183" i="2"/>
  <c r="R183" i="2" s="1"/>
  <c r="O201" i="2"/>
  <c r="R201" i="2" s="1"/>
  <c r="O246" i="2"/>
  <c r="R246" i="2" s="1"/>
  <c r="N268" i="2"/>
  <c r="O268" i="2" s="1"/>
  <c r="R268" i="2" s="1"/>
  <c r="N383" i="2"/>
  <c r="O383" i="2" s="1"/>
  <c r="R383" i="2" s="1"/>
  <c r="N450" i="2"/>
  <c r="O450" i="2" s="1"/>
  <c r="R450" i="2" s="1"/>
  <c r="N544" i="2"/>
  <c r="O544" i="2" s="1"/>
  <c r="R544" i="2" s="1"/>
  <c r="N692" i="2"/>
  <c r="O692" i="2" s="1"/>
  <c r="R692" i="2" s="1"/>
  <c r="N736" i="2"/>
  <c r="O736" i="2" s="1"/>
  <c r="R736" i="2" s="1"/>
  <c r="O197" i="2"/>
  <c r="R197" i="2" s="1"/>
  <c r="O597" i="2"/>
  <c r="R597" i="2" s="1"/>
  <c r="R1479" i="1"/>
  <c r="R1060" i="1"/>
  <c r="R1277" i="1"/>
  <c r="R435" i="1"/>
  <c r="R1390" i="1"/>
  <c r="R597" i="1"/>
  <c r="R971" i="1"/>
  <c r="N171" i="2"/>
  <c r="N204" i="2"/>
  <c r="O204" i="2" s="1"/>
  <c r="R204" i="2" s="1"/>
  <c r="N214" i="2"/>
  <c r="O220" i="2"/>
  <c r="R220" i="2" s="1"/>
  <c r="N235" i="2"/>
  <c r="O235" i="2" s="1"/>
  <c r="R235" i="2" s="1"/>
  <c r="O240" i="2"/>
  <c r="R240" i="2" s="1"/>
  <c r="O292" i="2"/>
  <c r="R292" i="2" s="1"/>
  <c r="O308" i="2"/>
  <c r="R308" i="2" s="1"/>
  <c r="O314" i="2"/>
  <c r="R314" i="2" s="1"/>
  <c r="N342" i="2"/>
  <c r="O342" i="2" s="1"/>
  <c r="R342" i="2" s="1"/>
  <c r="O475" i="2"/>
  <c r="R475" i="2" s="1"/>
  <c r="O510" i="2"/>
  <c r="R510" i="2" s="1"/>
  <c r="O586" i="2"/>
  <c r="R586" i="2" s="1"/>
  <c r="N613" i="2"/>
  <c r="N629" i="2"/>
  <c r="O629" i="2"/>
  <c r="R629" i="2" s="1"/>
  <c r="N646" i="2"/>
  <c r="O646" i="2" s="1"/>
  <c r="R646" i="2" s="1"/>
  <c r="N149" i="2"/>
  <c r="O149" i="2" s="1"/>
  <c r="R149" i="2" s="1"/>
  <c r="O181" i="2"/>
  <c r="R181" i="2" s="1"/>
  <c r="N435" i="2"/>
  <c r="O435" i="2" s="1"/>
  <c r="R435" i="2" s="1"/>
  <c r="N452" i="2"/>
  <c r="O452" i="2"/>
  <c r="R452" i="2" s="1"/>
  <c r="N568" i="2"/>
  <c r="O568" i="2" s="1"/>
  <c r="R568" i="2" s="1"/>
  <c r="N684" i="2"/>
  <c r="O684" i="2" s="1"/>
  <c r="R684" i="2" s="1"/>
  <c r="O714" i="2"/>
  <c r="R714" i="2" s="1"/>
  <c r="R1179" i="1"/>
  <c r="R1359" i="1"/>
  <c r="R88" i="1"/>
  <c r="R1000" i="1"/>
  <c r="R102" i="1"/>
  <c r="R176" i="1"/>
  <c r="R1436" i="1"/>
  <c r="R1229" i="1"/>
  <c r="R250" i="1"/>
  <c r="R338" i="1"/>
  <c r="R361" i="1"/>
  <c r="R1135" i="1"/>
  <c r="R1409" i="1"/>
  <c r="R1261" i="1"/>
  <c r="R1198" i="1"/>
  <c r="R588" i="1"/>
  <c r="R856" i="1"/>
  <c r="R1354" i="1"/>
  <c r="R1238" i="1"/>
  <c r="R1088" i="1"/>
  <c r="O21" i="2"/>
  <c r="R21" i="2" s="1"/>
  <c r="N87" i="2"/>
  <c r="O87" i="2" s="1"/>
  <c r="R87" i="2" s="1"/>
  <c r="O123" i="2"/>
  <c r="R123" i="2" s="1"/>
  <c r="O144" i="2"/>
  <c r="R144" i="2" s="1"/>
  <c r="N187" i="2"/>
  <c r="O187" i="2"/>
  <c r="R187" i="2" s="1"/>
  <c r="O250" i="2"/>
  <c r="R250" i="2" s="1"/>
  <c r="N265" i="2"/>
  <c r="O265" i="2" s="1"/>
  <c r="R265" i="2" s="1"/>
  <c r="O331" i="2"/>
  <c r="R331" i="2" s="1"/>
  <c r="N436" i="2"/>
  <c r="O436" i="2" s="1"/>
  <c r="R436" i="2" s="1"/>
  <c r="O441" i="2"/>
  <c r="R441" i="2" s="1"/>
  <c r="N475" i="2"/>
  <c r="N487" i="2"/>
  <c r="O487" i="2" s="1"/>
  <c r="R487" i="2" s="1"/>
  <c r="O493" i="2"/>
  <c r="R493" i="2" s="1"/>
  <c r="O569" i="2"/>
  <c r="R569" i="2" s="1"/>
  <c r="O685" i="2"/>
  <c r="R685" i="2" s="1"/>
  <c r="O702" i="2"/>
  <c r="R702" i="2" s="1"/>
  <c r="N727" i="2"/>
  <c r="O727" i="2" s="1"/>
  <c r="R727" i="2" s="1"/>
  <c r="O778" i="2"/>
  <c r="R778" i="2" s="1"/>
  <c r="O784" i="2"/>
  <c r="R784" i="2" s="1"/>
  <c r="R1101" i="1"/>
  <c r="R246" i="1"/>
  <c r="R805" i="1"/>
  <c r="R408" i="1"/>
  <c r="R847" i="1"/>
  <c r="R570" i="1"/>
  <c r="R1129" i="1"/>
  <c r="R732" i="1"/>
  <c r="R964" i="1"/>
  <c r="R1256" i="1"/>
  <c r="N199" i="2"/>
  <c r="O199" i="2" s="1"/>
  <c r="R199" i="2" s="1"/>
  <c r="O215" i="2"/>
  <c r="R215" i="2" s="1"/>
  <c r="O236" i="2"/>
  <c r="R236" i="2" s="1"/>
  <c r="N272" i="2"/>
  <c r="O272" i="2" s="1"/>
  <c r="R272" i="2" s="1"/>
  <c r="N309" i="2"/>
  <c r="O309" i="2" s="1"/>
  <c r="R309" i="2" s="1"/>
  <c r="N412" i="2"/>
  <c r="O412" i="2" s="1"/>
  <c r="R412" i="2" s="1"/>
  <c r="N476" i="2"/>
  <c r="O476" i="2" s="1"/>
  <c r="R476" i="2" s="1"/>
  <c r="N494" i="2"/>
  <c r="O494" i="2"/>
  <c r="R494" i="2" s="1"/>
  <c r="N500" i="2"/>
  <c r="O500" i="2" s="1"/>
  <c r="R500" i="2" s="1"/>
  <c r="N558" i="2"/>
  <c r="O558" i="2"/>
  <c r="R558" i="2" s="1"/>
  <c r="N587" i="2"/>
  <c r="O587" i="2" s="1"/>
  <c r="R587" i="2" s="1"/>
  <c r="N447" i="2"/>
  <c r="O447" i="2" s="1"/>
  <c r="R447" i="2" s="1"/>
  <c r="O457" i="2"/>
  <c r="R457" i="2" s="1"/>
  <c r="N457" i="2"/>
  <c r="N521" i="2"/>
  <c r="O521" i="2" s="1"/>
  <c r="R521" i="2" s="1"/>
  <c r="N746" i="2"/>
  <c r="O746" i="2" s="1"/>
  <c r="R746" i="2" s="1"/>
  <c r="O57" i="2"/>
  <c r="R57" i="2" s="1"/>
  <c r="N132" i="2"/>
  <c r="O202" i="2"/>
  <c r="R202" i="2" s="1"/>
  <c r="O261" i="2"/>
  <c r="R261" i="2" s="1"/>
  <c r="O362" i="2"/>
  <c r="R362" i="2" s="1"/>
  <c r="N418" i="2"/>
  <c r="O418" i="2" s="1"/>
  <c r="R418" i="2" s="1"/>
  <c r="O482" i="2"/>
  <c r="R482" i="2" s="1"/>
  <c r="N577" i="2"/>
  <c r="O577" i="2" s="1"/>
  <c r="R577" i="2" s="1"/>
  <c r="N597" i="2"/>
  <c r="N611" i="2"/>
  <c r="O611" i="2" s="1"/>
  <c r="R611" i="2" s="1"/>
  <c r="N620" i="2"/>
  <c r="O620" i="2" s="1"/>
  <c r="R620" i="2" s="1"/>
  <c r="O741" i="2"/>
  <c r="R741" i="2" s="1"/>
  <c r="N780" i="2"/>
  <c r="O780" i="2" s="1"/>
  <c r="R780" i="2" s="1"/>
  <c r="N9" i="2"/>
  <c r="N18" i="2"/>
  <c r="O18" i="2" s="1"/>
  <c r="R18" i="2" s="1"/>
  <c r="N163" i="2"/>
  <c r="O163" i="2" s="1"/>
  <c r="R163" i="2" s="1"/>
  <c r="N193" i="2"/>
  <c r="O193" i="2" s="1"/>
  <c r="R193" i="2" s="1"/>
  <c r="O244" i="2"/>
  <c r="R244" i="2" s="1"/>
  <c r="N287" i="2"/>
  <c r="O287" i="2" s="1"/>
  <c r="R287" i="2" s="1"/>
  <c r="N296" i="2"/>
  <c r="O296" i="2" s="1"/>
  <c r="R296" i="2" s="1"/>
  <c r="O305" i="2"/>
  <c r="R305" i="2" s="1"/>
  <c r="O329" i="2"/>
  <c r="R329" i="2" s="1"/>
  <c r="O375" i="2"/>
  <c r="R375" i="2" s="1"/>
  <c r="O395" i="2"/>
  <c r="R395" i="2" s="1"/>
  <c r="N395" i="2"/>
  <c r="O438" i="2"/>
  <c r="R438" i="2" s="1"/>
  <c r="N458" i="2"/>
  <c r="O458" i="2" s="1"/>
  <c r="R458" i="2" s="1"/>
  <c r="N478" i="2"/>
  <c r="O478" i="2" s="1"/>
  <c r="R478" i="2" s="1"/>
  <c r="N531" i="2"/>
  <c r="O531" i="2" s="1"/>
  <c r="R531" i="2" s="1"/>
  <c r="N550" i="2"/>
  <c r="O550" i="2"/>
  <c r="R550" i="2" s="1"/>
  <c r="N555" i="2"/>
  <c r="O555" i="2" s="1"/>
  <c r="R555" i="2" s="1"/>
  <c r="O582" i="2"/>
  <c r="R582" i="2" s="1"/>
  <c r="N588" i="2"/>
  <c r="O588" i="2" s="1"/>
  <c r="R588" i="2" s="1"/>
  <c r="O592" i="2"/>
  <c r="R592" i="2" s="1"/>
  <c r="O606" i="2"/>
  <c r="R606" i="2" s="1"/>
  <c r="O634" i="2"/>
  <c r="R634" i="2" s="1"/>
  <c r="O649" i="2"/>
  <c r="R649" i="2" s="1"/>
  <c r="N663" i="2"/>
  <c r="O663" i="2" s="1"/>
  <c r="R663" i="2" s="1"/>
  <c r="N702" i="2"/>
  <c r="N717" i="2"/>
  <c r="O717" i="2"/>
  <c r="R717" i="2" s="1"/>
  <c r="N766" i="2"/>
  <c r="O766" i="2" s="1"/>
  <c r="R766" i="2" s="1"/>
  <c r="O770" i="2"/>
  <c r="R770" i="2" s="1"/>
  <c r="N786" i="2"/>
  <c r="O786" i="2" s="1"/>
  <c r="R786" i="2" s="1"/>
  <c r="O795" i="2"/>
  <c r="R795" i="2" s="1"/>
  <c r="N31" i="2"/>
  <c r="O31" i="2" s="1"/>
  <c r="R31" i="2" s="1"/>
  <c r="N66" i="2"/>
  <c r="O66" i="2" s="1"/>
  <c r="R66" i="2" s="1"/>
  <c r="N78" i="2"/>
  <c r="O78" i="2" s="1"/>
  <c r="R78" i="2" s="1"/>
  <c r="O159" i="2"/>
  <c r="R159" i="2" s="1"/>
  <c r="N159" i="2"/>
  <c r="O173" i="2"/>
  <c r="R173" i="2" s="1"/>
  <c r="O189" i="2"/>
  <c r="R189" i="2" s="1"/>
  <c r="N203" i="2"/>
  <c r="O203" i="2" s="1"/>
  <c r="R203" i="2" s="1"/>
  <c r="N220" i="2"/>
  <c r="O279" i="2"/>
  <c r="R279" i="2" s="1"/>
  <c r="N310" i="2"/>
  <c r="O334" i="2"/>
  <c r="R334" i="2" s="1"/>
  <c r="O385" i="2"/>
  <c r="R385" i="2" s="1"/>
  <c r="O400" i="2"/>
  <c r="R400" i="2" s="1"/>
  <c r="O433" i="2"/>
  <c r="R433" i="2" s="1"/>
  <c r="N443" i="2"/>
  <c r="O443" i="2" s="1"/>
  <c r="R443" i="2" s="1"/>
  <c r="N468" i="2"/>
  <c r="O468" i="2" s="1"/>
  <c r="R468" i="2" s="1"/>
  <c r="N58" i="2"/>
  <c r="O58" i="2" s="1"/>
  <c r="R58" i="2" s="1"/>
  <c r="N62" i="2"/>
  <c r="O62" i="2" s="1"/>
  <c r="R62" i="2" s="1"/>
  <c r="N70" i="2"/>
  <c r="O70" i="2" s="1"/>
  <c r="R70" i="2" s="1"/>
  <c r="N74" i="2"/>
  <c r="O120" i="2"/>
  <c r="R120" i="2" s="1"/>
  <c r="O124" i="2"/>
  <c r="R124" i="2" s="1"/>
  <c r="N141" i="2"/>
  <c r="O141" i="2" s="1"/>
  <c r="R141" i="2" s="1"/>
  <c r="O155" i="2"/>
  <c r="R155" i="2" s="1"/>
  <c r="O164" i="2"/>
  <c r="R164" i="2" s="1"/>
  <c r="N169" i="2"/>
  <c r="N177" i="2"/>
  <c r="O177" i="2" s="1"/>
  <c r="R177" i="2" s="1"/>
  <c r="N181" i="2"/>
  <c r="O185" i="2"/>
  <c r="R185" i="2" s="1"/>
  <c r="O271" i="2"/>
  <c r="R271" i="2" s="1"/>
  <c r="N288" i="2"/>
  <c r="O381" i="2"/>
  <c r="R381" i="2" s="1"/>
  <c r="N419" i="2"/>
  <c r="O419" i="2" s="1"/>
  <c r="R419" i="2" s="1"/>
  <c r="O454" i="2"/>
  <c r="R454" i="2" s="1"/>
  <c r="N489" i="2"/>
  <c r="O489" i="2" s="1"/>
  <c r="R489" i="2" s="1"/>
  <c r="N532" i="2"/>
  <c r="O532" i="2" s="1"/>
  <c r="R532" i="2" s="1"/>
  <c r="N541" i="2"/>
  <c r="O541" i="2" s="1"/>
  <c r="R541" i="2" s="1"/>
  <c r="N551" i="2"/>
  <c r="N569" i="2"/>
  <c r="N593" i="2"/>
  <c r="O593" i="2" s="1"/>
  <c r="R593" i="2" s="1"/>
  <c r="O621" i="2"/>
  <c r="R621" i="2" s="1"/>
  <c r="N635" i="2"/>
  <c r="O635" i="2" s="1"/>
  <c r="R635" i="2" s="1"/>
  <c r="O640" i="2"/>
  <c r="R640" i="2" s="1"/>
  <c r="O673" i="2"/>
  <c r="R673" i="2" s="1"/>
  <c r="O683" i="2"/>
  <c r="R683" i="2" s="1"/>
  <c r="O689" i="2"/>
  <c r="R689" i="2" s="1"/>
  <c r="N694" i="2"/>
  <c r="O694" i="2" s="1"/>
  <c r="R694" i="2" s="1"/>
  <c r="O698" i="2"/>
  <c r="R698" i="2" s="1"/>
  <c r="N718" i="2"/>
  <c r="O752" i="2"/>
  <c r="R752" i="2" s="1"/>
  <c r="N771" i="2"/>
  <c r="O771" i="2" s="1"/>
  <c r="R771" i="2" s="1"/>
  <c r="N776" i="2"/>
  <c r="O776" i="2" s="1"/>
  <c r="R776" i="2" s="1"/>
  <c r="N791" i="2"/>
  <c r="O333" i="2"/>
  <c r="R333" i="2" s="1"/>
  <c r="O467" i="2"/>
  <c r="R467" i="2" s="1"/>
  <c r="O136" i="2"/>
  <c r="R136" i="2" s="1"/>
  <c r="O154" i="2"/>
  <c r="R154" i="2" s="1"/>
  <c r="N197" i="2"/>
  <c r="N338" i="2"/>
  <c r="O338" i="2" s="1"/>
  <c r="R338" i="2" s="1"/>
  <c r="O526" i="2"/>
  <c r="R526" i="2" s="1"/>
  <c r="N639" i="2"/>
  <c r="O639" i="2" s="1"/>
  <c r="R639" i="2" s="1"/>
  <c r="N5" i="2"/>
  <c r="O23" i="2"/>
  <c r="R23" i="2" s="1"/>
  <c r="N35" i="2"/>
  <c r="O35" i="2" s="1"/>
  <c r="R35" i="2" s="1"/>
  <c r="N44" i="2"/>
  <c r="O44" i="2" s="1"/>
  <c r="R44" i="2" s="1"/>
  <c r="N115" i="2"/>
  <c r="N128" i="2"/>
  <c r="N136" i="2"/>
  <c r="N154" i="2"/>
  <c r="N168" i="2"/>
  <c r="O168" i="2" s="1"/>
  <c r="R168" i="2" s="1"/>
  <c r="N215" i="2"/>
  <c r="N232" i="2"/>
  <c r="N236" i="2"/>
  <c r="N240" i="2"/>
  <c r="N314" i="2"/>
  <c r="N353" i="2"/>
  <c r="O353" i="2" s="1"/>
  <c r="R353" i="2" s="1"/>
  <c r="N512" i="2"/>
  <c r="O512" i="2" s="1"/>
  <c r="R512" i="2" s="1"/>
  <c r="N23" i="2"/>
  <c r="O40" i="2"/>
  <c r="R40" i="2" s="1"/>
  <c r="N90" i="2"/>
  <c r="O90" i="2" s="1"/>
  <c r="R90" i="2" s="1"/>
  <c r="O95" i="2"/>
  <c r="R95" i="2" s="1"/>
  <c r="O111" i="2"/>
  <c r="R111" i="2" s="1"/>
  <c r="N145" i="2"/>
  <c r="O145" i="2" s="1"/>
  <c r="R145" i="2" s="1"/>
  <c r="O228" i="2"/>
  <c r="R228" i="2" s="1"/>
  <c r="N244" i="2"/>
  <c r="O262" i="2"/>
  <c r="R262" i="2" s="1"/>
  <c r="N275" i="2"/>
  <c r="N283" i="2"/>
  <c r="N292" i="2"/>
  <c r="O324" i="2"/>
  <c r="R324" i="2" s="1"/>
  <c r="N339" i="2"/>
  <c r="O339" i="2" s="1"/>
  <c r="R339" i="2" s="1"/>
  <c r="O390" i="2"/>
  <c r="R390" i="2" s="1"/>
  <c r="N423" i="2"/>
  <c r="O423" i="2" s="1"/>
  <c r="R423" i="2" s="1"/>
  <c r="N428" i="2"/>
  <c r="O428" i="2" s="1"/>
  <c r="R428" i="2" s="1"/>
  <c r="O448" i="2"/>
  <c r="R448" i="2" s="1"/>
  <c r="O453" i="2"/>
  <c r="R453" i="2" s="1"/>
  <c r="N453" i="2"/>
  <c r="N493" i="2"/>
  <c r="N503" i="2"/>
  <c r="O503" i="2" s="1"/>
  <c r="R503" i="2" s="1"/>
  <c r="O560" i="2"/>
  <c r="R560" i="2" s="1"/>
  <c r="N564" i="2"/>
  <c r="N573" i="2"/>
  <c r="N592" i="2"/>
  <c r="N644" i="2"/>
  <c r="N678" i="2"/>
  <c r="O678" i="2" s="1"/>
  <c r="R678" i="2" s="1"/>
  <c r="N688" i="2"/>
  <c r="O688" i="2" s="1"/>
  <c r="R688" i="2" s="1"/>
  <c r="N707" i="2"/>
  <c r="O707" i="2" s="1"/>
  <c r="R707" i="2" s="1"/>
  <c r="N737" i="2"/>
  <c r="O737" i="2" s="1"/>
  <c r="R737" i="2" s="1"/>
  <c r="O742" i="2"/>
  <c r="R742" i="2" s="1"/>
  <c r="N757" i="2"/>
  <c r="O757" i="2" s="1"/>
  <c r="R757" i="2" s="1"/>
  <c r="N762" i="2"/>
  <c r="O762" i="2" s="1"/>
  <c r="R762" i="2" s="1"/>
  <c r="O82" i="2"/>
  <c r="R82" i="2" s="1"/>
  <c r="O198" i="2"/>
  <c r="R198" i="2" s="1"/>
  <c r="N224" i="2"/>
  <c r="O224" i="2" s="1"/>
  <c r="R224" i="2" s="1"/>
  <c r="N262" i="2"/>
  <c r="N390" i="2"/>
  <c r="O473" i="2"/>
  <c r="R473" i="2" s="1"/>
  <c r="O483" i="2"/>
  <c r="R483" i="2" s="1"/>
  <c r="N508" i="2"/>
  <c r="O508" i="2" s="1"/>
  <c r="R508" i="2" s="1"/>
  <c r="N659" i="2"/>
  <c r="O659" i="2" s="1"/>
  <c r="R659" i="2" s="1"/>
  <c r="O728" i="2"/>
  <c r="R728" i="2" s="1"/>
  <c r="N800" i="2"/>
  <c r="O800" i="2" s="1"/>
  <c r="R800" i="2" s="1"/>
  <c r="O10" i="2"/>
  <c r="R10" i="2" s="1"/>
  <c r="N19" i="2"/>
  <c r="O19" i="2" s="1"/>
  <c r="R19" i="2" s="1"/>
  <c r="O41" i="2"/>
  <c r="R41" i="2" s="1"/>
  <c r="O91" i="2"/>
  <c r="R91" i="2" s="1"/>
  <c r="O116" i="2"/>
  <c r="R116" i="2" s="1"/>
  <c r="N155" i="2"/>
  <c r="N164" i="2"/>
  <c r="N229" i="2"/>
  <c r="O229" i="2" s="1"/>
  <c r="R229" i="2" s="1"/>
  <c r="O297" i="2"/>
  <c r="R297" i="2" s="1"/>
  <c r="O320" i="2"/>
  <c r="R320" i="2" s="1"/>
  <c r="N325" i="2"/>
  <c r="O325" i="2" s="1"/>
  <c r="R325" i="2" s="1"/>
  <c r="N354" i="2"/>
  <c r="O354" i="2" s="1"/>
  <c r="R354" i="2" s="1"/>
  <c r="O429" i="2"/>
  <c r="R429" i="2" s="1"/>
  <c r="N546" i="2"/>
  <c r="O546" i="2" s="1"/>
  <c r="R546" i="2" s="1"/>
  <c r="N655" i="2"/>
  <c r="O655" i="2" s="1"/>
  <c r="R655" i="2" s="1"/>
  <c r="N796" i="2"/>
  <c r="O796" i="2" s="1"/>
  <c r="R796" i="2" s="1"/>
  <c r="N471" i="2"/>
  <c r="O471" i="2" s="1"/>
  <c r="R471" i="2" s="1"/>
  <c r="N637" i="2"/>
  <c r="O637" i="2" s="1"/>
  <c r="R637" i="2" s="1"/>
  <c r="N700" i="2"/>
  <c r="O700" i="2" s="1"/>
  <c r="R700" i="2" s="1"/>
  <c r="N755" i="2"/>
  <c r="O755" i="2" s="1"/>
  <c r="R755" i="2" s="1"/>
  <c r="R991" i="1"/>
  <c r="R1254" i="1"/>
  <c r="R1187" i="1"/>
  <c r="N118" i="2"/>
  <c r="O118" i="2" s="1"/>
  <c r="R118" i="2" s="1"/>
  <c r="N261" i="2"/>
  <c r="N334" i="2"/>
  <c r="N386" i="2"/>
  <c r="N400" i="2"/>
  <c r="N404" i="2"/>
  <c r="O404" i="2" s="1"/>
  <c r="R404" i="2" s="1"/>
  <c r="N426" i="2"/>
  <c r="N444" i="2"/>
  <c r="O444" i="2" s="1"/>
  <c r="R444" i="2" s="1"/>
  <c r="N462" i="2"/>
  <c r="O462" i="2" s="1"/>
  <c r="R462" i="2" s="1"/>
  <c r="O490" i="2"/>
  <c r="R490" i="2" s="1"/>
  <c r="O504" i="2"/>
  <c r="R504" i="2" s="1"/>
  <c r="O540" i="2"/>
  <c r="R540" i="2" s="1"/>
  <c r="N549" i="2"/>
  <c r="O549" i="2" s="1"/>
  <c r="R549" i="2" s="1"/>
  <c r="N606" i="2"/>
  <c r="N619" i="2"/>
  <c r="O619" i="2" s="1"/>
  <c r="R619" i="2" s="1"/>
  <c r="N628" i="2"/>
  <c r="O628" i="2" s="1"/>
  <c r="R628" i="2" s="1"/>
  <c r="N651" i="2"/>
  <c r="O651" i="2" s="1"/>
  <c r="R651" i="2" s="1"/>
  <c r="N677" i="2"/>
  <c r="O677" i="2" s="1"/>
  <c r="R677" i="2" s="1"/>
  <c r="N687" i="2"/>
  <c r="O687" i="2" s="1"/>
  <c r="R687" i="2" s="1"/>
  <c r="O696" i="2"/>
  <c r="R696" i="2" s="1"/>
  <c r="N710" i="2"/>
  <c r="N724" i="2"/>
  <c r="N742" i="2"/>
  <c r="N783" i="2"/>
  <c r="O783" i="2" s="1"/>
  <c r="R783" i="2" s="1"/>
  <c r="N792" i="2"/>
  <c r="O792" i="2" s="1"/>
  <c r="R792" i="2" s="1"/>
  <c r="R1206" i="1"/>
  <c r="O28" i="2"/>
  <c r="R28" i="2" s="1"/>
  <c r="O114" i="2"/>
  <c r="R114" i="2" s="1"/>
  <c r="O131" i="2"/>
  <c r="R131" i="2" s="1"/>
  <c r="O245" i="2"/>
  <c r="R245" i="2" s="1"/>
  <c r="O299" i="2"/>
  <c r="R299" i="2" s="1"/>
  <c r="O352" i="2"/>
  <c r="R352" i="2" s="1"/>
  <c r="O365" i="2"/>
  <c r="R365" i="2" s="1"/>
  <c r="O756" i="2"/>
  <c r="R756" i="2" s="1"/>
  <c r="N529" i="2"/>
  <c r="O529" i="2" s="1"/>
  <c r="R529" i="2" s="1"/>
  <c r="N172" i="2"/>
  <c r="O172" i="2" s="1"/>
  <c r="R172" i="2" s="1"/>
  <c r="O226" i="2"/>
  <c r="R226" i="2" s="1"/>
  <c r="O291" i="2"/>
  <c r="R291" i="2" s="1"/>
  <c r="O295" i="2"/>
  <c r="R295" i="2" s="1"/>
  <c r="N328" i="2"/>
  <c r="O328" i="2" s="1"/>
  <c r="R328" i="2" s="1"/>
  <c r="N336" i="2"/>
  <c r="N340" i="2"/>
  <c r="O340" i="2" s="1"/>
  <c r="R340" i="2" s="1"/>
  <c r="O344" i="2"/>
  <c r="R344" i="2" s="1"/>
  <c r="N352" i="2"/>
  <c r="N356" i="2"/>
  <c r="O356" i="2" s="1"/>
  <c r="R356" i="2" s="1"/>
  <c r="N380" i="2"/>
  <c r="O380" i="2"/>
  <c r="R380" i="2" s="1"/>
  <c r="N421" i="2"/>
  <c r="O421" i="2" s="1"/>
  <c r="R421" i="2" s="1"/>
  <c r="N438" i="2"/>
  <c r="N467" i="2"/>
  <c r="N525" i="2"/>
  <c r="O525" i="2" s="1"/>
  <c r="R525" i="2" s="1"/>
  <c r="N542" i="2"/>
  <c r="O542" i="2"/>
  <c r="R542" i="2" s="1"/>
  <c r="N583" i="2"/>
  <c r="O583" i="2" s="1"/>
  <c r="R583" i="2" s="1"/>
  <c r="N599" i="2"/>
  <c r="O599" i="2" s="1"/>
  <c r="R599" i="2" s="1"/>
  <c r="N676" i="2"/>
  <c r="O676" i="2" s="1"/>
  <c r="R676" i="2" s="1"/>
  <c r="N705" i="2"/>
  <c r="O705" i="2" s="1"/>
  <c r="R705" i="2" s="1"/>
  <c r="N709" i="2"/>
  <c r="O709" i="2" s="1"/>
  <c r="R709" i="2" s="1"/>
  <c r="O713" i="2"/>
  <c r="R713" i="2" s="1"/>
  <c r="N726" i="2"/>
  <c r="O726" i="2" s="1"/>
  <c r="R726" i="2" s="1"/>
  <c r="O747" i="2"/>
  <c r="R747" i="2" s="1"/>
  <c r="N768" i="2"/>
  <c r="O768" i="2" s="1"/>
  <c r="R768" i="2" s="1"/>
  <c r="N772" i="2"/>
  <c r="O772" i="2" s="1"/>
  <c r="R772" i="2" s="1"/>
  <c r="N49" i="2"/>
  <c r="O49" i="2" s="1"/>
  <c r="R49" i="2" s="1"/>
  <c r="O157" i="2"/>
  <c r="R157" i="2" s="1"/>
  <c r="N226" i="2"/>
  <c r="N280" i="2"/>
  <c r="O280" i="2" s="1"/>
  <c r="R280" i="2" s="1"/>
  <c r="O376" i="2"/>
  <c r="R376" i="2" s="1"/>
  <c r="O405" i="2"/>
  <c r="R405" i="2" s="1"/>
  <c r="O434" i="2"/>
  <c r="R434" i="2" s="1"/>
  <c r="N446" i="2"/>
  <c r="O446" i="2" s="1"/>
  <c r="R446" i="2" s="1"/>
  <c r="N459" i="2"/>
  <c r="O459" i="2" s="1"/>
  <c r="R459" i="2" s="1"/>
  <c r="N488" i="2"/>
  <c r="O488" i="2"/>
  <c r="R488" i="2" s="1"/>
  <c r="O513" i="2"/>
  <c r="R513" i="2" s="1"/>
  <c r="N567" i="2"/>
  <c r="O567" i="2" s="1"/>
  <c r="R567" i="2" s="1"/>
  <c r="N603" i="2"/>
  <c r="O603" i="2" s="1"/>
  <c r="R603" i="2" s="1"/>
  <c r="N652" i="2"/>
  <c r="O652" i="2" s="1"/>
  <c r="R652" i="2" s="1"/>
  <c r="O668" i="2"/>
  <c r="R668" i="2" s="1"/>
  <c r="O701" i="2"/>
  <c r="R701" i="2" s="1"/>
  <c r="O722" i="2"/>
  <c r="R722" i="2" s="1"/>
  <c r="N747" i="2"/>
  <c r="N760" i="2"/>
  <c r="O760" i="2" s="1"/>
  <c r="R760" i="2" s="1"/>
  <c r="O315" i="2"/>
  <c r="R315" i="2" s="1"/>
  <c r="O351" i="2"/>
  <c r="R351" i="2" s="1"/>
  <c r="N570" i="2"/>
  <c r="O570" i="2" s="1"/>
  <c r="R570" i="2" s="1"/>
  <c r="N745" i="2"/>
  <c r="O745" i="2" s="1"/>
  <c r="R745" i="2" s="1"/>
  <c r="O797" i="2"/>
  <c r="R797" i="2" s="1"/>
  <c r="O369" i="2"/>
  <c r="R369" i="2" s="1"/>
  <c r="O477" i="2"/>
  <c r="R477" i="2" s="1"/>
  <c r="O585" i="2"/>
  <c r="R585" i="2" s="1"/>
  <c r="O693" i="2"/>
  <c r="R693" i="2" s="1"/>
  <c r="N369" i="2"/>
  <c r="N477" i="2"/>
  <c r="N585" i="2"/>
  <c r="N693" i="2"/>
  <c r="N801" i="2"/>
  <c r="O801" i="2" s="1"/>
  <c r="R801" i="2" s="1"/>
</calcChain>
</file>

<file path=xl/sharedStrings.xml><?xml version="1.0" encoding="utf-8"?>
<sst xmlns="http://schemas.openxmlformats.org/spreadsheetml/2006/main" count="35301" uniqueCount="3656">
  <si>
    <t>OrderID</t>
  </si>
  <si>
    <t>ProductID</t>
  </si>
  <si>
    <t>ProductName</t>
  </si>
  <si>
    <t>Category</t>
  </si>
  <si>
    <t>Brand</t>
  </si>
  <si>
    <t>Supplier</t>
  </si>
  <si>
    <t>UnitPrice</t>
  </si>
  <si>
    <t>DiscountPercent</t>
  </si>
  <si>
    <t>OpeningStock</t>
  </si>
  <si>
    <t>CurrentStock</t>
  </si>
  <si>
    <t>ReorderLevel</t>
  </si>
  <si>
    <t>ReorderQuantity</t>
  </si>
  <si>
    <t>Warehouse</t>
  </si>
  <si>
    <t>StorageType</t>
  </si>
  <si>
    <t>LastRestockDate</t>
  </si>
  <si>
    <t>CostPrice</t>
  </si>
  <si>
    <t>HeavyStockFlag</t>
  </si>
  <si>
    <t>HeavyStockPrice</t>
  </si>
  <si>
    <t>StockValue</t>
  </si>
  <si>
    <t>StockAgeDays</t>
  </si>
  <si>
    <t>ReturnFlag</t>
  </si>
  <si>
    <t>CancelledOrder</t>
  </si>
  <si>
    <t>BackorderFlag</t>
  </si>
  <si>
    <t>DeliveryDate</t>
  </si>
  <si>
    <t>InventoryHoldingCost</t>
  </si>
  <si>
    <t>O0001</t>
  </si>
  <si>
    <t>P011</t>
  </si>
  <si>
    <t>Fish</t>
  </si>
  <si>
    <t>Meat &amp; Seafood</t>
  </si>
  <si>
    <t>BrandA</t>
  </si>
  <si>
    <t>Supplier1</t>
  </si>
  <si>
    <t>WH-West</t>
  </si>
  <si>
    <t>Frozen</t>
  </si>
  <si>
    <t>20/11/2025</t>
  </si>
  <si>
    <t>No</t>
  </si>
  <si>
    <t>15/01/2026</t>
  </si>
  <si>
    <t>O0002</t>
  </si>
  <si>
    <t>P005</t>
  </si>
  <si>
    <t>Carrot</t>
  </si>
  <si>
    <t>Vegetables</t>
  </si>
  <si>
    <t>BrandB</t>
  </si>
  <si>
    <t>WH-North</t>
  </si>
  <si>
    <t>Cold Storage</t>
  </si>
  <si>
    <t>14/12/2025</t>
  </si>
  <si>
    <t>O0003</t>
  </si>
  <si>
    <t>P004</t>
  </si>
  <si>
    <t>Butter</t>
  </si>
  <si>
    <t>Dairy</t>
  </si>
  <si>
    <t>Supplier2</t>
  </si>
  <si>
    <t>WH-East</t>
  </si>
  <si>
    <t>17/12/2025</t>
  </si>
  <si>
    <t>O0004</t>
  </si>
  <si>
    <t>P028</t>
  </si>
  <si>
    <t>Yogurt</t>
  </si>
  <si>
    <t>Supplier3</t>
  </si>
  <si>
    <t>09/01/2026</t>
  </si>
  <si>
    <t>O0005</t>
  </si>
  <si>
    <t>P022</t>
  </si>
  <si>
    <t>Soft Drink</t>
  </si>
  <si>
    <t>Beverages</t>
  </si>
  <si>
    <t>Dry Storage</t>
  </si>
  <si>
    <t>27/01/2026</t>
  </si>
  <si>
    <t>O0006</t>
  </si>
  <si>
    <t>P007</t>
  </si>
  <si>
    <t>Chicken</t>
  </si>
  <si>
    <t>19/11/2025</t>
  </si>
  <si>
    <t>O0007</t>
  </si>
  <si>
    <t>03/01/2026</t>
  </si>
  <si>
    <t>O0008</t>
  </si>
  <si>
    <t>P025</t>
  </si>
  <si>
    <t>Tea</t>
  </si>
  <si>
    <t>O0009</t>
  </si>
  <si>
    <t>P018</t>
  </si>
  <si>
    <t>Paneer</t>
  </si>
  <si>
    <t>BrandC</t>
  </si>
  <si>
    <t>08/12/2025</t>
  </si>
  <si>
    <t>O0010</t>
  </si>
  <si>
    <t>P006</t>
  </si>
  <si>
    <t>Cheese</t>
  </si>
  <si>
    <t>07/01/2026</t>
  </si>
  <si>
    <t>O0011</t>
  </si>
  <si>
    <t>19/01/2026</t>
  </si>
  <si>
    <t>O0012</t>
  </si>
  <si>
    <t>P021</t>
  </si>
  <si>
    <t>Salt</t>
  </si>
  <si>
    <t>Essentials</t>
  </si>
  <si>
    <t>10/12/2025</t>
  </si>
  <si>
    <t>O0013</t>
  </si>
  <si>
    <t>07/12/2025</t>
  </si>
  <si>
    <t>O0014</t>
  </si>
  <si>
    <t>06/01/2026</t>
  </si>
  <si>
    <t>O0015</t>
  </si>
  <si>
    <t>05/02/2026</t>
  </si>
  <si>
    <t>O0016</t>
  </si>
  <si>
    <t>O0017</t>
  </si>
  <si>
    <t>P020</t>
  </si>
  <si>
    <t>Rice</t>
  </si>
  <si>
    <t>Grains</t>
  </si>
  <si>
    <t>04/01/2026</t>
  </si>
  <si>
    <t>O0018</t>
  </si>
  <si>
    <t>24/11/2025</t>
  </si>
  <si>
    <t>O0019</t>
  </si>
  <si>
    <t>P001</t>
  </si>
  <si>
    <t>Apple</t>
  </si>
  <si>
    <t>Fruits</t>
  </si>
  <si>
    <t>17/11/2025</t>
  </si>
  <si>
    <t>O0020</t>
  </si>
  <si>
    <t>P019</t>
  </si>
  <si>
    <t>Potato</t>
  </si>
  <si>
    <t>11/01/2026</t>
  </si>
  <si>
    <t>O0021</t>
  </si>
  <si>
    <t>P014</t>
  </si>
  <si>
    <t>Lentils</t>
  </si>
  <si>
    <t>18/01/2026</t>
  </si>
  <si>
    <t>O0022</t>
  </si>
  <si>
    <t>O0023</t>
  </si>
  <si>
    <t>13/01/2026</t>
  </si>
  <si>
    <t>O0024</t>
  </si>
  <si>
    <t>P027</t>
  </si>
  <si>
    <t>Wheat Flour</t>
  </si>
  <si>
    <t>O0025</t>
  </si>
  <si>
    <t>01/12/2025</t>
  </si>
  <si>
    <t>O0026</t>
  </si>
  <si>
    <t>P012</t>
  </si>
  <si>
    <t>Ice Cream</t>
  </si>
  <si>
    <t>O0027</t>
  </si>
  <si>
    <t>P010</t>
  </si>
  <si>
    <t>Cooking Oil</t>
  </si>
  <si>
    <t>23/01/2026</t>
  </si>
  <si>
    <t>O0028</t>
  </si>
  <si>
    <t>P003</t>
  </si>
  <si>
    <t>Biscuits</t>
  </si>
  <si>
    <t>Snacks</t>
  </si>
  <si>
    <t>24/01/2026</t>
  </si>
  <si>
    <t>O0029</t>
  </si>
  <si>
    <t>29/01/2026</t>
  </si>
  <si>
    <t>O0030</t>
  </si>
  <si>
    <t>24/12/2025</t>
  </si>
  <si>
    <t>O0031</t>
  </si>
  <si>
    <t>25/01/2026</t>
  </si>
  <si>
    <t>O0032</t>
  </si>
  <si>
    <t>13/12/2025</t>
  </si>
  <si>
    <t>O0033</t>
  </si>
  <si>
    <t>P015</t>
  </si>
  <si>
    <t>Milk</t>
  </si>
  <si>
    <t>01/02/2026</t>
  </si>
  <si>
    <t>O0034</t>
  </si>
  <si>
    <t>O0035</t>
  </si>
  <si>
    <t>O0036</t>
  </si>
  <si>
    <t>O0037</t>
  </si>
  <si>
    <t>15/12/2025</t>
  </si>
  <si>
    <t>O0038</t>
  </si>
  <si>
    <t>O0039</t>
  </si>
  <si>
    <t>26/11/2025</t>
  </si>
  <si>
    <t>O0040</t>
  </si>
  <si>
    <t>O0041</t>
  </si>
  <si>
    <t>O0042</t>
  </si>
  <si>
    <t>28/12/2025</t>
  </si>
  <si>
    <t>O0043</t>
  </si>
  <si>
    <t>27/11/2025</t>
  </si>
  <si>
    <t>O0044</t>
  </si>
  <si>
    <t>31/01/2026</t>
  </si>
  <si>
    <t>O0045</t>
  </si>
  <si>
    <t>O0046</t>
  </si>
  <si>
    <t>05/12/2025</t>
  </si>
  <si>
    <t>O0047</t>
  </si>
  <si>
    <t>P013</t>
  </si>
  <si>
    <t>Juice</t>
  </si>
  <si>
    <t>O0048</t>
  </si>
  <si>
    <t>O0049</t>
  </si>
  <si>
    <t>05/01/2026</t>
  </si>
  <si>
    <t>O0050</t>
  </si>
  <si>
    <t>P008</t>
  </si>
  <si>
    <t>Chips</t>
  </si>
  <si>
    <t>12/01/2026</t>
  </si>
  <si>
    <t>O0051</t>
  </si>
  <si>
    <t>P016</t>
  </si>
  <si>
    <t>Onion</t>
  </si>
  <si>
    <t>10/01/2026</t>
  </si>
  <si>
    <t>O0052</t>
  </si>
  <si>
    <t>09/12/2025</t>
  </si>
  <si>
    <t>O0053</t>
  </si>
  <si>
    <t>O0054</t>
  </si>
  <si>
    <t>16/12/2025</t>
  </si>
  <si>
    <t>O0055</t>
  </si>
  <si>
    <t>27/12/2025</t>
  </si>
  <si>
    <t>O0056</t>
  </si>
  <si>
    <t>13/11/2025</t>
  </si>
  <si>
    <t>O0057</t>
  </si>
  <si>
    <t>P009</t>
  </si>
  <si>
    <t>Coffee</t>
  </si>
  <si>
    <t>O0058</t>
  </si>
  <si>
    <t>P024</t>
  </si>
  <si>
    <t>Sugar</t>
  </si>
  <si>
    <t>O0059</t>
  </si>
  <si>
    <t>06/02/2026</t>
  </si>
  <si>
    <t>O0060</t>
  </si>
  <si>
    <t>P002</t>
  </si>
  <si>
    <t>Banana</t>
  </si>
  <si>
    <t>02/12/2025</t>
  </si>
  <si>
    <t>O0061</t>
  </si>
  <si>
    <t>O0062</t>
  </si>
  <si>
    <t>O0063</t>
  </si>
  <si>
    <t>29/12/2025</t>
  </si>
  <si>
    <t>O0064</t>
  </si>
  <si>
    <t>26/01/2026</t>
  </si>
  <si>
    <t>O0065</t>
  </si>
  <si>
    <t>02/01/2026</t>
  </si>
  <si>
    <t>O0066</t>
  </si>
  <si>
    <t>04/12/2025</t>
  </si>
  <si>
    <t>O0067</t>
  </si>
  <si>
    <t>O0068</t>
  </si>
  <si>
    <t>22/01/2026</t>
  </si>
  <si>
    <t>O0069</t>
  </si>
  <si>
    <t>O0070</t>
  </si>
  <si>
    <t>O0071</t>
  </si>
  <si>
    <t>O0072</t>
  </si>
  <si>
    <t>31/12/2025</t>
  </si>
  <si>
    <t>O0073</t>
  </si>
  <si>
    <t>O0074</t>
  </si>
  <si>
    <t>25/12/2025</t>
  </si>
  <si>
    <t>O0075</t>
  </si>
  <si>
    <t>O0076</t>
  </si>
  <si>
    <t>O0077</t>
  </si>
  <si>
    <t>21/11/2025</t>
  </si>
  <si>
    <t>O0078</t>
  </si>
  <si>
    <t>O0079</t>
  </si>
  <si>
    <t>29/11/2025</t>
  </si>
  <si>
    <t>O0080</t>
  </si>
  <si>
    <t>03/12/2025</t>
  </si>
  <si>
    <t>O0081</t>
  </si>
  <si>
    <t>O0082</t>
  </si>
  <si>
    <t>O0083</t>
  </si>
  <si>
    <t>O0084</t>
  </si>
  <si>
    <t>O0085</t>
  </si>
  <si>
    <t>O0086</t>
  </si>
  <si>
    <t>O0087</t>
  </si>
  <si>
    <t>P023</t>
  </si>
  <si>
    <t>Spices</t>
  </si>
  <si>
    <t>O0088</t>
  </si>
  <si>
    <t>20/12/2025</t>
  </si>
  <si>
    <t>O0089</t>
  </si>
  <si>
    <t>26/12/2025</t>
  </si>
  <si>
    <t>O0090</t>
  </si>
  <si>
    <t>O0091</t>
  </si>
  <si>
    <t>O0092</t>
  </si>
  <si>
    <t>O0093</t>
  </si>
  <si>
    <t>06/12/2025</t>
  </si>
  <si>
    <t>O0094</t>
  </si>
  <si>
    <t>O0095</t>
  </si>
  <si>
    <t>O0096</t>
  </si>
  <si>
    <t>O0097</t>
  </si>
  <si>
    <t>O0098</t>
  </si>
  <si>
    <t>O0099</t>
  </si>
  <si>
    <t>16/11/2025</t>
  </si>
  <si>
    <t>O0100</t>
  </si>
  <si>
    <t>O0101</t>
  </si>
  <si>
    <t>18/12/2025</t>
  </si>
  <si>
    <t>O0102</t>
  </si>
  <si>
    <t>O0103</t>
  </si>
  <si>
    <t>30/01/2026</t>
  </si>
  <si>
    <t>O0104</t>
  </si>
  <si>
    <t>P017</t>
  </si>
  <si>
    <t>Orange</t>
  </si>
  <si>
    <t>16/01/2026</t>
  </si>
  <si>
    <t>O0105</t>
  </si>
  <si>
    <t>22/11/2025</t>
  </si>
  <si>
    <t>O0106</t>
  </si>
  <si>
    <t>O0107</t>
  </si>
  <si>
    <t>O0108</t>
  </si>
  <si>
    <t>O0109</t>
  </si>
  <si>
    <t>O0110</t>
  </si>
  <si>
    <t>28/01/2026</t>
  </si>
  <si>
    <t>O0111</t>
  </si>
  <si>
    <t>O0112</t>
  </si>
  <si>
    <t>O0113</t>
  </si>
  <si>
    <t>O0114</t>
  </si>
  <si>
    <t>O0115</t>
  </si>
  <si>
    <t>O0116</t>
  </si>
  <si>
    <t>O0117</t>
  </si>
  <si>
    <t>23/12/2025</t>
  </si>
  <si>
    <t>O0118</t>
  </si>
  <si>
    <t>O0119</t>
  </si>
  <si>
    <t>O0120</t>
  </si>
  <si>
    <t>12/12/2025</t>
  </si>
  <si>
    <t>O0121</t>
  </si>
  <si>
    <t>O0122</t>
  </si>
  <si>
    <t>18/11/2025</t>
  </si>
  <si>
    <t>O0123</t>
  </si>
  <si>
    <t>08/01/2026</t>
  </si>
  <si>
    <t>O0124</t>
  </si>
  <si>
    <t>O0125</t>
  </si>
  <si>
    <t>17/01/2026</t>
  </si>
  <si>
    <t>O0126</t>
  </si>
  <si>
    <t>O0127</t>
  </si>
  <si>
    <t>O0128</t>
  </si>
  <si>
    <t>O0129</t>
  </si>
  <si>
    <t>O0130</t>
  </si>
  <si>
    <t>O0131</t>
  </si>
  <si>
    <t>P026</t>
  </si>
  <si>
    <t>Tomato</t>
  </si>
  <si>
    <t>O0132</t>
  </si>
  <si>
    <t>28/11/2025</t>
  </si>
  <si>
    <t>O0133</t>
  </si>
  <si>
    <t>O0134</t>
  </si>
  <si>
    <t>O0135</t>
  </si>
  <si>
    <t>O0136</t>
  </si>
  <si>
    <t>O0137</t>
  </si>
  <si>
    <t>O0138</t>
  </si>
  <si>
    <t>02/02/2026</t>
  </si>
  <si>
    <t>O0139</t>
  </si>
  <si>
    <t>20/01/2026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</si>
  <si>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</si>
  <si>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</si>
  <si>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</si>
  <si>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</si>
  <si>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</si>
  <si>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</si>
  <si>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</si>
  <si>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</si>
  <si>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</si>
  <si>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</si>
  <si>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</si>
  <si>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</si>
  <si>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</si>
  <si>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</si>
  <si>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</si>
  <si>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</si>
  <si>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</si>
  <si>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</si>
  <si>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</si>
  <si>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</si>
  <si>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</si>
  <si>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22/12/2025</t>
  </si>
  <si>
    <t>O0161</t>
  </si>
  <si>
    <t>O0162</t>
  </si>
  <si>
    <t>30/11/2025</t>
  </si>
  <si>
    <t>O0163</t>
  </si>
  <si>
    <t>O0164</t>
  </si>
  <si>
    <t>O0165</t>
  </si>
  <si>
    <t>23/11/2025</t>
  </si>
  <si>
    <t>O0166</t>
  </si>
  <si>
    <t>O0167</t>
  </si>
  <si>
    <t>O0168</t>
  </si>
  <si>
    <t>O0169</t>
  </si>
  <si>
    <t>O0170</t>
  </si>
  <si>
    <t>O0171</t>
  </si>
  <si>
    <t>21/01/2026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</si>
  <si>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</si>
  <si>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</si>
  <si>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</si>
  <si>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</si>
  <si>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</si>
  <si>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</si>
  <si>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</si>
  <si>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</si>
  <si>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</si>
  <si>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</si>
  <si>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</si>
  <si>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</si>
  <si>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</si>
  <si>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01/01/2026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</si>
  <si>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</si>
  <si>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</si>
  <si>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</si>
  <si>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</si>
  <si>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</si>
  <si>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</si>
  <si>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</si>
  <si>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</si>
  <si>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</si>
  <si>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</si>
  <si>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</si>
  <si>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</si>
  <si>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</si>
  <si>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</si>
  <si>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</si>
  <si>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04/02/2026</t>
  </si>
  <si>
    <t>O0200</t>
  </si>
  <si>
    <t>O0201</t>
  </si>
  <si>
    <t>O0202</t>
  </si>
  <si>
    <t>O0203</t>
  </si>
  <si>
    <t>O0204</t>
  </si>
  <si>
    <t>O0205</t>
  </si>
  <si>
    <t>14/11/2025</t>
  </si>
  <si>
    <t>O0206</t>
  </si>
  <si>
    <t>O0207</t>
  </si>
  <si>
    <t>O0208</t>
  </si>
  <si>
    <t>O0209</t>
  </si>
  <si>
    <t>O0210</t>
  </si>
  <si>
    <t>11/12/2025</t>
  </si>
  <si>
    <t>O0211</t>
  </si>
  <si>
    <t>O0212</t>
  </si>
  <si>
    <t>O0213</t>
  </si>
  <si>
    <t>O0214</t>
  </si>
  <si>
    <t>30/12/2025</t>
  </si>
  <si>
    <t>O0215</t>
  </si>
  <si>
    <t>O0216</t>
  </si>
  <si>
    <t>14/01/2026</t>
  </si>
  <si>
    <t>O0217</t>
  </si>
  <si>
    <t>O0218</t>
  </si>
  <si>
    <t>21/12/2025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</si>
  <si>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</si>
  <si>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</si>
  <si>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</si>
  <si>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</si>
  <si>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</si>
  <si>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</si>
  <si>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</si>
  <si>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</si>
  <si>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25/11/2025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</si>
  <si>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</si>
  <si>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</si>
  <si>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</si>
  <si>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</si>
  <si>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</si>
  <si>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</si>
  <si>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</si>
  <si>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</si>
  <si>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</si>
  <si>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</si>
  <si>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</si>
  <si>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</si>
  <si>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</si>
  <si>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</si>
  <si>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</si>
  <si>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</si>
  <si>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</si>
  <si>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</si>
  <si>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</si>
  <si>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</si>
  <si>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</si>
  <si>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</si>
  <si>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</si>
  <si>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</si>
  <si>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</si>
  <si>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</si>
  <si>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</si>
  <si>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</si>
  <si>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</si>
  <si>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</si>
  <si>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</si>
  <si>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</si>
  <si>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</si>
  <si>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</si>
  <si>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</si>
  <si>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</si>
  <si>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</si>
  <si>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</si>
  <si>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</si>
  <si>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</si>
  <si>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</si>
  <si>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</si>
  <si>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</si>
  <si>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</si>
  <si>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19/12/2025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</si>
  <si>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</si>
  <si>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</si>
  <si>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</si>
  <si>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</si>
  <si>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</si>
  <si>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</si>
  <si>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</si>
  <si>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</si>
  <si>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</si>
  <si>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</si>
  <si>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</si>
  <si>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</si>
  <si>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</si>
  <si>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</si>
  <si>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</si>
  <si>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</si>
  <si>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</si>
  <si>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15/11/2025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</si>
  <si>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</si>
  <si>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</si>
  <si>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</si>
  <si>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</si>
  <si>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</si>
  <si>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</si>
  <si>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</si>
  <si>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</si>
  <si>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</si>
  <si>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</si>
  <si>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</si>
  <si>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</si>
  <si>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</si>
  <si>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</si>
  <si>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</si>
  <si>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O0303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</si>
  <si>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</si>
  <si>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</si>
  <si>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</si>
  <si>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</si>
  <si>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</si>
  <si>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</si>
  <si>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</si>
  <si>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</si>
  <si>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</si>
  <si>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</si>
  <si>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</si>
  <si>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</si>
  <si>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</si>
  <si>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</si>
  <si>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</si>
  <si>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</si>
  <si>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</si>
  <si>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</si>
  <si>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</si>
  <si>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</si>
  <si>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</si>
  <si>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</si>
  <si>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</si>
  <si>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</si>
  <si>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</si>
  <si>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</si>
  <si>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</si>
  <si>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</si>
  <si>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</si>
  <si>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</si>
  <si>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</si>
  <si>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</si>
  <si>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</si>
  <si>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</si>
  <si>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</si>
  <si>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</si>
  <si>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</si>
  <si>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</si>
  <si>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</si>
  <si>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</si>
  <si>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</si>
  <si>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</si>
  <si>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</si>
  <si>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</si>
  <si>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</si>
  <si>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</si>
  <si>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</si>
  <si>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</si>
  <si>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</si>
  <si>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</si>
  <si>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</si>
  <si>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</si>
  <si>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</si>
  <si>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</si>
  <si>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</si>
  <si>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</si>
  <si>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</si>
  <si>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</si>
  <si>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</si>
  <si>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</si>
  <si>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</si>
  <si>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</si>
  <si>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</si>
  <si>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</si>
  <si>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</si>
  <si>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</si>
  <si>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</si>
  <si>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</si>
  <si>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</si>
  <si>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</si>
  <si>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</si>
  <si>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</si>
  <si>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</si>
  <si>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</si>
  <si>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</si>
  <si>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</si>
  <si>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</si>
  <si>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</si>
  <si>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</si>
  <si>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</si>
  <si>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</si>
  <si>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</si>
  <si>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</si>
  <si>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</si>
  <si>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</si>
  <si>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</si>
  <si>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</si>
  <si>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</si>
  <si>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</si>
  <si>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</si>
  <si>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</si>
  <si>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</si>
  <si>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</si>
  <si>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</si>
  <si>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</si>
  <si>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</si>
  <si>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</si>
  <si>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</si>
  <si>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</si>
  <si>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</si>
  <si>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</si>
  <si>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</si>
  <si>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</si>
  <si>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</si>
  <si>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</si>
  <si>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</si>
  <si>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</si>
  <si>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</si>
  <si>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</si>
  <si>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</si>
  <si>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</si>
  <si>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</si>
  <si>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</si>
  <si>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</si>
  <si>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</si>
  <si>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</si>
  <si>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</si>
  <si>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</si>
  <si>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</si>
  <si>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</si>
  <si>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</si>
  <si>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</si>
  <si>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</si>
  <si>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</si>
  <si>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</si>
  <si>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</si>
  <si>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</si>
  <si>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</si>
  <si>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</si>
  <si>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</si>
  <si>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</si>
  <si>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</si>
  <si>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</si>
  <si>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</si>
  <si>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</si>
  <si>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</si>
  <si>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</si>
  <si>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</si>
  <si>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</si>
  <si>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</si>
  <si>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</si>
  <si>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</si>
  <si>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</si>
  <si>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</si>
  <si>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</si>
  <si>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</si>
  <si>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</si>
  <si>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</si>
  <si>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</si>
  <si>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</si>
  <si>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</si>
  <si>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</si>
  <si>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</si>
  <si>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</si>
  <si>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</si>
  <si>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</si>
  <si>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</si>
  <si>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</si>
  <si>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</si>
  <si>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</si>
  <si>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</si>
  <si>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</si>
  <si>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</si>
  <si>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</si>
  <si>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</si>
  <si>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</si>
  <si>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</si>
  <si>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</si>
  <si>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</si>
  <si>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</si>
  <si>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</si>
  <si>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</si>
  <si>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</si>
  <si>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</si>
  <si>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</si>
  <si>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</si>
  <si>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</si>
  <si>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</si>
  <si>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</si>
  <si>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</si>
  <si>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</si>
  <si>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</si>
  <si>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</si>
  <si>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</si>
  <si>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</si>
  <si>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</si>
  <si>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</si>
  <si>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</si>
  <si>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</si>
  <si>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</si>
  <si>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</si>
  <si>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</si>
  <si>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</si>
  <si>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</si>
  <si>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O0498</t>
  </si>
  <si>
    <t>O0499</t>
  </si>
  <si>
    <t>O0500</t>
  </si>
  <si>
    <t>O0501</t>
  </si>
  <si>
    <t>O0502</t>
  </si>
  <si>
    <t>O0503</t>
  </si>
  <si>
    <t>O0504</t>
  </si>
  <si>
    <t>O0505</t>
  </si>
  <si>
    <t>O0506</t>
  </si>
  <si>
    <t>O0507</t>
  </si>
  <si>
    <t>O0508</t>
  </si>
  <si>
    <t>O0509</t>
  </si>
  <si>
    <t>O0510</t>
  </si>
  <si>
    <t>O0511</t>
  </si>
  <si>
    <t>O0512</t>
  </si>
  <si>
    <t>O0513</t>
  </si>
  <si>
    <t>O0514</t>
  </si>
  <si>
    <t>O0515</t>
  </si>
  <si>
    <t>O0516</t>
  </si>
  <si>
    <t>O0517</t>
  </si>
  <si>
    <t>O0518</t>
  </si>
  <si>
    <t>O0519</t>
  </si>
  <si>
    <t>O0520</t>
  </si>
  <si>
    <t>O0521</t>
  </si>
  <si>
    <t>O0522</t>
  </si>
  <si>
    <t>O0523</t>
  </si>
  <si>
    <t>O0524</t>
  </si>
  <si>
    <t>O0525</t>
  </si>
  <si>
    <t>O0526</t>
  </si>
  <si>
    <t>O0527</t>
  </si>
  <si>
    <t>O0528</t>
  </si>
  <si>
    <t>O0529</t>
  </si>
  <si>
    <t>O0530</t>
  </si>
  <si>
    <t>O0531</t>
  </si>
  <si>
    <t>O0532</t>
  </si>
  <si>
    <t>O0533</t>
  </si>
  <si>
    <t>O0534</t>
  </si>
  <si>
    <t>O0535</t>
  </si>
  <si>
    <t>O0536</t>
  </si>
  <si>
    <t>O0537</t>
  </si>
  <si>
    <t>O0538</t>
  </si>
  <si>
    <t>O0539</t>
  </si>
  <si>
    <t>O0540</t>
  </si>
  <si>
    <t>O0541</t>
  </si>
  <si>
    <t>O0542</t>
  </si>
  <si>
    <t>O0543</t>
  </si>
  <si>
    <t>O0544</t>
  </si>
  <si>
    <t>O0545</t>
  </si>
  <si>
    <t>O0546</t>
  </si>
  <si>
    <t>O0547</t>
  </si>
  <si>
    <t>O0548</t>
  </si>
  <si>
    <t>O0549</t>
  </si>
  <si>
    <t>O0550</t>
  </si>
  <si>
    <t>O0551</t>
  </si>
  <si>
    <t>O0552</t>
  </si>
  <si>
    <t>O0553</t>
  </si>
  <si>
    <t>O0554</t>
  </si>
  <si>
    <t>O0555</t>
  </si>
  <si>
    <t>O0556</t>
  </si>
  <si>
    <t>O0557</t>
  </si>
  <si>
    <t>O0558</t>
  </si>
  <si>
    <t>O0559</t>
  </si>
  <si>
    <t>O0560</t>
  </si>
  <si>
    <t>O0561</t>
  </si>
  <si>
    <t>O0562</t>
  </si>
  <si>
    <t>O0563</t>
  </si>
  <si>
    <t>O0564</t>
  </si>
  <si>
    <t>O0565</t>
  </si>
  <si>
    <t>O0566</t>
  </si>
  <si>
    <t>O0567</t>
  </si>
  <si>
    <t>O0568</t>
  </si>
  <si>
    <t>O0569</t>
  </si>
  <si>
    <t>O0570</t>
  </si>
  <si>
    <t>O0571</t>
  </si>
  <si>
    <t>O0572</t>
  </si>
  <si>
    <t>O0573</t>
  </si>
  <si>
    <t>O0574</t>
  </si>
  <si>
    <t>O0575</t>
  </si>
  <si>
    <t>O0576</t>
  </si>
  <si>
    <t>O0577</t>
  </si>
  <si>
    <t>O0578</t>
  </si>
  <si>
    <t>O0579</t>
  </si>
  <si>
    <t>O0580</t>
  </si>
  <si>
    <t>O0581</t>
  </si>
  <si>
    <t>O0582</t>
  </si>
  <si>
    <t>O0583</t>
  </si>
  <si>
    <t>O0584</t>
  </si>
  <si>
    <t>O0585</t>
  </si>
  <si>
    <t>O0586</t>
  </si>
  <si>
    <t>O0587</t>
  </si>
  <si>
    <t>O0588</t>
  </si>
  <si>
    <t>O0589</t>
  </si>
  <si>
    <t>O0590</t>
  </si>
  <si>
    <t>O0591</t>
  </si>
  <si>
    <t>O0592</t>
  </si>
  <si>
    <t>O0593</t>
  </si>
  <si>
    <t>O0594</t>
  </si>
  <si>
    <t>O0595</t>
  </si>
  <si>
    <t>O0596</t>
  </si>
  <si>
    <t>O0597</t>
  </si>
  <si>
    <t>O0598</t>
  </si>
  <si>
    <t>O0599</t>
  </si>
  <si>
    <t>O0600</t>
  </si>
  <si>
    <t>O0601</t>
  </si>
  <si>
    <t>O0602</t>
  </si>
  <si>
    <t>O0603</t>
  </si>
  <si>
    <t>O0604</t>
  </si>
  <si>
    <t>O0605</t>
  </si>
  <si>
    <t>O0606</t>
  </si>
  <si>
    <t>O0607</t>
  </si>
  <si>
    <t>O0608</t>
  </si>
  <si>
    <t>O0609</t>
  </si>
  <si>
    <t>O0610</t>
  </si>
  <si>
    <t>O0611</t>
  </si>
  <si>
    <t>O0612</t>
  </si>
  <si>
    <t>O0613</t>
  </si>
  <si>
    <t>O0614</t>
  </si>
  <si>
    <t>O0615</t>
  </si>
  <si>
    <t>O0616</t>
  </si>
  <si>
    <t>O0617</t>
  </si>
  <si>
    <t>O0618</t>
  </si>
  <si>
    <t>O0619</t>
  </si>
  <si>
    <t>O0620</t>
  </si>
  <si>
    <t>O0621</t>
  </si>
  <si>
    <t>O0622</t>
  </si>
  <si>
    <t>O0623</t>
  </si>
  <si>
    <t>O0624</t>
  </si>
  <si>
    <t>O0625</t>
  </si>
  <si>
    <t>O0626</t>
  </si>
  <si>
    <t>O0627</t>
  </si>
  <si>
    <t>O0628</t>
  </si>
  <si>
    <t>O0629</t>
  </si>
  <si>
    <t>O0630</t>
  </si>
  <si>
    <t>O0631</t>
  </si>
  <si>
    <t>O0632</t>
  </si>
  <si>
    <t>O0633</t>
  </si>
  <si>
    <t>O0634</t>
  </si>
  <si>
    <t>O0635</t>
  </si>
  <si>
    <t>O0636</t>
  </si>
  <si>
    <t>O0637</t>
  </si>
  <si>
    <t>O0638</t>
  </si>
  <si>
    <t>O0639</t>
  </si>
  <si>
    <t>O0640</t>
  </si>
  <si>
    <t>O0641</t>
  </si>
  <si>
    <t>O0642</t>
  </si>
  <si>
    <t>O0643</t>
  </si>
  <si>
    <t>O0644</t>
  </si>
  <si>
    <t>O0645</t>
  </si>
  <si>
    <t>O0646</t>
  </si>
  <si>
    <t>O0647</t>
  </si>
  <si>
    <t>O0648</t>
  </si>
  <si>
    <t>O0649</t>
  </si>
  <si>
    <t>O0650</t>
  </si>
  <si>
    <t>O0651</t>
  </si>
  <si>
    <t>O0652</t>
  </si>
  <si>
    <t>O0653</t>
  </si>
  <si>
    <t>O0654</t>
  </si>
  <si>
    <t>O0655</t>
  </si>
  <si>
    <t>O0656</t>
  </si>
  <si>
    <t>O0657</t>
  </si>
  <si>
    <t>O0658</t>
  </si>
  <si>
    <t>O0659</t>
  </si>
  <si>
    <t>O0660</t>
  </si>
  <si>
    <t>O0661</t>
  </si>
  <si>
    <t>O0662</t>
  </si>
  <si>
    <t>O0663</t>
  </si>
  <si>
    <t>O0664</t>
  </si>
  <si>
    <t>O0665</t>
  </si>
  <si>
    <t>O0666</t>
  </si>
  <si>
    <t>O0667</t>
  </si>
  <si>
    <t>O0668</t>
  </si>
  <si>
    <t>O0669</t>
  </si>
  <si>
    <t>O0670</t>
  </si>
  <si>
    <t>03/02/2026</t>
  </si>
  <si>
    <t>O0671</t>
  </si>
  <si>
    <t>O0672</t>
  </si>
  <si>
    <t>O0673</t>
  </si>
  <si>
    <t>O0674</t>
  </si>
  <si>
    <t>O0675</t>
  </si>
  <si>
    <t>O0676</t>
  </si>
  <si>
    <t>O0677</t>
  </si>
  <si>
    <t>O0678</t>
  </si>
  <si>
    <t>O0679</t>
  </si>
  <si>
    <t>O0680</t>
  </si>
  <si>
    <t>O0681</t>
  </si>
  <si>
    <t>O0682</t>
  </si>
  <si>
    <t>O0683</t>
  </si>
  <si>
    <t>O0684</t>
  </si>
  <si>
    <t>O0685</t>
  </si>
  <si>
    <t>O0686</t>
  </si>
  <si>
    <t>O0687</t>
  </si>
  <si>
    <t>O0688</t>
  </si>
  <si>
    <t>O0689</t>
  </si>
  <si>
    <t>O0690</t>
  </si>
  <si>
    <t>O0691</t>
  </si>
  <si>
    <t>O0692</t>
  </si>
  <si>
    <t>O0693</t>
  </si>
  <si>
    <t>O0694</t>
  </si>
  <si>
    <t>O0695</t>
  </si>
  <si>
    <t>O0696</t>
  </si>
  <si>
    <t>O0697</t>
  </si>
  <si>
    <t>O0698</t>
  </si>
  <si>
    <t>O0699</t>
  </si>
  <si>
    <t>O0700</t>
  </si>
  <si>
    <t>O0701</t>
  </si>
  <si>
    <t>O0702</t>
  </si>
  <si>
    <t>O0703</t>
  </si>
  <si>
    <t>O0704</t>
  </si>
  <si>
    <t>O0705</t>
  </si>
  <si>
    <t>O0706</t>
  </si>
  <si>
    <t>O0707</t>
  </si>
  <si>
    <t>O0708</t>
  </si>
  <si>
    <t>O0709</t>
  </si>
  <si>
    <t>O0710</t>
  </si>
  <si>
    <t>O0711</t>
  </si>
  <si>
    <t>O0712</t>
  </si>
  <si>
    <t>O0713</t>
  </si>
  <si>
    <t>O0714</t>
  </si>
  <si>
    <t>O0715</t>
  </si>
  <si>
    <t>O0716</t>
  </si>
  <si>
    <t>O0717</t>
  </si>
  <si>
    <t>O0718</t>
  </si>
  <si>
    <t>O0719</t>
  </si>
  <si>
    <t>O0720</t>
  </si>
  <si>
    <t>O0721</t>
  </si>
  <si>
    <t>O0722</t>
  </si>
  <si>
    <t>O0723</t>
  </si>
  <si>
    <t>O0724</t>
  </si>
  <si>
    <t>O0725</t>
  </si>
  <si>
    <t>O0726</t>
  </si>
  <si>
    <t>O0727</t>
  </si>
  <si>
    <t>O0728</t>
  </si>
  <si>
    <t>O0729</t>
  </si>
  <si>
    <t>O0730</t>
  </si>
  <si>
    <t>O0731</t>
  </si>
  <si>
    <t>O0732</t>
  </si>
  <si>
    <t>O0733</t>
  </si>
  <si>
    <t>O0734</t>
  </si>
  <si>
    <t>O0735</t>
  </si>
  <si>
    <t>O0736</t>
  </si>
  <si>
    <t>O0737</t>
  </si>
  <si>
    <t>O0738</t>
  </si>
  <si>
    <t>O0739</t>
  </si>
  <si>
    <t>O0740</t>
  </si>
  <si>
    <t>O0741</t>
  </si>
  <si>
    <t>O0742</t>
  </si>
  <si>
    <t>O0743</t>
  </si>
  <si>
    <t>O0744</t>
  </si>
  <si>
    <t>O0745</t>
  </si>
  <si>
    <t>O0746</t>
  </si>
  <si>
    <t>O0747</t>
  </si>
  <si>
    <t>O0748</t>
  </si>
  <si>
    <t>O0749</t>
  </si>
  <si>
    <t>O0750</t>
  </si>
  <si>
    <t>O0751</t>
  </si>
  <si>
    <t>O0752</t>
  </si>
  <si>
    <t>O0753</t>
  </si>
  <si>
    <t>O0754</t>
  </si>
  <si>
    <t>O0755</t>
  </si>
  <si>
    <t>O0756</t>
  </si>
  <si>
    <t>O0757</t>
  </si>
  <si>
    <t>O0758</t>
  </si>
  <si>
    <t>O0759</t>
  </si>
  <si>
    <t>O0760</t>
  </si>
  <si>
    <t>O0761</t>
  </si>
  <si>
    <t>O0762</t>
  </si>
  <si>
    <t>O0763</t>
  </si>
  <si>
    <t>O0764</t>
  </si>
  <si>
    <t>O0765</t>
  </si>
  <si>
    <t>O0766</t>
  </si>
  <si>
    <t>O0767</t>
  </si>
  <si>
    <t>O0768</t>
  </si>
  <si>
    <t>O0769</t>
  </si>
  <si>
    <t>O0770</t>
  </si>
  <si>
    <t>O0771</t>
  </si>
  <si>
    <t>O0772</t>
  </si>
  <si>
    <t>O0773</t>
  </si>
  <si>
    <t>O0774</t>
  </si>
  <si>
    <t>O0775</t>
  </si>
  <si>
    <t>O0776</t>
  </si>
  <si>
    <t>O0777</t>
  </si>
  <si>
    <t>O0778</t>
  </si>
  <si>
    <t>O0779</t>
  </si>
  <si>
    <t>O0780</t>
  </si>
  <si>
    <t>O0781</t>
  </si>
  <si>
    <t>O0782</t>
  </si>
  <si>
    <t>O0783</t>
  </si>
  <si>
    <t>O0784</t>
  </si>
  <si>
    <t>O0785</t>
  </si>
  <si>
    <t>O0786</t>
  </si>
  <si>
    <t>O0787</t>
  </si>
  <si>
    <t>O0788</t>
  </si>
  <si>
    <t>O0789</t>
  </si>
  <si>
    <t>O0790</t>
  </si>
  <si>
    <t>O0791</t>
  </si>
  <si>
    <t>O0792</t>
  </si>
  <si>
    <t>O0793</t>
  </si>
  <si>
    <t>O0794</t>
  </si>
  <si>
    <t>O0795</t>
  </si>
  <si>
    <t>O0796</t>
  </si>
  <si>
    <t>O0797</t>
  </si>
  <si>
    <t>O0798</t>
  </si>
  <si>
    <t>O0799</t>
  </si>
  <si>
    <t>O0800</t>
  </si>
  <si>
    <t>CustomerID</t>
  </si>
  <si>
    <t>City</t>
  </si>
  <si>
    <t>PaymentMode</t>
  </si>
  <si>
    <t>QuantityOrdered</t>
  </si>
  <si>
    <t>ShippingDays</t>
  </si>
  <si>
    <t>GrossAmount</t>
  </si>
  <si>
    <t>DiscountAmount</t>
  </si>
  <si>
    <t>NetSales</t>
  </si>
  <si>
    <t>EndingStock</t>
  </si>
  <si>
    <t>Profit</t>
  </si>
  <si>
    <t>OrderStatus</t>
  </si>
  <si>
    <t>FulfillmentFlag</t>
  </si>
  <si>
    <t>C00001</t>
  </si>
  <si>
    <t>Chennai</t>
  </si>
  <si>
    <t>Card</t>
  </si>
  <si>
    <t>Pending</t>
  </si>
  <si>
    <t>NO</t>
  </si>
  <si>
    <t>C00002</t>
  </si>
  <si>
    <t>Delhi</t>
  </si>
  <si>
    <t>YES</t>
  </si>
  <si>
    <t>C00003</t>
  </si>
  <si>
    <t>Hyderabad</t>
  </si>
  <si>
    <t>COD</t>
  </si>
  <si>
    <t>Cancelled</t>
  </si>
  <si>
    <t>C00004</t>
  </si>
  <si>
    <t>Bangalore</t>
  </si>
  <si>
    <t>C00005</t>
  </si>
  <si>
    <t>Mumbai</t>
  </si>
  <si>
    <t>Delivered</t>
  </si>
  <si>
    <t>C00006</t>
  </si>
  <si>
    <t>C00007</t>
  </si>
  <si>
    <t>C00008</t>
  </si>
  <si>
    <t>Pune</t>
  </si>
  <si>
    <t>C00009</t>
  </si>
  <si>
    <t>C00010</t>
  </si>
  <si>
    <t>UPI</t>
  </si>
  <si>
    <t>C00011</t>
  </si>
  <si>
    <t>C00012</t>
  </si>
  <si>
    <t>C00013</t>
  </si>
  <si>
    <t>Kolkata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</si>
  <si>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</si>
  <si>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</si>
  <si>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</si>
  <si>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</si>
  <si>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</si>
  <si>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</si>
  <si>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</si>
  <si>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</si>
  <si>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</si>
  <si>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</si>
  <si>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</si>
  <si>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</si>
  <si>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</si>
  <si>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</si>
  <si>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</si>
  <si>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</si>
  <si>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</si>
  <si>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</si>
  <si>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</si>
  <si>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</si>
  <si>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</si>
  <si>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</si>
  <si>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</si>
  <si>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</si>
  <si>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</si>
  <si>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</si>
  <si>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</si>
  <si>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</si>
  <si>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</si>
  <si>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</si>
  <si>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</si>
  <si>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</si>
  <si>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</si>
  <si>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</si>
  <si>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</si>
  <si>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</si>
  <si>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</si>
  <si>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</si>
  <si>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</si>
  <si>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</si>
  <si>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</si>
  <si>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</si>
  <si>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</si>
  <si>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</si>
  <si>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</si>
  <si>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</si>
  <si>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</si>
  <si>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</si>
  <si>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</si>
  <si>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</si>
  <si>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</si>
  <si>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</si>
  <si>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</si>
  <si>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</si>
  <si>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</si>
  <si>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</si>
  <si>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</si>
  <si>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</si>
  <si>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</si>
  <si>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</si>
  <si>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</si>
  <si>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</si>
  <si>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</si>
  <si>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</si>
  <si>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</si>
  <si>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</si>
  <si>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</si>
  <si>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</si>
  <si>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</si>
  <si>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</si>
  <si>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</si>
  <si>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</si>
  <si>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</si>
  <si>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</si>
  <si>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</si>
  <si>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</si>
  <si>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</si>
  <si>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</si>
  <si>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</si>
  <si>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</si>
  <si>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</si>
  <si>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</si>
  <si>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</si>
  <si>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</si>
  <si>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</si>
  <si>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</si>
  <si>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</si>
  <si>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</si>
  <si>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</si>
  <si>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</si>
  <si>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</si>
  <si>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</si>
  <si>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</si>
  <si>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</si>
  <si>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</si>
  <si>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</si>
  <si>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</si>
  <si>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</si>
  <si>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</si>
  <si>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</si>
  <si>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</si>
  <si>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</si>
  <si>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</si>
  <si>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</si>
  <si>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</si>
  <si>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</si>
  <si>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</si>
  <si>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</si>
  <si>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</si>
  <si>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</si>
  <si>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</si>
  <si>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</si>
  <si>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</si>
  <si>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</si>
  <si>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</si>
  <si>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</si>
  <si>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</si>
  <si>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</si>
  <si>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</si>
  <si>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</si>
  <si>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</si>
  <si>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</si>
  <si>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</si>
  <si>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</si>
  <si>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</si>
  <si>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</si>
  <si>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</si>
  <si>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</si>
  <si>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</si>
  <si>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</si>
  <si>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</si>
  <si>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</si>
  <si>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</si>
  <si>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</si>
  <si>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</si>
  <si>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</si>
  <si>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</si>
  <si>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</si>
  <si>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</si>
  <si>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</si>
  <si>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</si>
  <si>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</si>
  <si>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</si>
  <si>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</si>
  <si>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</si>
  <si>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</si>
  <si>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</si>
  <si>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</si>
  <si>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</si>
  <si>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</si>
  <si>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</si>
  <si>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</si>
  <si>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</si>
  <si>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</si>
  <si>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</si>
  <si>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</si>
  <si>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</si>
  <si>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</si>
  <si>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</si>
  <si>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</si>
  <si>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</si>
  <si>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</si>
  <si>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</si>
  <si>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</si>
  <si>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</si>
  <si>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</si>
  <si>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</si>
  <si>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</si>
  <si>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</si>
  <si>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</si>
  <si>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</si>
  <si>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</si>
  <si>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</si>
  <si>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</si>
  <si>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</si>
  <si>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</si>
  <si>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</si>
  <si>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</si>
  <si>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</si>
  <si>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</si>
  <si>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</si>
  <si>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</si>
  <si>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</si>
  <si>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</si>
  <si>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</si>
  <si>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</si>
  <si>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</si>
  <si>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</si>
  <si>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</si>
  <si>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</si>
  <si>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</si>
  <si>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</si>
  <si>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</si>
  <si>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</si>
  <si>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</si>
  <si>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</si>
  <si>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</si>
  <si>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</si>
  <si>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</si>
  <si>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</si>
  <si>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</si>
  <si>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</si>
  <si>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</si>
  <si>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</si>
  <si>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</si>
  <si>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</si>
  <si>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</si>
  <si>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</si>
  <si>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</si>
  <si>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</si>
  <si>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</si>
  <si>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</si>
  <si>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</si>
  <si>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</si>
  <si>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</si>
  <si>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</si>
  <si>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</si>
  <si>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</si>
  <si>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</si>
  <si>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</si>
  <si>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</si>
  <si>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</si>
  <si>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</si>
  <si>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</si>
  <si>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</si>
  <si>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</si>
  <si>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</si>
  <si>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</si>
  <si>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</si>
  <si>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</si>
  <si>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</si>
  <si>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</si>
  <si>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</si>
  <si>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</si>
  <si>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</si>
  <si>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</si>
  <si>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</si>
  <si>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</si>
  <si>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</si>
  <si>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</si>
  <si>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</si>
  <si>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</si>
  <si>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</si>
  <si>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</si>
  <si>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</si>
  <si>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</si>
  <si>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</si>
  <si>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</si>
  <si>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</si>
  <si>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</si>
  <si>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</si>
  <si>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</si>
  <si>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</si>
  <si>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</si>
  <si>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</si>
  <si>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</si>
  <si>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</si>
  <si>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</si>
  <si>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</si>
  <si>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</si>
  <si>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</si>
  <si>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</si>
  <si>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</si>
  <si>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</si>
  <si>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</si>
  <si>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</si>
  <si>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</si>
  <si>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</si>
  <si>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</si>
  <si>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</si>
  <si>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</si>
  <si>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</si>
  <si>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</si>
  <si>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</si>
  <si>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</si>
  <si>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</si>
  <si>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</si>
  <si>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</si>
  <si>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</si>
  <si>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</si>
  <si>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</si>
  <si>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</si>
  <si>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</si>
  <si>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</si>
  <si>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</si>
  <si>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</si>
  <si>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</si>
  <si>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</si>
  <si>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</si>
  <si>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</si>
  <si>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</si>
  <si>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</si>
  <si>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</si>
  <si>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</si>
  <si>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</si>
  <si>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</si>
  <si>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</si>
  <si>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</si>
  <si>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</si>
  <si>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</si>
  <si>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</si>
  <si>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</si>
  <si>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</si>
  <si>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</si>
  <si>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</si>
  <si>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</si>
  <si>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</si>
  <si>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</si>
  <si>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</si>
  <si>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</si>
  <si>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</si>
  <si>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</si>
  <si>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</si>
  <si>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</si>
  <si>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</si>
  <si>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</si>
  <si>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</si>
  <si>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</si>
  <si>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</si>
  <si>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</si>
  <si>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</si>
  <si>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</si>
  <si>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</si>
  <si>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</si>
  <si>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</si>
  <si>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</si>
  <si>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</si>
  <si>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</si>
  <si>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</si>
  <si>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</si>
  <si>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</si>
  <si>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</si>
  <si>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</si>
  <si>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</si>
  <si>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</si>
  <si>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</si>
  <si>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</si>
  <si>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</si>
  <si>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</si>
  <si>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</si>
  <si>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</si>
  <si>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</si>
  <si>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</si>
  <si>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</si>
  <si>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</si>
  <si>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</si>
  <si>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</si>
  <si>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</si>
  <si>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</si>
  <si>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</si>
  <si>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</si>
  <si>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</si>
  <si>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</si>
  <si>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</si>
  <si>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</si>
  <si>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</si>
  <si>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</si>
  <si>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</si>
  <si>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</si>
  <si>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</si>
  <si>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</si>
  <si>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</si>
  <si>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</si>
  <si>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</si>
  <si>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</si>
  <si>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</si>
  <si>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</si>
  <si>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</si>
  <si>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</si>
  <si>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</si>
  <si>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</si>
  <si>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</si>
  <si>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</si>
  <si>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</si>
  <si>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</si>
  <si>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</si>
  <si>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</si>
  <si>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</si>
  <si>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</si>
  <si>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</si>
  <si>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</si>
  <si>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</si>
  <si>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</si>
  <si>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</si>
  <si>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</si>
  <si>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</si>
  <si>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</si>
  <si>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</si>
  <si>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</si>
  <si>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</si>
  <si>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</si>
  <si>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</si>
  <si>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</si>
  <si>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</si>
  <si>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</si>
  <si>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</si>
  <si>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</si>
  <si>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</si>
  <si>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</si>
  <si>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</si>
  <si>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</si>
  <si>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</si>
  <si>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</si>
  <si>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</si>
  <si>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</si>
  <si>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</si>
  <si>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</si>
  <si>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</si>
  <si>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</si>
  <si>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</si>
  <si>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</si>
  <si>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</si>
  <si>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</si>
  <si>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</si>
  <si>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</si>
  <si>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</si>
  <si>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</si>
  <si>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</si>
  <si>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</si>
  <si>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</si>
  <si>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</si>
  <si>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</si>
  <si>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</si>
  <si>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</si>
  <si>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</si>
  <si>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</si>
  <si>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</si>
  <si>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</si>
  <si>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</si>
  <si>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</si>
  <si>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</si>
  <si>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</si>
  <si>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</si>
  <si>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</si>
  <si>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</si>
  <si>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</si>
  <si>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</si>
  <si>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</si>
  <si>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</si>
  <si>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</si>
  <si>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</si>
  <si>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</si>
  <si>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</si>
  <si>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</si>
  <si>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</si>
  <si>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</si>
  <si>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</si>
  <si>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</si>
  <si>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</si>
  <si>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</si>
  <si>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</si>
  <si>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</si>
  <si>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</si>
  <si>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</si>
  <si>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</si>
  <si>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</si>
  <si>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</si>
  <si>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</si>
  <si>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</si>
  <si>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</si>
  <si>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</si>
  <si>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</si>
  <si>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</si>
  <si>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</si>
  <si>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</si>
  <si>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</si>
  <si>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</si>
  <si>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</si>
  <si>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</si>
  <si>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</si>
  <si>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</si>
  <si>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</si>
  <si>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</si>
  <si>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</si>
  <si>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</si>
  <si>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</si>
  <si>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</si>
  <si>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</si>
  <si>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</si>
  <si>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</si>
  <si>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</si>
  <si>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</si>
  <si>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</si>
  <si>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</si>
  <si>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</si>
  <si>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</si>
  <si>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</si>
  <si>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</si>
  <si>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</si>
  <si>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</si>
  <si>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</si>
  <si>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</si>
  <si>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</si>
  <si>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</si>
  <si>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</si>
  <si>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</si>
  <si>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</si>
  <si>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</si>
  <si>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</si>
  <si>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</si>
  <si>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</si>
  <si>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</si>
  <si>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</si>
  <si>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</si>
  <si>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</si>
  <si>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</si>
  <si>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</si>
  <si>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</si>
  <si>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</si>
  <si>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</si>
  <si>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</si>
  <si>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</si>
  <si>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</si>
  <si>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</si>
  <si>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</si>
  <si>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</si>
  <si>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</si>
  <si>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</si>
  <si>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</si>
  <si>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</si>
  <si>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</si>
  <si>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</si>
  <si>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</si>
  <si>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</si>
  <si>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</si>
  <si>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</si>
  <si>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</si>
  <si>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</si>
  <si>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</si>
  <si>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</si>
  <si>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</si>
  <si>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</si>
  <si>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</si>
  <si>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</si>
  <si>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</si>
  <si>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</si>
  <si>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</si>
  <si>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</si>
  <si>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</si>
  <si>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</si>
  <si>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</si>
  <si>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</si>
  <si>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</si>
  <si>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</si>
  <si>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</si>
  <si>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</si>
  <si>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</si>
  <si>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</si>
  <si>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</si>
  <si>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</si>
  <si>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</si>
  <si>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</si>
  <si>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</si>
  <si>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</si>
  <si>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</si>
  <si>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</si>
  <si>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</si>
  <si>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</si>
  <si>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</si>
  <si>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</si>
  <si>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</si>
  <si>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</si>
  <si>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</si>
  <si>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</si>
  <si>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</si>
  <si>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</si>
  <si>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</si>
  <si>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</si>
  <si>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</si>
  <si>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</si>
  <si>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</si>
  <si>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</si>
  <si>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</si>
  <si>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</si>
  <si>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</si>
  <si>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</si>
  <si>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</si>
  <si>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</si>
  <si>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</si>
  <si>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</si>
  <si>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</si>
  <si>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</si>
  <si>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</si>
  <si>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</si>
  <si>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</si>
  <si>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</si>
  <si>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</si>
  <si>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</si>
  <si>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</si>
  <si>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</si>
  <si>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</si>
  <si>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</si>
  <si>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</si>
  <si>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</si>
  <si>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</si>
  <si>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</si>
  <si>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</si>
  <si>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</si>
  <si>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</si>
  <si>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</si>
  <si>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</si>
  <si>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</si>
  <si>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</si>
  <si>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</si>
  <si>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</si>
  <si>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</si>
  <si>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</si>
  <si>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</si>
  <si>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</si>
  <si>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</si>
  <si>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</si>
  <si>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</si>
  <si>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</si>
  <si>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</si>
  <si>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</si>
  <si>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</si>
  <si>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</si>
  <si>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</si>
  <si>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</si>
  <si>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</si>
  <si>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</si>
  <si>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</si>
  <si>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</si>
  <si>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</si>
  <si>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</si>
  <si>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</si>
  <si>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</si>
  <si>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</si>
  <si>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</si>
  <si>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</si>
  <si>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</si>
  <si>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</si>
  <si>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</si>
  <si>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</si>
  <si>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</si>
  <si>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</si>
  <si>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</si>
  <si>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</si>
  <si>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</si>
  <si>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</si>
  <si>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</si>
  <si>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</si>
  <si>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</si>
  <si>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</si>
  <si>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</si>
  <si>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</si>
  <si>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</si>
  <si>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</si>
  <si>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</si>
  <si>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</si>
  <si>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</si>
  <si>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</si>
  <si>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</si>
  <si>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</si>
  <si>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</si>
  <si>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</si>
  <si>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</si>
  <si>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</si>
  <si>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</si>
  <si>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</si>
  <si>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</si>
  <si>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</si>
  <si>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</si>
  <si>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</si>
  <si>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</si>
  <si>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</si>
  <si>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</si>
  <si>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</si>
  <si>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</si>
  <si>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</si>
  <si>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</si>
  <si>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</si>
  <si>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</si>
  <si>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</si>
  <si>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</si>
  <si>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</si>
  <si>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</si>
  <si>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</si>
  <si>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</si>
  <si>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</si>
  <si>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</si>
  <si>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</si>
  <si>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</si>
  <si>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</si>
  <si>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</si>
  <si>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</si>
  <si>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</si>
  <si>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</si>
  <si>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</si>
  <si>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</si>
  <si>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</si>
  <si>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</si>
  <si>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</si>
  <si>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</si>
  <si>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</si>
  <si>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</si>
  <si>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</si>
  <si>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</si>
  <si>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</si>
  <si>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</si>
  <si>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</si>
  <si>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</si>
  <si>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</si>
  <si>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</si>
  <si>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</si>
  <si>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</si>
  <si>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</si>
  <si>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</si>
  <si>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</si>
  <si>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</si>
  <si>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</si>
  <si>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</si>
  <si>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</si>
  <si>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</si>
  <si>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</si>
  <si>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</si>
  <si>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</si>
  <si>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</si>
  <si>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</si>
  <si>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</si>
  <si>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</si>
  <si>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</si>
  <si>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</si>
  <si>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</si>
  <si>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</si>
  <si>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</si>
  <si>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</si>
  <si>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</si>
  <si>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</si>
  <si>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</si>
  <si>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</si>
  <si>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</si>
  <si>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</si>
  <si>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</si>
  <si>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</si>
  <si>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</si>
  <si>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</si>
  <si>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</si>
  <si>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</si>
  <si>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</si>
  <si>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</si>
  <si>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</si>
  <si>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</si>
  <si>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</si>
  <si>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</si>
  <si>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</si>
  <si>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</si>
  <si>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</si>
  <si>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</si>
  <si>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</si>
  <si>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</si>
  <si>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</si>
  <si>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</si>
  <si>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</si>
  <si>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</si>
  <si>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</si>
  <si>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</si>
  <si>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</si>
  <si>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</si>
  <si>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</si>
  <si>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</si>
  <si>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</si>
  <si>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</si>
  <si>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</si>
  <si>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</si>
  <si>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</si>
  <si>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</si>
  <si>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</si>
  <si>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</si>
  <si>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</si>
  <si>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</si>
  <si>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</si>
  <si>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</si>
  <si>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</si>
  <si>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</si>
  <si>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</si>
  <si>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</si>
  <si>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</si>
  <si>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</si>
  <si>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</si>
  <si>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</si>
  <si>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</si>
  <si>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</si>
  <si>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</si>
  <si>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</si>
  <si>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</si>
  <si>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</si>
  <si>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Deficit</t>
  </si>
  <si>
    <t>O0801</t>
  </si>
  <si>
    <t>O0802</t>
  </si>
  <si>
    <t>O0803</t>
  </si>
  <si>
    <t>O0804</t>
  </si>
  <si>
    <t>O0805</t>
  </si>
  <si>
    <t>O0806</t>
  </si>
  <si>
    <t>O0807</t>
  </si>
  <si>
    <t>O0808</t>
  </si>
  <si>
    <t>O0809</t>
  </si>
  <si>
    <t>O0810</t>
  </si>
  <si>
    <t>O0811</t>
  </si>
  <si>
    <t>O0812</t>
  </si>
  <si>
    <t>O0813</t>
  </si>
  <si>
    <t>O0814</t>
  </si>
  <si>
    <t>O0815</t>
  </si>
  <si>
    <t>O0816</t>
  </si>
  <si>
    <t>O0817</t>
  </si>
  <si>
    <t>O0818</t>
  </si>
  <si>
    <t>O0819</t>
  </si>
  <si>
    <t>O0820</t>
  </si>
  <si>
    <t>O0821</t>
  </si>
  <si>
    <t>O0822</t>
  </si>
  <si>
    <t>O0823</t>
  </si>
  <si>
    <t>O0824</t>
  </si>
  <si>
    <t>O0825</t>
  </si>
  <si>
    <t>O0826</t>
  </si>
  <si>
    <t>O0827</t>
  </si>
  <si>
    <t>O0828</t>
  </si>
  <si>
    <t>O0829</t>
  </si>
  <si>
    <t>O0830</t>
  </si>
  <si>
    <t>O0831</t>
  </si>
  <si>
    <t>O0832</t>
  </si>
  <si>
    <t>O0833</t>
  </si>
  <si>
    <t>O0834</t>
  </si>
  <si>
    <t>O0835</t>
  </si>
  <si>
    <t>O0836</t>
  </si>
  <si>
    <t>O0837</t>
  </si>
  <si>
    <t>O0838</t>
  </si>
  <si>
    <t>O0839</t>
  </si>
  <si>
    <t>O0840</t>
  </si>
  <si>
    <t>O0841</t>
  </si>
  <si>
    <t>O0842</t>
  </si>
  <si>
    <t>O0843</t>
  </si>
  <si>
    <t>O0844</t>
  </si>
  <si>
    <t>O0845</t>
  </si>
  <si>
    <t>O0846</t>
  </si>
  <si>
    <t>O0847</t>
  </si>
  <si>
    <t>O0848</t>
  </si>
  <si>
    <t>O0849</t>
  </si>
  <si>
    <t>O0850</t>
  </si>
  <si>
    <t>O0851</t>
  </si>
  <si>
    <t>O0852</t>
  </si>
  <si>
    <t>O0853</t>
  </si>
  <si>
    <t>O0854</t>
  </si>
  <si>
    <t>O0855</t>
  </si>
  <si>
    <t>O0856</t>
  </si>
  <si>
    <t>O0857</t>
  </si>
  <si>
    <t>O0858</t>
  </si>
  <si>
    <t>O0859</t>
  </si>
  <si>
    <t>O0860</t>
  </si>
  <si>
    <t>O0861</t>
  </si>
  <si>
    <t>O0862</t>
  </si>
  <si>
    <t>O0863</t>
  </si>
  <si>
    <t>O0864</t>
  </si>
  <si>
    <t>O0865</t>
  </si>
  <si>
    <t>O0866</t>
  </si>
  <si>
    <t>O0867</t>
  </si>
  <si>
    <t>O0868</t>
  </si>
  <si>
    <t>O0869</t>
  </si>
  <si>
    <t>O0870</t>
  </si>
  <si>
    <t>O0871</t>
  </si>
  <si>
    <t>O0872</t>
  </si>
  <si>
    <t>O0873</t>
  </si>
  <si>
    <t>O0874</t>
  </si>
  <si>
    <t>O0875</t>
  </si>
  <si>
    <t>O0876</t>
  </si>
  <si>
    <t>O0877</t>
  </si>
  <si>
    <t>O0878</t>
  </si>
  <si>
    <t>O0879</t>
  </si>
  <si>
    <t>O0880</t>
  </si>
  <si>
    <t>O0881</t>
  </si>
  <si>
    <t>O0882</t>
  </si>
  <si>
    <t>O0883</t>
  </si>
  <si>
    <t>O0884</t>
  </si>
  <si>
    <t>O0885</t>
  </si>
  <si>
    <t>O0886</t>
  </si>
  <si>
    <t>O0887</t>
  </si>
  <si>
    <t>O0888</t>
  </si>
  <si>
    <t>O0889</t>
  </si>
  <si>
    <t>O0890</t>
  </si>
  <si>
    <t>O0891</t>
  </si>
  <si>
    <t>O0892</t>
  </si>
  <si>
    <t>O0893</t>
  </si>
  <si>
    <t>O0894</t>
  </si>
  <si>
    <t>O0895</t>
  </si>
  <si>
    <t>O0896</t>
  </si>
  <si>
    <t>O0897</t>
  </si>
  <si>
    <t>O0898</t>
  </si>
  <si>
    <t>O0899</t>
  </si>
  <si>
    <t>O0900</t>
  </si>
  <si>
    <t>O0901</t>
  </si>
  <si>
    <t>O0902</t>
  </si>
  <si>
    <t>O0903</t>
  </si>
  <si>
    <t>O0904</t>
  </si>
  <si>
    <t>O0905</t>
  </si>
  <si>
    <t>O0906</t>
  </si>
  <si>
    <t>O0907</t>
  </si>
  <si>
    <t>O0908</t>
  </si>
  <si>
    <t>O0909</t>
  </si>
  <si>
    <t>O0910</t>
  </si>
  <si>
    <t>O0911</t>
  </si>
  <si>
    <t>O0912</t>
  </si>
  <si>
    <t>O0913</t>
  </si>
  <si>
    <t>O0914</t>
  </si>
  <si>
    <t>O0915</t>
  </si>
  <si>
    <t>O0916</t>
  </si>
  <si>
    <t>O0917</t>
  </si>
  <si>
    <t>O0918</t>
  </si>
  <si>
    <t>O0919</t>
  </si>
  <si>
    <t>O0920</t>
  </si>
  <si>
    <t>O0921</t>
  </si>
  <si>
    <t>O0922</t>
  </si>
  <si>
    <t>O0923</t>
  </si>
  <si>
    <t>O0924</t>
  </si>
  <si>
    <t>O0925</t>
  </si>
  <si>
    <t>O0926</t>
  </si>
  <si>
    <t>O0927</t>
  </si>
  <si>
    <t>O0928</t>
  </si>
  <si>
    <t>O0929</t>
  </si>
  <si>
    <t>O0930</t>
  </si>
  <si>
    <t>O0931</t>
  </si>
  <si>
    <t>O0932</t>
  </si>
  <si>
    <t>O0933</t>
  </si>
  <si>
    <t>O0934</t>
  </si>
  <si>
    <t>O0935</t>
  </si>
  <si>
    <t>O0936</t>
  </si>
  <si>
    <t>O0937</t>
  </si>
  <si>
    <t>O0938</t>
  </si>
  <si>
    <t>O0939</t>
  </si>
  <si>
    <t>O0940</t>
  </si>
  <si>
    <t>O0941</t>
  </si>
  <si>
    <t>O0942</t>
  </si>
  <si>
    <t>O0943</t>
  </si>
  <si>
    <t>O0944</t>
  </si>
  <si>
    <t>O0945</t>
  </si>
  <si>
    <t>O0946</t>
  </si>
  <si>
    <t>O0947</t>
  </si>
  <si>
    <t>O0948</t>
  </si>
  <si>
    <t>O0949</t>
  </si>
  <si>
    <t>O0950</t>
  </si>
  <si>
    <t>O0951</t>
  </si>
  <si>
    <t>O0952</t>
  </si>
  <si>
    <t>O0953</t>
  </si>
  <si>
    <t>O0954</t>
  </si>
  <si>
    <t>O0955</t>
  </si>
  <si>
    <t>O0956</t>
  </si>
  <si>
    <t>O0957</t>
  </si>
  <si>
    <t>O0958</t>
  </si>
  <si>
    <t>O0959</t>
  </si>
  <si>
    <t>O0960</t>
  </si>
  <si>
    <t>O0961</t>
  </si>
  <si>
    <t>O0962</t>
  </si>
  <si>
    <t>O0963</t>
  </si>
  <si>
    <t>O0964</t>
  </si>
  <si>
    <t>O0965</t>
  </si>
  <si>
    <t>O0966</t>
  </si>
  <si>
    <t>O0967</t>
  </si>
  <si>
    <t>O0968</t>
  </si>
  <si>
    <t>O0969</t>
  </si>
  <si>
    <t>O0970</t>
  </si>
  <si>
    <t>O0971</t>
  </si>
  <si>
    <t>O0972</t>
  </si>
  <si>
    <t>O0973</t>
  </si>
  <si>
    <t>O0974</t>
  </si>
  <si>
    <t>O0975</t>
  </si>
  <si>
    <t>O0976</t>
  </si>
  <si>
    <t>O0977</t>
  </si>
  <si>
    <t>O0978</t>
  </si>
  <si>
    <t>O0979</t>
  </si>
  <si>
    <t>O0980</t>
  </si>
  <si>
    <t>O0981</t>
  </si>
  <si>
    <t>O0982</t>
  </si>
  <si>
    <t>O0983</t>
  </si>
  <si>
    <t>O0984</t>
  </si>
  <si>
    <t>O0985</t>
  </si>
  <si>
    <t>O0986</t>
  </si>
  <si>
    <t>O0987</t>
  </si>
  <si>
    <t>O0988</t>
  </si>
  <si>
    <t>O0989</t>
  </si>
  <si>
    <t>O0990</t>
  </si>
  <si>
    <t>O0991</t>
  </si>
  <si>
    <t>O0992</t>
  </si>
  <si>
    <t>O0993</t>
  </si>
  <si>
    <t>O0994</t>
  </si>
  <si>
    <t>O0995</t>
  </si>
  <si>
    <t>O0996</t>
  </si>
  <si>
    <t>O0997</t>
  </si>
  <si>
    <t>O0998</t>
  </si>
  <si>
    <t>O0999</t>
  </si>
  <si>
    <t>O1000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</si>
  <si>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</si>
  <si>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</si>
  <si>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</si>
  <si>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</si>
  <si>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</si>
  <si>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</si>
  <si>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</si>
  <si>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</si>
  <si>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</si>
  <si>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</si>
  <si>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</si>
  <si>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</si>
  <si>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</si>
  <si>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</si>
  <si>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</si>
  <si>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</si>
  <si>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</si>
  <si>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</si>
  <si>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</si>
  <si>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</si>
  <si>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</si>
  <si>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</si>
  <si>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</si>
  <si>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</si>
  <si>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</si>
  <si>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</si>
  <si>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</si>
  <si>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</si>
  <si>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</si>
  <si>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</si>
  <si>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</si>
  <si>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</si>
  <si>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</si>
  <si>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</si>
  <si>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</si>
  <si>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</si>
  <si>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</si>
  <si>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</si>
  <si>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</si>
  <si>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</si>
  <si>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</si>
  <si>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</si>
  <si>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</si>
  <si>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</si>
  <si>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</si>
  <si>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</si>
  <si>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</si>
  <si>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</si>
  <si>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</si>
  <si>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</si>
  <si>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</si>
  <si>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</si>
  <si>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</si>
  <si>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</si>
  <si>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</si>
  <si>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</si>
  <si>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</si>
  <si>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</si>
  <si>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</si>
  <si>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</si>
  <si>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</si>
  <si>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</si>
  <si>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</si>
  <si>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</si>
  <si>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</si>
  <si>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</si>
  <si>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</si>
  <si>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</si>
  <si>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</si>
  <si>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</si>
  <si>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</si>
  <si>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</si>
  <si>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</si>
  <si>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</si>
  <si>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</si>
  <si>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</si>
  <si>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</si>
  <si>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</si>
  <si>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</si>
  <si>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</si>
  <si>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</si>
  <si>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</si>
  <si>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</si>
  <si>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</si>
  <si>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</si>
  <si>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</si>
  <si>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</si>
  <si>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</si>
  <si>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</si>
  <si>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</si>
  <si>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</si>
  <si>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</si>
  <si>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</si>
  <si>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</si>
  <si>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</si>
  <si>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</si>
  <si>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</si>
  <si>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</si>
  <si>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</si>
  <si>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</si>
  <si>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</si>
  <si>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</si>
  <si>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</si>
  <si>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</si>
  <si>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</si>
  <si>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</si>
  <si>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</si>
  <si>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</si>
  <si>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</si>
  <si>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</si>
  <si>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</si>
  <si>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</si>
  <si>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</si>
  <si>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</si>
  <si>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</si>
  <si>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</si>
  <si>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</si>
  <si>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</si>
  <si>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</si>
  <si>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</si>
  <si>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</si>
  <si>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</si>
  <si>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</si>
  <si>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</si>
  <si>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</si>
  <si>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</si>
  <si>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</si>
  <si>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</si>
  <si>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</si>
  <si>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</si>
  <si>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</si>
  <si>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</si>
  <si>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</si>
  <si>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</si>
  <si>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</si>
  <si>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</si>
  <si>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</si>
  <si>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</si>
  <si>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</si>
  <si>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</si>
  <si>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</si>
  <si>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</si>
  <si>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</si>
  <si>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</si>
  <si>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</si>
  <si>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</si>
  <si>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</si>
  <si>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</si>
  <si>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</si>
  <si>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</si>
  <si>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</si>
  <si>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</si>
  <si>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</si>
  <si>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</si>
  <si>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</si>
  <si>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</si>
  <si>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</si>
  <si>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</si>
  <si>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</si>
  <si>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</si>
  <si>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</si>
  <si>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</si>
  <si>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</si>
  <si>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</si>
  <si>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</si>
  <si>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</si>
  <si>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</si>
  <si>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</si>
  <si>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</si>
  <si>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</si>
  <si>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</si>
  <si>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</si>
  <si>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</si>
  <si>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</si>
  <si>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</si>
  <si>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</si>
  <si>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</si>
  <si>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</si>
  <si>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</si>
  <si>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</si>
  <si>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</si>
  <si>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</si>
  <si>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</si>
  <si>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</si>
  <si>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</si>
  <si>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</si>
  <si>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</si>
  <si>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</si>
  <si>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</si>
  <si>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</si>
  <si>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</si>
  <si>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</si>
  <si>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</si>
  <si>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</si>
  <si>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</si>
  <si>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</si>
  <si>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</si>
  <si>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</si>
  <si>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</si>
  <si>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</si>
  <si>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</si>
  <si>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</si>
  <si>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</si>
  <si>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</si>
  <si>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</si>
  <si>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</si>
  <si>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</si>
  <si>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</si>
  <si>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</si>
  <si>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</si>
  <si>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</si>
  <si>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</si>
  <si>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</si>
  <si>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</si>
  <si>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</si>
  <si>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</si>
  <si>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</si>
  <si>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</si>
  <si>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</si>
  <si>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</si>
  <si>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</si>
  <si>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</si>
  <si>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</si>
  <si>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</si>
  <si>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</si>
  <si>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</si>
  <si>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</si>
  <si>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</si>
  <si>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</si>
  <si>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</si>
  <si>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</si>
  <si>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</si>
  <si>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</si>
  <si>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</si>
  <si>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</si>
  <si>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</si>
  <si>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</si>
  <si>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</si>
  <si>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</si>
  <si>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</si>
  <si>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</si>
  <si>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</si>
  <si>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</si>
  <si>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</si>
  <si>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</si>
  <si>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</si>
  <si>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</si>
  <si>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</si>
  <si>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</si>
  <si>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</si>
  <si>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</si>
  <si>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</si>
  <si>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</si>
  <si>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</si>
  <si>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</si>
  <si>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</si>
  <si>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</si>
  <si>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</si>
  <si>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</si>
  <si>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</si>
  <si>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</si>
  <si>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</si>
  <si>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</si>
  <si>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</si>
  <si>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</si>
  <si>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</si>
  <si>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</si>
  <si>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</si>
  <si>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</si>
  <si>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</si>
  <si>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</si>
  <si>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</si>
  <si>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</si>
  <si>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</si>
  <si>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</si>
  <si>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</si>
  <si>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</si>
  <si>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</si>
  <si>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</si>
  <si>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</si>
  <si>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</si>
  <si>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</si>
  <si>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</si>
  <si>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</si>
  <si>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</si>
  <si>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</si>
  <si>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</si>
  <si>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</si>
  <si>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</si>
  <si>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</si>
  <si>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</si>
  <si>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</si>
  <si>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</si>
  <si>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</si>
  <si>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</si>
  <si>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</si>
  <si>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</si>
  <si>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</si>
  <si>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</si>
  <si>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</si>
  <si>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O1301</t>
  </si>
  <si>
    <t>O1302</t>
  </si>
  <si>
    <t>O1303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</si>
  <si>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</si>
  <si>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</si>
  <si>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</si>
  <si>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</si>
  <si>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</si>
  <si>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</si>
  <si>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</si>
  <si>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</si>
  <si>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</si>
  <si>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</si>
  <si>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</si>
  <si>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</si>
  <si>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</si>
  <si>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</si>
  <si>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</si>
  <si>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</si>
  <si>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</si>
  <si>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</si>
  <si>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</si>
  <si>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</si>
  <si>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</si>
  <si>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</si>
  <si>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</si>
  <si>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</si>
  <si>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</si>
  <si>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</si>
  <si>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</si>
  <si>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</si>
  <si>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</si>
  <si>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</si>
  <si>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</si>
  <si>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</si>
  <si>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</si>
  <si>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</si>
  <si>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</si>
  <si>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</si>
  <si>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O1340</t>
  </si>
  <si>
    <t>O1341</t>
  </si>
  <si>
    <t>O1342</t>
  </si>
  <si>
    <t>O1343</t>
  </si>
  <si>
    <t>O1344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</si>
  <si>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</si>
  <si>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</si>
  <si>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</si>
  <si>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</si>
  <si>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</si>
  <si>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</si>
  <si>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</si>
  <si>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</si>
  <si>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</si>
  <si>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</si>
  <si>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</si>
  <si>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</si>
  <si>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</si>
  <si>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</si>
  <si>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</si>
  <si>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</si>
  <si>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</si>
  <si>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</si>
  <si>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</si>
  <si>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</si>
  <si>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</si>
  <si>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</si>
  <si>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</si>
  <si>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</si>
  <si>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</si>
  <si>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</si>
  <si>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</si>
  <si>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</si>
  <si>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</si>
  <si>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</si>
  <si>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</si>
  <si>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</si>
  <si>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</si>
  <si>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</si>
  <si>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</si>
  <si>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</si>
  <si>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</si>
  <si>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</si>
  <si>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</si>
  <si>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</si>
  <si>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</si>
  <si>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</si>
  <si>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</si>
  <si>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</si>
  <si>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</si>
  <si>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</si>
  <si>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</si>
  <si>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</si>
  <si>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</si>
  <si>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</si>
  <si>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</si>
  <si>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</si>
  <si>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</si>
  <si>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</si>
  <si>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</si>
  <si>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</si>
  <si>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</si>
  <si>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</si>
  <si>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</si>
  <si>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</si>
  <si>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</si>
  <si>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</si>
  <si>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</si>
  <si>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</si>
  <si>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</si>
  <si>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</si>
  <si>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</si>
  <si>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</si>
  <si>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</si>
  <si>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</si>
  <si>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</si>
  <si>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</si>
  <si>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</si>
  <si>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</si>
  <si>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</si>
  <si>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</si>
  <si>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</si>
  <si>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</si>
  <si>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</si>
  <si>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</si>
  <si>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</si>
  <si>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</si>
  <si>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</si>
  <si>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</si>
  <si>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</si>
  <si>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</si>
  <si>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</si>
  <si>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</si>
  <si>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</si>
  <si>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</si>
  <si>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</si>
  <si>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</si>
  <si>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</si>
  <si>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</si>
  <si>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</si>
  <si>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</si>
  <si>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O1441</t>
  </si>
  <si>
    <t>O1442</t>
  </si>
  <si>
    <t>O1443</t>
  </si>
  <si>
    <t>O1444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</si>
  <si>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</si>
  <si>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</si>
  <si>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</si>
  <si>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</si>
  <si>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</si>
  <si>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</si>
  <si>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</si>
  <si>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</si>
  <si>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</si>
  <si>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</si>
  <si>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</si>
  <si>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</si>
  <si>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</si>
  <si>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</si>
  <si>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</si>
  <si>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</si>
  <si>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</si>
  <si>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</si>
  <si>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</si>
  <si>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</si>
  <si>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</si>
  <si>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</si>
  <si>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</si>
  <si>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</si>
  <si>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</si>
  <si>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</si>
  <si>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</si>
  <si>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</si>
  <si>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</si>
  <si>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</si>
  <si>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</si>
  <si>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</si>
  <si>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</si>
  <si>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</si>
  <si>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</si>
  <si>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</si>
  <si>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</si>
  <si>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</si>
  <si>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</si>
  <si>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</si>
  <si>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</si>
  <si>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</si>
  <si>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</si>
  <si>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</si>
  <si>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</si>
  <si>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</si>
  <si>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</si>
  <si>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</si>
  <si>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</si>
  <si>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</si>
  <si>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</si>
  <si>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</si>
  <si>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</si>
  <si>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</si>
  <si>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O1499</t>
  </si>
  <si>
    <t>26-05-2025</t>
  </si>
  <si>
    <t>20-02-2026</t>
  </si>
  <si>
    <t>06-12-2025</t>
  </si>
  <si>
    <t>16-03-2026</t>
  </si>
  <si>
    <t>22-04-2026</t>
  </si>
  <si>
    <t>17-03-2025</t>
  </si>
  <si>
    <t>09-03-2025</t>
  </si>
  <si>
    <t>01-11-2025</t>
  </si>
  <si>
    <t>21-02-2026</t>
  </si>
  <si>
    <t>07-03-2026</t>
  </si>
  <si>
    <t>10-03-2025</t>
  </si>
  <si>
    <t>15-04-2025</t>
  </si>
  <si>
    <t>04-04-2026</t>
  </si>
  <si>
    <t>01-04-2026</t>
  </si>
  <si>
    <t>10-11-2025</t>
  </si>
  <si>
    <t>11-11-2025</t>
  </si>
  <si>
    <t>15-02-2025</t>
  </si>
  <si>
    <t>08-06-2025</t>
  </si>
  <si>
    <t>11-07-2025</t>
  </si>
  <si>
    <t>12-05-2025</t>
  </si>
  <si>
    <t>08-02-2026</t>
  </si>
  <si>
    <t>01-06-2025</t>
  </si>
  <si>
    <t>21-03-2025</t>
  </si>
  <si>
    <t>13-03-2026</t>
  </si>
  <si>
    <t>02-09-2025</t>
  </si>
  <si>
    <t>21-12-2025</t>
  </si>
  <si>
    <t>28-03-2026</t>
  </si>
  <si>
    <t>11-01-2025</t>
  </si>
  <si>
    <t>14-07-2025</t>
  </si>
  <si>
    <t>17-11-2025</t>
  </si>
  <si>
    <t>04-03-2026</t>
  </si>
  <si>
    <t>01-01-2026</t>
  </si>
  <si>
    <t>20-09-2025</t>
  </si>
  <si>
    <t>04-10-2025</t>
  </si>
  <si>
    <t>16-04-2025</t>
  </si>
  <si>
    <t>10-01-2026</t>
  </si>
  <si>
    <t>24-03-2025</t>
  </si>
  <si>
    <t>17-02-2025</t>
  </si>
  <si>
    <t>11-10-2025</t>
  </si>
  <si>
    <t>05-02-2026</t>
  </si>
  <si>
    <t>11-02-2025</t>
  </si>
  <si>
    <t>05-11-2025</t>
  </si>
  <si>
    <t>08-11-2025</t>
  </si>
  <si>
    <t>22-05-2025</t>
  </si>
  <si>
    <t>27-01-2026</t>
  </si>
  <si>
    <t>04-01-2025</t>
  </si>
  <si>
    <t>07-10-2025</t>
  </si>
  <si>
    <t>15-06-2025</t>
  </si>
  <si>
    <t>20-02-2025</t>
  </si>
  <si>
    <t>19-04-2026</t>
  </si>
  <si>
    <t>14-11-2025</t>
  </si>
  <si>
    <t>08-03-2025</t>
  </si>
  <si>
    <t>23-11-2025</t>
  </si>
  <si>
    <t>16-03-2025</t>
  </si>
  <si>
    <t>07-04-2026</t>
  </si>
  <si>
    <t>12-03-2026</t>
  </si>
  <si>
    <t>18-01-2026</t>
  </si>
  <si>
    <t>08-04-2026</t>
  </si>
  <si>
    <t>06-10-2025</t>
  </si>
  <si>
    <t>13-11-2025</t>
  </si>
  <si>
    <t>10-07-2025</t>
  </si>
  <si>
    <t>13-04-2026</t>
  </si>
  <si>
    <t>05-08-2025</t>
  </si>
  <si>
    <t>17-04-2026</t>
  </si>
  <si>
    <t>06-01-2025</t>
  </si>
  <si>
    <t>02-03-2025</t>
  </si>
  <si>
    <t>13-01-2026</t>
  </si>
  <si>
    <t>23-02-2026</t>
  </si>
  <si>
    <t>05-03-2026</t>
  </si>
  <si>
    <t>13-12-2025</t>
  </si>
  <si>
    <t>23-04-2026</t>
  </si>
  <si>
    <t>21-11-2025</t>
  </si>
  <si>
    <t>18-01-2025</t>
  </si>
  <si>
    <t>24-06-2025</t>
  </si>
  <si>
    <t>23-10-2025</t>
  </si>
  <si>
    <t>16-02-2025</t>
  </si>
  <si>
    <t>20-03-2025</t>
  </si>
  <si>
    <t>11-02-2026</t>
  </si>
  <si>
    <t>19-03-2026</t>
  </si>
  <si>
    <t>20-01-2025</t>
  </si>
  <si>
    <t>06-04-2025</t>
  </si>
  <si>
    <t>24-01-2026</t>
  </si>
  <si>
    <t>14-03-2025</t>
  </si>
  <si>
    <t>08-01-2026</t>
  </si>
  <si>
    <t>26-03-2026</t>
  </si>
  <si>
    <t>25-10-2025</t>
  </si>
  <si>
    <t>24-11-2025</t>
  </si>
  <si>
    <t>21-05-2025</t>
  </si>
  <si>
    <t>09-01-2025</t>
  </si>
  <si>
    <t>10-01-2025</t>
  </si>
  <si>
    <t>19-12-2025</t>
  </si>
  <si>
    <t>14-01-2025</t>
  </si>
  <si>
    <t>21-03-2026</t>
  </si>
  <si>
    <t>02-03-2026</t>
  </si>
  <si>
    <t>28-02-2026</t>
  </si>
  <si>
    <t>08-05-2025</t>
  </si>
  <si>
    <t>21-06-2025</t>
  </si>
  <si>
    <t>12-04-2026</t>
  </si>
  <si>
    <t>17-08-2025</t>
  </si>
  <si>
    <t>27-03-2025</t>
  </si>
  <si>
    <t>12-09-2025</t>
  </si>
  <si>
    <t>16-01-2026</t>
  </si>
  <si>
    <t>01-12-2025</t>
  </si>
  <si>
    <t>07-01-2026</t>
  </si>
  <si>
    <t>28-08-2025</t>
  </si>
  <si>
    <t>06-05-2025</t>
  </si>
  <si>
    <t>09-12-2025</t>
  </si>
  <si>
    <t>01-10-2025</t>
  </si>
  <si>
    <t>28-04-2026</t>
  </si>
  <si>
    <t>10-04-2025</t>
  </si>
  <si>
    <t>14-04-2025</t>
  </si>
  <si>
    <t>17-10-2025</t>
  </si>
  <si>
    <t>12-02-2026</t>
  </si>
  <si>
    <t>07-01-2025</t>
  </si>
  <si>
    <t>19-11-2025</t>
  </si>
  <si>
    <t>23-01-2026</t>
  </si>
  <si>
    <t>11-03-2025</t>
  </si>
  <si>
    <t>01-02-2026</t>
  </si>
  <si>
    <t>19-01-2026</t>
  </si>
  <si>
    <t>25-03-2025</t>
  </si>
  <si>
    <t>18-08-2025</t>
  </si>
  <si>
    <t>15-03-2025</t>
  </si>
  <si>
    <t>18-06-2025</t>
  </si>
  <si>
    <t>14-01-2026</t>
  </si>
  <si>
    <t>24-12-2025</t>
  </si>
  <si>
    <t>26-12-2025</t>
  </si>
  <si>
    <t>06-04-2026</t>
  </si>
  <si>
    <t>27-02-2025</t>
  </si>
  <si>
    <t>25-07-2025</t>
  </si>
  <si>
    <t>22-01-2026</t>
  </si>
  <si>
    <t>18-04-2026</t>
  </si>
  <si>
    <t>07-08-2025</t>
  </si>
  <si>
    <t>23-07-2025</t>
  </si>
  <si>
    <t>25-04-2026</t>
  </si>
  <si>
    <t>12-01-2026</t>
  </si>
  <si>
    <t>05-07-2025</t>
  </si>
  <si>
    <t>27-07-2025</t>
  </si>
  <si>
    <t>09-07-2025</t>
  </si>
  <si>
    <t>10-08-2025</t>
  </si>
  <si>
    <t>16-09-2025</t>
  </si>
  <si>
    <t>28-06-2025</t>
  </si>
  <si>
    <t>20-05-2025</t>
  </si>
  <si>
    <t>14-10-2025</t>
  </si>
  <si>
    <t>18-03-2025</t>
  </si>
  <si>
    <t>18-11-2025</t>
  </si>
  <si>
    <t>22-02-2026</t>
  </si>
  <si>
    <t>23-09-2025</t>
  </si>
  <si>
    <t>14-12-2025</t>
  </si>
  <si>
    <t>14-05-2025</t>
  </si>
  <si>
    <t>27-11-2025</t>
  </si>
  <si>
    <t>02-04-2026</t>
  </si>
  <si>
    <t>21-01-2026</t>
  </si>
  <si>
    <t>04-04-2025</t>
  </si>
  <si>
    <t>21-10-2025</t>
  </si>
  <si>
    <t>16-11-2025</t>
  </si>
  <si>
    <t>22-04-2025</t>
  </si>
  <si>
    <t>14-02-2025</t>
  </si>
  <si>
    <t>01-08-2025</t>
  </si>
  <si>
    <t>25-04-2025</t>
  </si>
  <si>
    <t>03-10-2025</t>
  </si>
  <si>
    <t>27-01-2025</t>
  </si>
  <si>
    <t>08-12-2025</t>
  </si>
  <si>
    <t>23-03-2026</t>
  </si>
  <si>
    <t>22-11-2025</t>
  </si>
  <si>
    <t>11-12-2025</t>
  </si>
  <si>
    <t>03-08-2025</t>
  </si>
  <si>
    <t>05-10-2025</t>
  </si>
  <si>
    <t>22-08-2025</t>
  </si>
  <si>
    <t>18-04-2025</t>
  </si>
  <si>
    <t>28-01-2026</t>
  </si>
  <si>
    <t>25-02-2025</t>
  </si>
  <si>
    <t>18-10-2025</t>
  </si>
  <si>
    <t>05-01-2026</t>
  </si>
  <si>
    <t>12-01-2025</t>
  </si>
  <si>
    <t>17-05-2025</t>
  </si>
  <si>
    <t>07-11-2025</t>
  </si>
  <si>
    <t>03-06-2025</t>
  </si>
  <si>
    <t>01-02-2025</t>
  </si>
  <si>
    <t>09-01-2026</t>
  </si>
  <si>
    <t>10-03-2026</t>
  </si>
  <si>
    <t>21-09-2025</t>
  </si>
  <si>
    <t>22-12-2025</t>
  </si>
  <si>
    <t>26-11-2025</t>
  </si>
  <si>
    <t>01-03-2026</t>
  </si>
  <si>
    <t>06-01-2026</t>
  </si>
  <si>
    <t>10-10-2025</t>
  </si>
  <si>
    <t>22-03-2025</t>
  </si>
  <si>
    <t>02-01-2026</t>
  </si>
  <si>
    <t>22-09-2025</t>
  </si>
  <si>
    <t>25-11-2025</t>
  </si>
  <si>
    <t>09-11-2025</t>
  </si>
  <si>
    <t>28-02-2025</t>
  </si>
  <si>
    <t>04-12-2025</t>
  </si>
  <si>
    <t>01-03-2025</t>
  </si>
  <si>
    <t>20-03-2026</t>
  </si>
  <si>
    <t>27-04-2025</t>
  </si>
  <si>
    <t>15-02-2026</t>
  </si>
  <si>
    <t>26-04-2025</t>
  </si>
  <si>
    <t>22-06-2025</t>
  </si>
  <si>
    <t>06-11-2025</t>
  </si>
  <si>
    <t>04-06-2025</t>
  </si>
  <si>
    <t>26-10-2025</t>
  </si>
  <si>
    <t>09-08-2025</t>
  </si>
  <si>
    <t>06-08-2025</t>
  </si>
  <si>
    <t>09-10-2025</t>
  </si>
  <si>
    <t>09-05-2025</t>
  </si>
  <si>
    <t>15-01-2026</t>
  </si>
  <si>
    <t>19-04-2025</t>
  </si>
  <si>
    <t>28-11-2025</t>
  </si>
  <si>
    <t>26-04-2026</t>
  </si>
  <si>
    <t>09-09-2025</t>
  </si>
  <si>
    <t>18-02-2026</t>
  </si>
  <si>
    <t>23-01-2025</t>
  </si>
  <si>
    <t>13-02-2025</t>
  </si>
  <si>
    <t>20-10-2025</t>
  </si>
  <si>
    <t>19-10-2025</t>
  </si>
  <si>
    <t>04-02-2026</t>
  </si>
  <si>
    <t>21-04-2026</t>
  </si>
  <si>
    <t>11-04-2026</t>
  </si>
  <si>
    <t>24-02-2025</t>
  </si>
  <si>
    <t>12-02-2025</t>
  </si>
  <si>
    <t>07-12-2025</t>
  </si>
  <si>
    <t>27-02-2026</t>
  </si>
  <si>
    <t>18-07-2025</t>
  </si>
  <si>
    <t>24-04-2026</t>
  </si>
  <si>
    <t>03-03-2026</t>
  </si>
  <si>
    <t>22-03-2026</t>
  </si>
  <si>
    <t>27-05-2025</t>
  </si>
  <si>
    <t>07-09-2025</t>
  </si>
  <si>
    <t>22-10-2025</t>
  </si>
  <si>
    <t>08-10-2025</t>
  </si>
  <si>
    <t>05-04-2026</t>
  </si>
  <si>
    <t>01-09-2025</t>
  </si>
  <si>
    <t>22-02-2025</t>
  </si>
  <si>
    <t>25-01-2026</t>
  </si>
  <si>
    <t>11-03-2026</t>
  </si>
  <si>
    <t>18-09-2025</t>
  </si>
  <si>
    <t>14-04-2026</t>
  </si>
  <si>
    <t>23-04-2025</t>
  </si>
  <si>
    <t>27-04-2026</t>
  </si>
  <si>
    <t>10-12-2025</t>
  </si>
  <si>
    <t>18-05-2025</t>
  </si>
  <si>
    <t>17-02-2026</t>
  </si>
  <si>
    <t>03-01-2025</t>
  </si>
  <si>
    <t>03-05-2025</t>
  </si>
  <si>
    <t>27-10-2025</t>
  </si>
  <si>
    <t>19-03-2025</t>
  </si>
  <si>
    <t>05-04-2025</t>
  </si>
  <si>
    <t>14-02-2026</t>
  </si>
  <si>
    <t>28-07-2025</t>
  </si>
  <si>
    <t>24-03-2026</t>
  </si>
  <si>
    <t>02-04-2025</t>
  </si>
  <si>
    <t>25-12-2025</t>
  </si>
  <si>
    <t>07-07-2025</t>
  </si>
  <si>
    <t>04-09-2025</t>
  </si>
  <si>
    <t>02-12-2025</t>
  </si>
  <si>
    <t>20-07-2025</t>
  </si>
  <si>
    <t>25-02-2026</t>
  </si>
  <si>
    <t>19-02-2025</t>
  </si>
  <si>
    <t>26-01-2026</t>
  </si>
  <si>
    <t>12-07-2025</t>
  </si>
  <si>
    <t>16-10-2025</t>
  </si>
  <si>
    <t>20-12-2025</t>
  </si>
  <si>
    <t>10-02-2025</t>
  </si>
  <si>
    <t>13-04-2025</t>
  </si>
  <si>
    <t>11-08-2025</t>
  </si>
  <si>
    <t>19-02-2026</t>
  </si>
  <si>
    <t>25-05-2025</t>
  </si>
  <si>
    <t>09-06-2025</t>
  </si>
  <si>
    <t>15-08-2025</t>
  </si>
  <si>
    <t>04-05-2025</t>
  </si>
  <si>
    <t>19-07-2025</t>
  </si>
  <si>
    <t>03-02-2025</t>
  </si>
  <si>
    <t>06-03-2026</t>
  </si>
  <si>
    <t>24-02-2026</t>
  </si>
  <si>
    <t>09-03-2026</t>
  </si>
  <si>
    <t>08-02-2025</t>
  </si>
  <si>
    <t>15-03-2026</t>
  </si>
  <si>
    <t>02-10-2025</t>
  </si>
  <si>
    <t>05-09-2025</t>
  </si>
  <si>
    <t>24-10-2025</t>
  </si>
  <si>
    <t>13-10-2025</t>
  </si>
  <si>
    <t>26-02-2025</t>
  </si>
  <si>
    <t>16-08-2025</t>
  </si>
  <si>
    <t>16-07-2025</t>
  </si>
  <si>
    <t>03-02-2026</t>
  </si>
  <si>
    <t>26-01-2025</t>
  </si>
  <si>
    <t>11-01-2026</t>
  </si>
  <si>
    <t>06-02-2026</t>
  </si>
  <si>
    <t>17-06-2025</t>
  </si>
  <si>
    <t>28-12-2025</t>
  </si>
  <si>
    <t>02-06-2025</t>
  </si>
  <si>
    <t>16-05-2025</t>
  </si>
  <si>
    <t>02-07-2025</t>
  </si>
  <si>
    <t>16-02-2026</t>
  </si>
  <si>
    <t>18-12-2025</t>
  </si>
  <si>
    <t>02-02-2026</t>
  </si>
  <si>
    <t>06-02-2025</t>
  </si>
  <si>
    <t>17-03-2026</t>
  </si>
  <si>
    <t>10-02-2026</t>
  </si>
  <si>
    <t>10-09-2025</t>
  </si>
  <si>
    <t>10-06-2025</t>
  </si>
  <si>
    <t>10-04-2026</t>
  </si>
  <si>
    <t>27-12-2025</t>
  </si>
  <si>
    <t>26-02-2026</t>
  </si>
  <si>
    <t>17-07-2025</t>
  </si>
  <si>
    <t>02-01-2025</t>
  </si>
  <si>
    <t>14-06-2025</t>
  </si>
  <si>
    <t>10-05-2025</t>
  </si>
  <si>
    <t>01-05-2025</t>
  </si>
  <si>
    <t>28-10-2025</t>
  </si>
  <si>
    <t>15-11-2025</t>
  </si>
  <si>
    <t>25-01-2025</t>
  </si>
  <si>
    <t>03-12-2025</t>
  </si>
  <si>
    <t>25-08-2025</t>
  </si>
  <si>
    <t>23-05-2025</t>
  </si>
  <si>
    <t>12-11-2025</t>
  </si>
  <si>
    <t>02-11-2025</t>
  </si>
  <si>
    <t>08-08-2025</t>
  </si>
  <si>
    <t>08-01-2025</t>
  </si>
  <si>
    <t>06-03-2025</t>
  </si>
  <si>
    <t>03-09-2025</t>
  </si>
  <si>
    <t>28-04-2025</t>
  </si>
  <si>
    <t>17-09-2025</t>
  </si>
  <si>
    <t>16-04-2026</t>
  </si>
  <si>
    <t>19-01-2025</t>
  </si>
  <si>
    <t>02-05-2025</t>
  </si>
  <si>
    <t>03-11-2025</t>
  </si>
  <si>
    <t>15-09-2025</t>
  </si>
  <si>
    <t>20-01-2026</t>
  </si>
  <si>
    <t>16-12-2025</t>
  </si>
  <si>
    <t>19-09-2025</t>
  </si>
  <si>
    <t>09-04-2026</t>
  </si>
  <si>
    <t>06-07-2025</t>
  </si>
  <si>
    <t>07-02-2026</t>
  </si>
  <si>
    <t>07-06-2025</t>
  </si>
  <si>
    <t>21-02-2025</t>
  </si>
  <si>
    <t>05-06-2025</t>
  </si>
  <si>
    <t>24-01-2025</t>
  </si>
  <si>
    <t>20-04-2025</t>
  </si>
  <si>
    <t>28-03-2025</t>
  </si>
  <si>
    <t>27-09-2025</t>
  </si>
  <si>
    <t>13-02-2026</t>
  </si>
  <si>
    <t>14-03-2026</t>
  </si>
  <si>
    <t>18-02-2025</t>
  </si>
  <si>
    <t>13-01-2025</t>
  </si>
  <si>
    <t>07-03-2025</t>
  </si>
  <si>
    <t>17-01-2026</t>
  </si>
  <si>
    <t>24-09-2025</t>
  </si>
  <si>
    <t>06-09-2025</t>
  </si>
  <si>
    <t>28-01-2025</t>
  </si>
  <si>
    <t>03-01-2026</t>
  </si>
  <si>
    <t>09-02-2026</t>
  </si>
  <si>
    <t>25-09-2025</t>
  </si>
  <si>
    <t>23-08-2025</t>
  </si>
  <si>
    <t>27-03-2026</t>
  </si>
  <si>
    <t>14-08-2025</t>
  </si>
  <si>
    <t>04-03-2025</t>
  </si>
  <si>
    <t>11-09-2025</t>
  </si>
  <si>
    <t>24-04-2025</t>
  </si>
  <si>
    <t>26-07-2025</t>
  </si>
  <si>
    <t>17-04-2025</t>
  </si>
  <si>
    <t>15-07-2025</t>
  </si>
  <si>
    <t>08-03-2026</t>
  </si>
  <si>
    <t>26-09-2025</t>
  </si>
  <si>
    <t>15-12-2025</t>
  </si>
  <si>
    <t>15-04-2026</t>
  </si>
  <si>
    <t>16-06-2025</t>
  </si>
  <si>
    <t>27-08-2025</t>
  </si>
  <si>
    <t>05-01-2025</t>
  </si>
  <si>
    <t>13-09-2025</t>
  </si>
  <si>
    <t>05-02-2025</t>
  </si>
  <si>
    <t>01-07-2025</t>
  </si>
  <si>
    <t>21-04-2025</t>
  </si>
  <si>
    <t>18-03-2026</t>
  </si>
  <si>
    <t>28-09-2025</t>
  </si>
  <si>
    <t>07-04-2025</t>
  </si>
  <si>
    <t>13-07-2025</t>
  </si>
  <si>
    <t>16-01-2025</t>
  </si>
  <si>
    <t>06-06-2025</t>
  </si>
  <si>
    <t>04-02-2025</t>
  </si>
  <si>
    <t>17-12-2025</t>
  </si>
  <si>
    <t>26-06-2025</t>
  </si>
  <si>
    <t>09-02-2025</t>
  </si>
  <si>
    <t>12-08-2025</t>
  </si>
  <si>
    <t>25-03-2026</t>
  </si>
  <si>
    <t>12-12-2025</t>
  </si>
  <si>
    <t>17-01-2025</t>
  </si>
  <si>
    <t>08-04-2025</t>
  </si>
  <si>
    <t>15-05-2025</t>
  </si>
  <si>
    <t>03-04-2025</t>
  </si>
  <si>
    <t>28-05-2025</t>
  </si>
  <si>
    <t>15-01-2025</t>
  </si>
  <si>
    <t>02-08-2025</t>
  </si>
  <si>
    <t>04-07-2025</t>
  </si>
  <si>
    <t>11-04-2025</t>
  </si>
  <si>
    <t>13-03-2025</t>
  </si>
  <si>
    <t>12-10-2025</t>
  </si>
  <si>
    <t>25-06-2025</t>
  </si>
  <si>
    <t>05-03-2025</t>
  </si>
  <si>
    <t>19-08-2025</t>
  </si>
  <si>
    <t>08-09-2025</t>
  </si>
  <si>
    <t>05-12-2025</t>
  </si>
  <si>
    <t>23-02-2025</t>
  </si>
  <si>
    <t>27-06-2025</t>
  </si>
  <si>
    <t>03-07-2025</t>
  </si>
  <si>
    <t>12-06-2025</t>
  </si>
  <si>
    <t>26-03-2025</t>
  </si>
  <si>
    <t>24-07-2025</t>
  </si>
  <si>
    <t>20-11-2025</t>
  </si>
  <si>
    <t>04-11-2025</t>
  </si>
  <si>
    <t>20-08-2025</t>
  </si>
  <si>
    <t>13-05-2025</t>
  </si>
  <si>
    <t>23-12-2025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</si>
  <si>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</si>
  <si>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</si>
  <si>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</si>
  <si>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</si>
  <si>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</si>
  <si>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</si>
  <si>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</si>
  <si>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</si>
  <si>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</si>
  <si>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</si>
  <si>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</si>
  <si>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</si>
  <si>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</si>
  <si>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</si>
  <si>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21-01-2025</t>
  </si>
  <si>
    <t>C00815</t>
  </si>
  <si>
    <t>20-06-2025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</si>
  <si>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</si>
  <si>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</si>
  <si>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</si>
  <si>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</si>
  <si>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</si>
  <si>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</si>
  <si>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</si>
  <si>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</si>
  <si>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</si>
  <si>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</si>
  <si>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</si>
  <si>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</si>
  <si>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</si>
  <si>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</si>
  <si>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</si>
  <si>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</si>
  <si>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03-04-2026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</si>
  <si>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</si>
  <si>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</si>
  <si>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</si>
  <si>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</si>
  <si>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</si>
  <si>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</si>
  <si>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</si>
  <si>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</si>
  <si>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</si>
  <si>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</si>
  <si>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</si>
  <si>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</si>
  <si>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</si>
  <si>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</si>
  <si>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</si>
  <si>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23-03-2025</t>
  </si>
  <si>
    <t>C00847</t>
  </si>
  <si>
    <t>C00848</t>
  </si>
  <si>
    <t>11-05-2025</t>
  </si>
  <si>
    <t>C00849</t>
  </si>
  <si>
    <t>C00850</t>
  </si>
  <si>
    <t>C00851</t>
  </si>
  <si>
    <t>C00852</t>
  </si>
  <si>
    <t>C00853</t>
  </si>
  <si>
    <t>21-07-2025</t>
  </si>
  <si>
    <t>C00854</t>
  </si>
  <si>
    <t>C00855</t>
  </si>
  <si>
    <t>C00856</t>
  </si>
  <si>
    <t>C00857</t>
  </si>
  <si>
    <t>11-06-2025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</si>
  <si>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</si>
  <si>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</si>
  <si>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</si>
  <si>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</si>
  <si>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</si>
  <si>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</si>
  <si>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</si>
  <si>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</si>
  <si>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</si>
  <si>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</si>
  <si>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</si>
  <si>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</si>
  <si>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</si>
  <si>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</si>
  <si>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</si>
  <si>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</si>
  <si>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</si>
  <si>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</si>
  <si>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</si>
  <si>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</si>
  <si>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</si>
  <si>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</si>
  <si>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</si>
  <si>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</si>
  <si>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</si>
  <si>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</si>
  <si>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</si>
  <si>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</si>
  <si>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</si>
  <si>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</si>
  <si>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</si>
  <si>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</si>
  <si>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</si>
  <si>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</si>
  <si>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</si>
  <si>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</si>
  <si>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</si>
  <si>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</si>
  <si>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</si>
  <si>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</si>
  <si>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</si>
  <si>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</si>
  <si>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</si>
  <si>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</si>
  <si>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</si>
  <si>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</si>
  <si>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</si>
  <si>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04-01-2026</t>
  </si>
  <si>
    <t>C00905</t>
  </si>
  <si>
    <t>C00906</t>
  </si>
  <si>
    <t>02-02-2025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</si>
  <si>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</si>
  <si>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</si>
  <si>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</si>
  <si>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</si>
  <si>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</si>
  <si>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</si>
  <si>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</si>
  <si>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</si>
  <si>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</si>
  <si>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07-05-2025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</si>
  <si>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</si>
  <si>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</si>
  <si>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</si>
  <si>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</si>
  <si>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</si>
  <si>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</si>
  <si>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</si>
  <si>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</si>
  <si>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</si>
  <si>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</si>
  <si>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</si>
  <si>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</si>
  <si>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</si>
  <si>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</si>
  <si>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</si>
  <si>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</si>
  <si>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</si>
  <si>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</si>
  <si>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15-10-2025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</si>
  <si>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</si>
  <si>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</si>
  <si>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</si>
  <si>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</si>
  <si>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</si>
  <si>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</si>
  <si>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</si>
  <si>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</si>
  <si>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</si>
  <si>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</si>
  <si>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</si>
  <si>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</si>
  <si>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</si>
  <si>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</si>
  <si>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</si>
  <si>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</si>
  <si>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</si>
  <si>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</si>
  <si>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</si>
  <si>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</si>
  <si>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</si>
  <si>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</si>
  <si>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</si>
  <si>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</si>
  <si>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</si>
  <si>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</si>
  <si>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</si>
  <si>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</si>
  <si>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</si>
  <si>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</si>
  <si>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</si>
  <si>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</si>
  <si>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</si>
  <si>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</si>
  <si>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</si>
  <si>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</si>
  <si>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</si>
  <si>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</si>
  <si>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</si>
  <si>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</si>
  <si>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</si>
  <si>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</si>
  <si>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</si>
  <si>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</si>
  <si>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</si>
  <si>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</si>
  <si>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</si>
  <si>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19-05-2025</t>
  </si>
  <si>
    <t>C00981</t>
  </si>
  <si>
    <t>24-05-2025</t>
  </si>
  <si>
    <t>C00982</t>
  </si>
  <si>
    <t>C00983</t>
  </si>
  <si>
    <t>C00984</t>
  </si>
  <si>
    <t>20-04-2026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</si>
  <si>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</si>
  <si>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</si>
  <si>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</si>
  <si>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</si>
  <si>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</si>
  <si>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</si>
  <si>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</si>
  <si>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</si>
  <si>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</si>
  <si>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</si>
  <si>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</si>
  <si>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</si>
  <si>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</si>
  <si>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</si>
  <si>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</si>
  <si>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</si>
  <si>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</si>
  <si>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</si>
  <si>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</si>
  <si>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</si>
  <si>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</si>
  <si>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</si>
  <si>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</si>
  <si>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</si>
  <si>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</si>
  <si>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</si>
  <si>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</si>
  <si>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</si>
  <si>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</si>
  <si>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</si>
  <si>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</si>
  <si>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</si>
  <si>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</si>
  <si>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</si>
  <si>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</si>
  <si>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</si>
  <si>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</si>
  <si>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</si>
  <si>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</si>
  <si>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</si>
  <si>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</si>
  <si>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</si>
  <si>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</si>
  <si>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</si>
  <si>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</si>
  <si>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</si>
  <si>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</si>
  <si>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</si>
  <si>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</si>
  <si>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</si>
  <si>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</si>
  <si>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</si>
  <si>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</si>
  <si>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</si>
  <si>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</si>
  <si>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</si>
  <si>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</si>
  <si>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</si>
  <si>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</si>
  <si>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</si>
  <si>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</si>
  <si>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</si>
  <si>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</si>
  <si>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</si>
  <si>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</si>
  <si>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</si>
  <si>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</si>
  <si>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</si>
  <si>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03-03-2025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</si>
  <si>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</si>
  <si>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</si>
  <si>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</si>
  <si>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</si>
  <si>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</si>
  <si>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</si>
  <si>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</si>
  <si>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</si>
  <si>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</si>
  <si>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</si>
  <si>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</si>
  <si>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</si>
  <si>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</si>
  <si>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</si>
  <si>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</si>
  <si>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</si>
  <si>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</si>
  <si>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</si>
  <si>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</si>
  <si>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</si>
  <si>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</si>
  <si>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</si>
  <si>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</si>
  <si>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</si>
  <si>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</si>
  <si>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19-06-2025</t>
  </si>
  <si>
    <t>C01078</t>
  </si>
  <si>
    <t>C01079</t>
  </si>
  <si>
    <t>C01080</t>
  </si>
  <si>
    <t>C01081</t>
  </si>
  <si>
    <t>C01082</t>
  </si>
  <si>
    <t>C01083</t>
  </si>
  <si>
    <t>C01084</t>
  </si>
  <si>
    <t>04-08-2025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</si>
  <si>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</si>
  <si>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</si>
  <si>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</si>
  <si>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</si>
  <si>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</si>
  <si>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</si>
  <si>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</si>
  <si>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</si>
  <si>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</si>
  <si>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</si>
  <si>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</si>
  <si>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</si>
  <si>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</si>
  <si>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</si>
  <si>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</si>
  <si>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</si>
  <si>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</si>
  <si>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</si>
  <si>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</si>
  <si>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</si>
  <si>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</si>
  <si>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</si>
  <si>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</si>
  <si>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</si>
  <si>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</si>
  <si>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</si>
  <si>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</si>
  <si>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01-01-2025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</si>
  <si>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</si>
  <si>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</si>
  <si>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</si>
  <si>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</si>
  <si>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</si>
  <si>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</si>
  <si>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</si>
  <si>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</si>
  <si>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</si>
  <si>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</si>
  <si>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</si>
  <si>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</si>
  <si>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</si>
  <si>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</si>
  <si>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</si>
  <si>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22-07-2025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</si>
  <si>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</si>
  <si>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</si>
  <si>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</si>
  <si>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</si>
  <si>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</si>
  <si>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</si>
  <si>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</si>
  <si>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</si>
  <si>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26-08-2025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</si>
  <si>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</si>
  <si>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</si>
  <si>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</si>
  <si>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</si>
  <si>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</si>
  <si>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</si>
  <si>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</si>
  <si>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</si>
  <si>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</si>
  <si>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</si>
  <si>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</si>
  <si>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</si>
  <si>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</si>
  <si>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</si>
  <si>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</si>
  <si>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</si>
  <si>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</si>
  <si>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</si>
  <si>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</si>
  <si>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</si>
  <si>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</si>
  <si>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</si>
  <si>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</si>
  <si>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14-09-2025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</si>
  <si>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</si>
  <si>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</si>
  <si>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</si>
  <si>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</si>
  <si>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</si>
  <si>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</si>
  <si>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</si>
  <si>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</si>
  <si>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13-08-2025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</si>
  <si>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</si>
  <si>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</si>
  <si>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</si>
  <si>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</si>
  <si>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</si>
  <si>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</si>
  <si>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</si>
  <si>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</si>
  <si>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</si>
  <si>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</si>
  <si>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</si>
  <si>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</si>
  <si>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</si>
  <si>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</si>
  <si>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</si>
  <si>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</si>
  <si>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</si>
  <si>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</si>
  <si>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</si>
  <si>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</si>
  <si>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</si>
  <si>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</si>
  <si>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</si>
  <si>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</si>
  <si>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</si>
  <si>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</si>
  <si>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</si>
  <si>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</si>
  <si>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</si>
  <si>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</si>
  <si>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</si>
  <si>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</si>
  <si>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</si>
  <si>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</si>
  <si>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</si>
  <si>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</si>
  <si>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</si>
  <si>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</si>
  <si>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</si>
  <si>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</si>
  <si>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</si>
  <si>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</si>
  <si>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</si>
  <si>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</si>
  <si>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</si>
  <si>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</si>
  <si>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</si>
  <si>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</si>
  <si>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22-01-2025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</si>
  <si>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</si>
  <si>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</si>
  <si>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</si>
  <si>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</si>
  <si>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</si>
  <si>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</si>
  <si>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</si>
  <si>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</si>
  <si>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</si>
  <si>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</si>
  <si>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</si>
  <si>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</si>
  <si>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</si>
  <si>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</si>
  <si>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</si>
  <si>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</si>
  <si>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</si>
  <si>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</si>
  <si>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</si>
  <si>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</si>
  <si>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</si>
  <si>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</si>
  <si>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</si>
  <si>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</si>
  <si>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</si>
  <si>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</si>
  <si>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</si>
  <si>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</si>
  <si>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</si>
  <si>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</si>
  <si>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</si>
  <si>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01-04-2025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</si>
  <si>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</si>
  <si>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</si>
  <si>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</si>
  <si>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</si>
  <si>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</si>
  <si>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</si>
  <si>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</si>
  <si>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</si>
  <si>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</si>
  <si>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</si>
  <si>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</si>
  <si>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</si>
  <si>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</si>
  <si>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</si>
  <si>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</si>
  <si>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</si>
  <si>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</si>
  <si>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</si>
  <si>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</si>
  <si>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</si>
  <si>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</si>
  <si>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23-06-2025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</si>
  <si>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</si>
  <si>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</si>
  <si>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</si>
  <si>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</si>
  <si>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</si>
  <si>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</si>
  <si>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</si>
  <si>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</si>
  <si>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</si>
  <si>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</si>
  <si>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</si>
  <si>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</si>
  <si>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</si>
  <si>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</si>
  <si>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</si>
  <si>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</si>
  <si>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</si>
  <si>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</si>
  <si>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</si>
  <si>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</si>
  <si>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</si>
  <si>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</si>
  <si>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</si>
  <si>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</si>
  <si>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</si>
  <si>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</si>
  <si>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</si>
  <si>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</si>
  <si>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</si>
  <si>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</si>
  <si>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</si>
  <si>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</si>
  <si>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</si>
  <si>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</si>
  <si>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</si>
  <si>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</si>
  <si>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</si>
  <si>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</si>
  <si>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</si>
  <si>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</si>
  <si>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</si>
  <si>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</si>
  <si>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</si>
  <si>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</si>
  <si>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</si>
  <si>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</si>
  <si>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</si>
  <si>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</si>
  <si>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</si>
  <si>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</si>
  <si>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</si>
  <si>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</si>
  <si>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</si>
  <si>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</si>
  <si>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</si>
  <si>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</si>
  <si>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</si>
  <si>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</si>
  <si>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</si>
  <si>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</si>
  <si>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</si>
  <si>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</si>
  <si>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</si>
  <si>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</si>
  <si>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</si>
  <si>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</si>
  <si>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</si>
  <si>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</si>
  <si>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</si>
  <si>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</si>
  <si>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</si>
  <si>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</si>
  <si>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</si>
  <si>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</si>
  <si>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</si>
  <si>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</si>
  <si>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</si>
  <si>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</si>
  <si>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</si>
  <si>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</si>
  <si>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</si>
  <si>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</si>
  <si>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</si>
  <si>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</si>
  <si>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</si>
  <si>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</si>
  <si>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</si>
  <si>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</si>
  <si>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</si>
  <si>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</si>
  <si>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</si>
  <si>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</si>
  <si>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</si>
  <si>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</si>
  <si>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</si>
  <si>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</si>
  <si>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</si>
  <si>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</si>
  <si>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</si>
  <si>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</si>
  <si>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</si>
  <si>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</si>
  <si>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</si>
  <si>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</si>
  <si>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</si>
  <si>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</si>
  <si>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</si>
  <si>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</si>
  <si>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</si>
  <si>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</si>
  <si>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</si>
  <si>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</si>
  <si>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</si>
  <si>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</si>
  <si>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</si>
  <si>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</si>
  <si>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</si>
  <si>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</si>
  <si>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</si>
  <si>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</si>
  <si>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</si>
  <si>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</si>
  <si>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</si>
  <si>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</si>
  <si>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</si>
  <si>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</si>
  <si>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</si>
  <si>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</si>
  <si>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</si>
  <si>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</si>
  <si>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</si>
  <si>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</si>
  <si>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</si>
  <si>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</si>
  <si>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</si>
  <si>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</si>
  <si>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</si>
  <si>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</si>
  <si>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</si>
  <si>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</si>
  <si>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</si>
  <si>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</si>
  <si>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</si>
  <si>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</si>
  <si>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</si>
  <si>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</si>
  <si>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</si>
  <si>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</si>
  <si>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</si>
  <si>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</si>
  <si>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</si>
  <si>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</si>
  <si>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</si>
  <si>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</si>
  <si>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</si>
  <si>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</si>
  <si>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</si>
  <si>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</si>
  <si>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</si>
  <si>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</si>
  <si>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</si>
  <si>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</si>
  <si>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</si>
  <si>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</si>
  <si>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</si>
  <si>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</si>
  <si>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</si>
  <si>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</si>
  <si>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</si>
  <si>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</si>
  <si>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</si>
  <si>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</si>
  <si>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</si>
  <si>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</si>
  <si>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</si>
  <si>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</si>
  <si>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</si>
  <si>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</si>
  <si>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</si>
  <si>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</si>
  <si>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</si>
  <si>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</si>
  <si>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</si>
  <si>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</si>
  <si>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</si>
  <si>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</si>
  <si>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</si>
  <si>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</si>
  <si>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</si>
  <si>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</si>
  <si>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</si>
  <si>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</si>
  <si>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</si>
  <si>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</si>
  <si>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</si>
  <si>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</si>
  <si>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</si>
  <si>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</si>
  <si>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</si>
  <si>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</si>
  <si>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</si>
  <si>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</si>
  <si>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</si>
  <si>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</si>
  <si>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</si>
  <si>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</si>
  <si>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</si>
  <si>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</si>
  <si>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</si>
  <si>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</si>
  <si>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</si>
  <si>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</si>
  <si>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</si>
  <si>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</si>
  <si>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</si>
  <si>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</si>
  <si>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</si>
  <si>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</si>
  <si>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</si>
  <si>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</si>
  <si>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</si>
  <si>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</si>
  <si>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</si>
  <si>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</si>
  <si>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</si>
  <si>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</si>
  <si>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12-03-2025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</si>
  <si>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</si>
  <si>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</si>
  <si>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</si>
  <si>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</si>
  <si>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</si>
  <si>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</si>
  <si>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</si>
  <si>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</si>
  <si>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O1500</t>
  </si>
  <si>
    <t>C01500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</si>
</sst>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0" fillId="0" borderId="0" xfId="0" applyNumberFormat="1"/>
    <xf numFmtId="0" fontId="0" fillId="0" borderId="0" xfId="1" applyNumberFormat="1" applyFont="1" applyAlignment="1">
      <alignment horizontal="center"/>
    </xf>
    <xf numFmtId="0" fontId="2" fillId="2" borderId="0" xfId="1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868400" cy="76676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3868400" cy="76676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172720</xdr:colOff>
      <xdr:row>46</xdr:row>
      <xdr:rowOff>142240</xdr:rowOff>
    </xdr:from>
    <xdr:ext cx="13887450" cy="90392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82320" y="8554720"/>
          <a:ext cx="13887450" cy="90392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25</xdr:col>
      <xdr:colOff>365760</xdr:colOff>
      <xdr:row>0</xdr:row>
      <xdr:rowOff>0</xdr:rowOff>
    </xdr:from>
    <xdr:ext cx="13515975" cy="83534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605760" y="0"/>
          <a:ext cx="13515975" cy="835342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25</xdr:col>
      <xdr:colOff>284480</xdr:colOff>
      <xdr:row>47</xdr:row>
      <xdr:rowOff>137160</xdr:rowOff>
    </xdr:from>
    <xdr:ext cx="14030325" cy="93916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5524480" y="8732520"/>
          <a:ext cx="14030325" cy="93916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00"/>
  <sheetViews>
    <sheetView tabSelected="1" topLeftCell="C1494" workbookViewId="0">
      <selection activeCell="G7" sqref="G7"/>
    </sheetView>
  </sheetViews>
  <sheetFormatPr defaultRowHeight="14.4" x14ac:dyDescent="0.3"/>
  <cols>
    <col min="3" max="3" width="12.5546875" bestFit="1" customWidth="1"/>
    <col min="4" max="4" width="13.5546875" bestFit="1" customWidth="1"/>
    <col min="7" max="7" width="8.6640625" style="5" bestFit="1" customWidth="1"/>
    <col min="8" max="8" width="14.88671875" bestFit="1" customWidth="1"/>
    <col min="9" max="9" width="12.6640625" bestFit="1" customWidth="1"/>
    <col min="10" max="10" width="12" bestFit="1" customWidth="1"/>
    <col min="11" max="11" width="11.88671875" bestFit="1" customWidth="1"/>
    <col min="12" max="12" width="14.6640625" bestFit="1" customWidth="1"/>
    <col min="13" max="13" width="10.33203125" bestFit="1" customWidth="1"/>
    <col min="14" max="14" width="11.33203125" bestFit="1" customWidth="1"/>
    <col min="15" max="15" width="15.109375" bestFit="1" customWidth="1"/>
    <col min="16" max="16" width="9.109375" style="5" bestFit="1" customWidth="1"/>
    <col min="17" max="17" width="14.44140625" bestFit="1" customWidth="1"/>
    <col min="18" max="18" width="15.33203125" style="5" bestFit="1" customWidth="1"/>
    <col min="19" max="19" width="12" style="5" bestFit="1" customWidth="1"/>
    <col min="20" max="20" width="12.6640625" bestFit="1" customWidth="1"/>
    <col min="21" max="21" width="9.88671875" bestFit="1" customWidth="1"/>
    <col min="22" max="22" width="14.33203125" bestFit="1" customWidth="1"/>
    <col min="23" max="23" width="13.109375" bestFit="1" customWidth="1"/>
    <col min="24" max="24" width="11.6640625" bestFit="1" customWidth="1"/>
    <col min="25" max="25" width="19.109375" bestFit="1" customWidth="1"/>
  </cols>
  <sheetData>
    <row r="1" spans="1:2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4" t="s">
        <v>17</v>
      </c>
      <c r="S1" s="4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3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2">
        <v>226.69</v>
      </c>
      <c r="H2" s="1">
        <v>7</v>
      </c>
      <c r="I2" s="1">
        <v>191</v>
      </c>
      <c r="J2" s="1">
        <v>151</v>
      </c>
      <c r="K2" s="1">
        <v>115</v>
      </c>
      <c r="L2" s="1">
        <v>66</v>
      </c>
      <c r="M2" s="1" t="s">
        <v>31</v>
      </c>
      <c r="N2" s="1" t="s">
        <v>32</v>
      </c>
      <c r="O2" s="1" t="s">
        <v>33</v>
      </c>
      <c r="P2" s="2">
        <v>158.68</v>
      </c>
      <c r="Q2" s="1" t="str">
        <f t="shared" ref="Q2:Q65" si="0">IF(J2&gt;K2,"YES","NO")</f>
        <v>YES</v>
      </c>
      <c r="R2" s="2">
        <f t="shared" ref="R2:R65" si="1">IF(Q2="YES",G2*0.9,G2)</f>
        <v>204.02100000000002</v>
      </c>
      <c r="S2" s="2">
        <f>J2*G2</f>
        <v>34230.19</v>
      </c>
      <c r="T2" s="1">
        <f t="shared" ref="T2:T65" ca="1" si="2">TODAY()-DATE(MID(O2,7,4),MID(O2,4,2),LEFT(O2,2))</f>
        <v>141</v>
      </c>
      <c r="U2" s="1" t="s">
        <v>34</v>
      </c>
      <c r="V2" s="1" t="s">
        <v>34</v>
      </c>
      <c r="W2" s="1" t="s">
        <v>34</v>
      </c>
      <c r="X2" s="1" t="s">
        <v>2515</v>
      </c>
      <c r="Y2" s="1">
        <v>6</v>
      </c>
    </row>
    <row r="3" spans="1:25" x14ac:dyDescent="0.3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30</v>
      </c>
      <c r="G3" s="2">
        <v>259.39</v>
      </c>
      <c r="H3" s="1">
        <v>10</v>
      </c>
      <c r="I3" s="1">
        <v>135</v>
      </c>
      <c r="J3" s="1">
        <v>120</v>
      </c>
      <c r="K3" s="1">
        <v>81</v>
      </c>
      <c r="L3" s="1">
        <v>114</v>
      </c>
      <c r="M3" s="1" t="s">
        <v>41</v>
      </c>
      <c r="N3" s="1" t="s">
        <v>42</v>
      </c>
      <c r="O3" s="1" t="s">
        <v>43</v>
      </c>
      <c r="P3" s="2">
        <v>181.57</v>
      </c>
      <c r="Q3" s="1" t="str">
        <f t="shared" si="0"/>
        <v>YES</v>
      </c>
      <c r="R3" s="2">
        <f t="shared" si="1"/>
        <v>233.45099999999999</v>
      </c>
      <c r="S3" s="2">
        <f>J3*G3</f>
        <v>31126.799999999999</v>
      </c>
      <c r="T3" s="1">
        <f t="shared" ca="1" si="2"/>
        <v>117</v>
      </c>
      <c r="U3" s="1" t="s">
        <v>34</v>
      </c>
      <c r="V3" s="1" t="s">
        <v>34</v>
      </c>
      <c r="W3" s="1" t="s">
        <v>34</v>
      </c>
      <c r="X3" s="1" t="s">
        <v>2516</v>
      </c>
      <c r="Y3" s="1">
        <v>6.5</v>
      </c>
    </row>
    <row r="4" spans="1:25" x14ac:dyDescent="0.3">
      <c r="A4" s="1" t="s">
        <v>44</v>
      </c>
      <c r="B4" s="1" t="s">
        <v>45</v>
      </c>
      <c r="C4" s="1" t="s">
        <v>46</v>
      </c>
      <c r="D4" s="1" t="s">
        <v>47</v>
      </c>
      <c r="E4" s="1" t="s">
        <v>29</v>
      </c>
      <c r="F4" s="1" t="s">
        <v>48</v>
      </c>
      <c r="G4" s="2">
        <v>176.81</v>
      </c>
      <c r="H4" s="1">
        <v>16</v>
      </c>
      <c r="I4" s="1">
        <v>113</v>
      </c>
      <c r="J4" s="1">
        <v>100</v>
      </c>
      <c r="K4" s="1">
        <v>107</v>
      </c>
      <c r="L4" s="1">
        <v>92</v>
      </c>
      <c r="M4" s="1" t="s">
        <v>49</v>
      </c>
      <c r="N4" s="1" t="s">
        <v>42</v>
      </c>
      <c r="O4" s="1" t="s">
        <v>50</v>
      </c>
      <c r="P4" s="2">
        <v>123.77</v>
      </c>
      <c r="Q4" s="1" t="str">
        <f t="shared" si="0"/>
        <v>NO</v>
      </c>
      <c r="R4" s="2">
        <f t="shared" si="1"/>
        <v>176.81</v>
      </c>
      <c r="S4" s="2">
        <f>J4*G4</f>
        <v>17681</v>
      </c>
      <c r="T4" s="1">
        <f t="shared" ca="1" si="2"/>
        <v>114</v>
      </c>
      <c r="U4" s="1" t="s">
        <v>34</v>
      </c>
      <c r="V4" s="1" t="s">
        <v>34</v>
      </c>
      <c r="W4" s="1" t="s">
        <v>34</v>
      </c>
      <c r="X4" s="1" t="s">
        <v>2517</v>
      </c>
      <c r="Y4" s="1">
        <v>7</v>
      </c>
    </row>
    <row r="5" spans="1:25" x14ac:dyDescent="0.3">
      <c r="A5" s="1" t="s">
        <v>51</v>
      </c>
      <c r="B5" s="1" t="s">
        <v>52</v>
      </c>
      <c r="C5" s="1" t="s">
        <v>53</v>
      </c>
      <c r="D5" s="1" t="s">
        <v>47</v>
      </c>
      <c r="E5" s="1" t="s">
        <v>40</v>
      </c>
      <c r="F5" s="1" t="s">
        <v>54</v>
      </c>
      <c r="G5" s="2">
        <v>452.98</v>
      </c>
      <c r="H5" s="1">
        <v>22</v>
      </c>
      <c r="I5" s="1">
        <v>171</v>
      </c>
      <c r="J5" s="1">
        <v>131</v>
      </c>
      <c r="K5" s="1">
        <v>92</v>
      </c>
      <c r="L5" s="1">
        <v>85</v>
      </c>
      <c r="M5" s="1" t="s">
        <v>41</v>
      </c>
      <c r="N5" s="1" t="s">
        <v>42</v>
      </c>
      <c r="O5" s="1" t="s">
        <v>55</v>
      </c>
      <c r="P5" s="2">
        <v>317.08999999999997</v>
      </c>
      <c r="Q5" s="1" t="str">
        <f t="shared" si="0"/>
        <v>YES</v>
      </c>
      <c r="R5" s="2">
        <f t="shared" si="1"/>
        <v>407.68200000000002</v>
      </c>
      <c r="S5" s="2">
        <f>J5*G5</f>
        <v>59340.380000000005</v>
      </c>
      <c r="T5" s="1">
        <f t="shared" ca="1" si="2"/>
        <v>91</v>
      </c>
      <c r="U5" s="1" t="s">
        <v>34</v>
      </c>
      <c r="V5" s="1" t="s">
        <v>34</v>
      </c>
      <c r="W5" s="1" t="s">
        <v>34</v>
      </c>
      <c r="X5" s="1" t="s">
        <v>2518</v>
      </c>
      <c r="Y5" s="1">
        <v>7.5</v>
      </c>
    </row>
    <row r="6" spans="1:25" x14ac:dyDescent="0.3">
      <c r="A6" s="1" t="s">
        <v>56</v>
      </c>
      <c r="B6" s="1" t="s">
        <v>57</v>
      </c>
      <c r="C6" s="1" t="s">
        <v>58</v>
      </c>
      <c r="D6" s="1" t="s">
        <v>59</v>
      </c>
      <c r="E6" s="1" t="s">
        <v>40</v>
      </c>
      <c r="F6" s="1" t="s">
        <v>48</v>
      </c>
      <c r="G6" s="2">
        <v>171.41</v>
      </c>
      <c r="H6" s="1">
        <v>17</v>
      </c>
      <c r="I6" s="1">
        <v>131</v>
      </c>
      <c r="J6" s="1">
        <v>117</v>
      </c>
      <c r="K6" s="1">
        <v>79</v>
      </c>
      <c r="L6" s="1">
        <v>145</v>
      </c>
      <c r="M6" s="1" t="s">
        <v>31</v>
      </c>
      <c r="N6" s="1" t="s">
        <v>60</v>
      </c>
      <c r="O6" s="1" t="s">
        <v>61</v>
      </c>
      <c r="P6" s="2">
        <v>119.99</v>
      </c>
      <c r="Q6" s="1" t="str">
        <f t="shared" si="0"/>
        <v>YES</v>
      </c>
      <c r="R6" s="2">
        <f t="shared" si="1"/>
        <v>154.26900000000001</v>
      </c>
      <c r="S6" s="2">
        <f>J6*G6</f>
        <v>20054.97</v>
      </c>
      <c r="T6" s="1">
        <f t="shared" ca="1" si="2"/>
        <v>73</v>
      </c>
      <c r="U6" s="1" t="s">
        <v>34</v>
      </c>
      <c r="V6" s="1" t="s">
        <v>34</v>
      </c>
      <c r="W6" s="1" t="s">
        <v>34</v>
      </c>
      <c r="X6" s="1" t="s">
        <v>2519</v>
      </c>
      <c r="Y6" s="1">
        <v>8</v>
      </c>
    </row>
    <row r="7" spans="1:25" x14ac:dyDescent="0.3">
      <c r="A7" s="1" t="s">
        <v>62</v>
      </c>
      <c r="B7" s="1" t="s">
        <v>63</v>
      </c>
      <c r="C7" s="1" t="s">
        <v>64</v>
      </c>
      <c r="D7" s="1" t="s">
        <v>28</v>
      </c>
      <c r="E7" s="1" t="s">
        <v>40</v>
      </c>
      <c r="F7" s="1" t="s">
        <v>48</v>
      </c>
      <c r="G7" s="2">
        <v>429.45</v>
      </c>
      <c r="H7" s="1">
        <v>16</v>
      </c>
      <c r="I7" s="1">
        <v>218</v>
      </c>
      <c r="J7" s="1">
        <v>202</v>
      </c>
      <c r="K7" s="1">
        <v>72</v>
      </c>
      <c r="L7" s="1">
        <v>113</v>
      </c>
      <c r="M7" s="1" t="s">
        <v>41</v>
      </c>
      <c r="N7" s="1" t="s">
        <v>42</v>
      </c>
      <c r="O7" s="1" t="s">
        <v>65</v>
      </c>
      <c r="P7" s="2">
        <v>300.61</v>
      </c>
      <c r="Q7" s="1" t="str">
        <f t="shared" si="0"/>
        <v>YES</v>
      </c>
      <c r="R7" s="2">
        <f t="shared" si="1"/>
        <v>386.505</v>
      </c>
      <c r="S7" s="2">
        <f>J7*G7</f>
        <v>86748.9</v>
      </c>
      <c r="T7" s="1">
        <f t="shared" ca="1" si="2"/>
        <v>142</v>
      </c>
      <c r="U7" s="1" t="s">
        <v>34</v>
      </c>
      <c r="V7" s="1" t="s">
        <v>34</v>
      </c>
      <c r="W7" s="1" t="s">
        <v>34</v>
      </c>
      <c r="X7" s="1" t="s">
        <v>2520</v>
      </c>
      <c r="Y7" s="1">
        <v>8.5</v>
      </c>
    </row>
    <row r="8" spans="1:25" x14ac:dyDescent="0.3">
      <c r="A8" s="1" t="s">
        <v>66</v>
      </c>
      <c r="B8" s="1" t="s">
        <v>52</v>
      </c>
      <c r="C8" s="1" t="s">
        <v>53</v>
      </c>
      <c r="D8" s="1" t="s">
        <v>47</v>
      </c>
      <c r="E8" s="1" t="s">
        <v>40</v>
      </c>
      <c r="F8" s="1" t="s">
        <v>54</v>
      </c>
      <c r="G8" s="2">
        <v>70.41</v>
      </c>
      <c r="H8" s="1">
        <v>25</v>
      </c>
      <c r="I8" s="1">
        <v>252</v>
      </c>
      <c r="J8" s="1">
        <v>235</v>
      </c>
      <c r="K8" s="1">
        <v>42</v>
      </c>
      <c r="L8" s="1">
        <v>61</v>
      </c>
      <c r="M8" s="1" t="s">
        <v>41</v>
      </c>
      <c r="N8" s="1" t="s">
        <v>32</v>
      </c>
      <c r="O8" s="1" t="s">
        <v>67</v>
      </c>
      <c r="P8" s="2">
        <v>49.29</v>
      </c>
      <c r="Q8" s="1" t="str">
        <f t="shared" si="0"/>
        <v>YES</v>
      </c>
      <c r="R8" s="2">
        <f t="shared" si="1"/>
        <v>63.369</v>
      </c>
      <c r="S8" s="2">
        <f>J8*G8</f>
        <v>16546.349999999999</v>
      </c>
      <c r="T8" s="1">
        <f t="shared" ca="1" si="2"/>
        <v>97</v>
      </c>
      <c r="U8" s="1" t="s">
        <v>34</v>
      </c>
      <c r="V8" s="1" t="s">
        <v>34</v>
      </c>
      <c r="W8" s="1" t="s">
        <v>34</v>
      </c>
      <c r="X8" s="1" t="s">
        <v>2521</v>
      </c>
      <c r="Y8" s="1">
        <v>9</v>
      </c>
    </row>
    <row r="9" spans="1:25" x14ac:dyDescent="0.3">
      <c r="A9" s="1" t="s">
        <v>68</v>
      </c>
      <c r="B9" s="1" t="s">
        <v>69</v>
      </c>
      <c r="C9" s="1" t="s">
        <v>70</v>
      </c>
      <c r="D9" s="1" t="s">
        <v>59</v>
      </c>
      <c r="E9" s="1" t="s">
        <v>40</v>
      </c>
      <c r="F9" s="1" t="s">
        <v>48</v>
      </c>
      <c r="G9" s="2">
        <v>495.76</v>
      </c>
      <c r="H9" s="1">
        <v>18</v>
      </c>
      <c r="I9" s="1">
        <v>185</v>
      </c>
      <c r="J9" s="1">
        <v>170</v>
      </c>
      <c r="K9" s="1">
        <v>59</v>
      </c>
      <c r="L9" s="1">
        <v>94</v>
      </c>
      <c r="M9" s="1" t="s">
        <v>31</v>
      </c>
      <c r="N9" s="1" t="s">
        <v>42</v>
      </c>
      <c r="O9" s="1" t="s">
        <v>33</v>
      </c>
      <c r="P9" s="2">
        <v>347.03</v>
      </c>
      <c r="Q9" s="1" t="str">
        <f t="shared" si="0"/>
        <v>YES</v>
      </c>
      <c r="R9" s="2">
        <f t="shared" si="1"/>
        <v>446.18400000000003</v>
      </c>
      <c r="S9" s="2">
        <f>J9*G9</f>
        <v>84279.2</v>
      </c>
      <c r="T9" s="1">
        <f t="shared" ca="1" si="2"/>
        <v>141</v>
      </c>
      <c r="U9" s="1" t="s">
        <v>34</v>
      </c>
      <c r="V9" s="1" t="s">
        <v>34</v>
      </c>
      <c r="W9" s="1" t="s">
        <v>34</v>
      </c>
      <c r="X9" s="1" t="s">
        <v>2522</v>
      </c>
      <c r="Y9" s="1">
        <v>9.5</v>
      </c>
    </row>
    <row r="10" spans="1:25" x14ac:dyDescent="0.3">
      <c r="A10" s="1" t="s">
        <v>71</v>
      </c>
      <c r="B10" s="1" t="s">
        <v>72</v>
      </c>
      <c r="C10" s="1" t="s">
        <v>73</v>
      </c>
      <c r="D10" s="1" t="s">
        <v>47</v>
      </c>
      <c r="E10" s="1" t="s">
        <v>74</v>
      </c>
      <c r="F10" s="1" t="s">
        <v>48</v>
      </c>
      <c r="G10" s="2">
        <v>444.28</v>
      </c>
      <c r="H10" s="1">
        <v>21</v>
      </c>
      <c r="I10" s="1">
        <v>270</v>
      </c>
      <c r="J10" s="1">
        <v>234</v>
      </c>
      <c r="K10" s="1">
        <v>120</v>
      </c>
      <c r="L10" s="1">
        <v>56</v>
      </c>
      <c r="M10" s="1" t="s">
        <v>31</v>
      </c>
      <c r="N10" s="1" t="s">
        <v>60</v>
      </c>
      <c r="O10" s="1" t="s">
        <v>75</v>
      </c>
      <c r="P10" s="2">
        <v>311</v>
      </c>
      <c r="Q10" s="1" t="str">
        <f t="shared" si="0"/>
        <v>YES</v>
      </c>
      <c r="R10" s="2">
        <f t="shared" si="1"/>
        <v>399.85199999999998</v>
      </c>
      <c r="S10" s="2">
        <f>J10*G10</f>
        <v>103961.51999999999</v>
      </c>
      <c r="T10" s="1">
        <f t="shared" ca="1" si="2"/>
        <v>123</v>
      </c>
      <c r="U10" s="1" t="s">
        <v>34</v>
      </c>
      <c r="V10" s="1" t="s">
        <v>34</v>
      </c>
      <c r="W10" s="1" t="s">
        <v>34</v>
      </c>
      <c r="X10" s="1" t="s">
        <v>2523</v>
      </c>
      <c r="Y10" s="1">
        <v>5</v>
      </c>
    </row>
    <row r="11" spans="1:25" x14ac:dyDescent="0.3">
      <c r="A11" s="1" t="s">
        <v>76</v>
      </c>
      <c r="B11" s="1" t="s">
        <v>77</v>
      </c>
      <c r="C11" s="1" t="s">
        <v>78</v>
      </c>
      <c r="D11" s="1" t="s">
        <v>47</v>
      </c>
      <c r="E11" s="1" t="s">
        <v>40</v>
      </c>
      <c r="F11" s="1" t="s">
        <v>54</v>
      </c>
      <c r="G11" s="2">
        <v>196.25</v>
      </c>
      <c r="H11" s="1">
        <v>0</v>
      </c>
      <c r="I11" s="1">
        <v>283</v>
      </c>
      <c r="J11" s="1">
        <v>260</v>
      </c>
      <c r="K11" s="1">
        <v>86</v>
      </c>
      <c r="L11" s="1">
        <v>95</v>
      </c>
      <c r="M11" s="1" t="s">
        <v>49</v>
      </c>
      <c r="N11" s="1" t="s">
        <v>42</v>
      </c>
      <c r="O11" s="1" t="s">
        <v>79</v>
      </c>
      <c r="P11" s="2">
        <v>137.38</v>
      </c>
      <c r="Q11" s="1" t="str">
        <f t="shared" si="0"/>
        <v>YES</v>
      </c>
      <c r="R11" s="2">
        <f t="shared" si="1"/>
        <v>176.625</v>
      </c>
      <c r="S11" s="2">
        <f>J11*G11</f>
        <v>51025</v>
      </c>
      <c r="T11" s="1">
        <f t="shared" ca="1" si="2"/>
        <v>93</v>
      </c>
      <c r="U11" s="1" t="s">
        <v>34</v>
      </c>
      <c r="V11" s="1" t="s">
        <v>34</v>
      </c>
      <c r="W11" s="1" t="s">
        <v>34</v>
      </c>
      <c r="X11" s="1" t="s">
        <v>2524</v>
      </c>
      <c r="Y11" s="1">
        <v>5.5</v>
      </c>
    </row>
    <row r="12" spans="1:25" x14ac:dyDescent="0.3">
      <c r="A12" s="1" t="s">
        <v>80</v>
      </c>
      <c r="B12" s="1" t="s">
        <v>45</v>
      </c>
      <c r="C12" s="1" t="s">
        <v>46</v>
      </c>
      <c r="D12" s="1" t="s">
        <v>47</v>
      </c>
      <c r="E12" s="1" t="s">
        <v>29</v>
      </c>
      <c r="F12" s="1" t="s">
        <v>54</v>
      </c>
      <c r="G12" s="2">
        <v>196.89</v>
      </c>
      <c r="H12" s="1">
        <v>13</v>
      </c>
      <c r="I12" s="1">
        <v>133</v>
      </c>
      <c r="J12" s="1">
        <v>109</v>
      </c>
      <c r="K12" s="1">
        <v>68</v>
      </c>
      <c r="L12" s="1">
        <v>54</v>
      </c>
      <c r="M12" s="1" t="s">
        <v>49</v>
      </c>
      <c r="N12" s="1" t="s">
        <v>42</v>
      </c>
      <c r="O12" s="1" t="s">
        <v>81</v>
      </c>
      <c r="P12" s="2">
        <v>137.82</v>
      </c>
      <c r="Q12" s="1" t="str">
        <f t="shared" si="0"/>
        <v>YES</v>
      </c>
      <c r="R12" s="2">
        <f t="shared" si="1"/>
        <v>177.20099999999999</v>
      </c>
      <c r="S12" s="2">
        <f>J12*G12</f>
        <v>21461.01</v>
      </c>
      <c r="T12" s="1">
        <f t="shared" ca="1" si="2"/>
        <v>81</v>
      </c>
      <c r="U12" s="1" t="s">
        <v>34</v>
      </c>
      <c r="V12" s="1" t="s">
        <v>34</v>
      </c>
      <c r="W12" s="1" t="s">
        <v>34</v>
      </c>
      <c r="X12" s="1" t="s">
        <v>2525</v>
      </c>
      <c r="Y12" s="1">
        <v>6</v>
      </c>
    </row>
    <row r="13" spans="1:25" x14ac:dyDescent="0.3">
      <c r="A13" s="1" t="s">
        <v>82</v>
      </c>
      <c r="B13" s="1" t="s">
        <v>83</v>
      </c>
      <c r="C13" s="1" t="s">
        <v>84</v>
      </c>
      <c r="D13" s="1" t="s">
        <v>85</v>
      </c>
      <c r="E13" s="1" t="s">
        <v>29</v>
      </c>
      <c r="F13" s="1" t="s">
        <v>30</v>
      </c>
      <c r="G13" s="2">
        <v>299.74</v>
      </c>
      <c r="H13" s="1">
        <v>18</v>
      </c>
      <c r="I13" s="1">
        <v>177</v>
      </c>
      <c r="J13" s="1">
        <v>146</v>
      </c>
      <c r="K13" s="1">
        <v>72</v>
      </c>
      <c r="L13" s="1">
        <v>121</v>
      </c>
      <c r="M13" s="1" t="s">
        <v>31</v>
      </c>
      <c r="N13" s="1" t="s">
        <v>32</v>
      </c>
      <c r="O13" s="1" t="s">
        <v>86</v>
      </c>
      <c r="P13" s="2">
        <v>209.82</v>
      </c>
      <c r="Q13" s="1" t="str">
        <f t="shared" si="0"/>
        <v>YES</v>
      </c>
      <c r="R13" s="2">
        <f t="shared" si="1"/>
        <v>269.76600000000002</v>
      </c>
      <c r="S13" s="2">
        <f>J13*G13</f>
        <v>43762.04</v>
      </c>
      <c r="T13" s="1">
        <f t="shared" ca="1" si="2"/>
        <v>121</v>
      </c>
      <c r="U13" s="1" t="s">
        <v>34</v>
      </c>
      <c r="V13" s="1" t="s">
        <v>34</v>
      </c>
      <c r="W13" s="1" t="s">
        <v>34</v>
      </c>
      <c r="X13" s="1" t="s">
        <v>2526</v>
      </c>
      <c r="Y13" s="1">
        <v>6.5</v>
      </c>
    </row>
    <row r="14" spans="1:25" x14ac:dyDescent="0.3">
      <c r="A14" s="1" t="s">
        <v>87</v>
      </c>
      <c r="B14" s="1" t="s">
        <v>83</v>
      </c>
      <c r="C14" s="1" t="s">
        <v>84</v>
      </c>
      <c r="D14" s="1" t="s">
        <v>85</v>
      </c>
      <c r="E14" s="1" t="s">
        <v>74</v>
      </c>
      <c r="F14" s="1" t="s">
        <v>54</v>
      </c>
      <c r="G14" s="2">
        <v>42.18</v>
      </c>
      <c r="H14" s="1">
        <v>19</v>
      </c>
      <c r="I14" s="1">
        <v>134</v>
      </c>
      <c r="J14" s="1">
        <v>118</v>
      </c>
      <c r="K14" s="1">
        <v>93</v>
      </c>
      <c r="L14" s="1">
        <v>113</v>
      </c>
      <c r="M14" s="1" t="s">
        <v>41</v>
      </c>
      <c r="N14" s="1" t="s">
        <v>42</v>
      </c>
      <c r="O14" s="1" t="s">
        <v>88</v>
      </c>
      <c r="P14" s="2">
        <v>29.53</v>
      </c>
      <c r="Q14" s="1" t="str">
        <f t="shared" si="0"/>
        <v>YES</v>
      </c>
      <c r="R14" s="2">
        <f t="shared" si="1"/>
        <v>37.962000000000003</v>
      </c>
      <c r="S14" s="2">
        <f>J14*G14</f>
        <v>4977.24</v>
      </c>
      <c r="T14" s="1">
        <f t="shared" ca="1" si="2"/>
        <v>124</v>
      </c>
      <c r="U14" s="1" t="s">
        <v>34</v>
      </c>
      <c r="V14" s="1" t="s">
        <v>34</v>
      </c>
      <c r="W14" s="1" t="s">
        <v>34</v>
      </c>
      <c r="X14" s="1" t="s">
        <v>2527</v>
      </c>
      <c r="Y14" s="1">
        <v>7</v>
      </c>
    </row>
    <row r="15" spans="1:25" x14ac:dyDescent="0.3">
      <c r="A15" s="1" t="s">
        <v>89</v>
      </c>
      <c r="B15" s="1" t="s">
        <v>72</v>
      </c>
      <c r="C15" s="1" t="s">
        <v>73</v>
      </c>
      <c r="D15" s="1" t="s">
        <v>47</v>
      </c>
      <c r="E15" s="1" t="s">
        <v>29</v>
      </c>
      <c r="F15" s="1" t="s">
        <v>54</v>
      </c>
      <c r="G15" s="2">
        <v>283.58999999999997</v>
      </c>
      <c r="H15" s="1">
        <v>12</v>
      </c>
      <c r="I15" s="1">
        <v>146</v>
      </c>
      <c r="J15" s="1">
        <v>121</v>
      </c>
      <c r="K15" s="1">
        <v>90</v>
      </c>
      <c r="L15" s="1">
        <v>63</v>
      </c>
      <c r="M15" s="1" t="s">
        <v>41</v>
      </c>
      <c r="N15" s="1" t="s">
        <v>42</v>
      </c>
      <c r="O15" s="1" t="s">
        <v>90</v>
      </c>
      <c r="P15" s="2">
        <v>198.51</v>
      </c>
      <c r="Q15" s="1" t="str">
        <f t="shared" si="0"/>
        <v>YES</v>
      </c>
      <c r="R15" s="2">
        <f t="shared" si="1"/>
        <v>255.23099999999999</v>
      </c>
      <c r="S15" s="2">
        <f>J15*G15</f>
        <v>34314.39</v>
      </c>
      <c r="T15" s="1">
        <f t="shared" ca="1" si="2"/>
        <v>94</v>
      </c>
      <c r="U15" s="1" t="s">
        <v>34</v>
      </c>
      <c r="V15" s="1" t="s">
        <v>34</v>
      </c>
      <c r="W15" s="1" t="s">
        <v>34</v>
      </c>
      <c r="X15" s="1" t="s">
        <v>2528</v>
      </c>
      <c r="Y15" s="1">
        <v>7.5</v>
      </c>
    </row>
    <row r="16" spans="1:25" x14ac:dyDescent="0.3">
      <c r="A16" s="1" t="s">
        <v>91</v>
      </c>
      <c r="B16" s="1" t="s">
        <v>63</v>
      </c>
      <c r="C16" s="1" t="s">
        <v>64</v>
      </c>
      <c r="D16" s="1" t="s">
        <v>28</v>
      </c>
      <c r="E16" s="1" t="s">
        <v>29</v>
      </c>
      <c r="F16" s="1" t="s">
        <v>48</v>
      </c>
      <c r="G16" s="2">
        <v>280.77999999999997</v>
      </c>
      <c r="H16" s="1">
        <v>11</v>
      </c>
      <c r="I16" s="1">
        <v>269</v>
      </c>
      <c r="J16" s="1">
        <v>255</v>
      </c>
      <c r="K16" s="1">
        <v>96</v>
      </c>
      <c r="L16" s="1">
        <v>107</v>
      </c>
      <c r="M16" s="1" t="s">
        <v>41</v>
      </c>
      <c r="N16" s="1" t="s">
        <v>60</v>
      </c>
      <c r="O16" s="1" t="s">
        <v>92</v>
      </c>
      <c r="P16" s="2">
        <v>196.55</v>
      </c>
      <c r="Q16" s="1" t="str">
        <f t="shared" si="0"/>
        <v>YES</v>
      </c>
      <c r="R16" s="2">
        <f t="shared" si="1"/>
        <v>252.70199999999997</v>
      </c>
      <c r="S16" s="2">
        <f>J16*G16</f>
        <v>71598.899999999994</v>
      </c>
      <c r="T16" s="1">
        <f t="shared" ca="1" si="2"/>
        <v>64</v>
      </c>
      <c r="U16" s="1" t="s">
        <v>34</v>
      </c>
      <c r="V16" s="1" t="s">
        <v>34</v>
      </c>
      <c r="W16" s="1" t="s">
        <v>34</v>
      </c>
      <c r="X16" s="1" t="s">
        <v>2529</v>
      </c>
      <c r="Y16" s="1">
        <v>8</v>
      </c>
    </row>
    <row r="17" spans="1:25" x14ac:dyDescent="0.3">
      <c r="A17" s="1" t="s">
        <v>93</v>
      </c>
      <c r="B17" s="1" t="s">
        <v>69</v>
      </c>
      <c r="C17" s="1" t="s">
        <v>70</v>
      </c>
      <c r="D17" s="1" t="s">
        <v>59</v>
      </c>
      <c r="E17" s="1" t="s">
        <v>40</v>
      </c>
      <c r="F17" s="1" t="s">
        <v>48</v>
      </c>
      <c r="G17" s="2">
        <v>93.65</v>
      </c>
      <c r="H17" s="1">
        <v>8</v>
      </c>
      <c r="I17" s="1">
        <v>273</v>
      </c>
      <c r="J17" s="1">
        <v>239</v>
      </c>
      <c r="K17" s="1">
        <v>76</v>
      </c>
      <c r="L17" s="1">
        <v>81</v>
      </c>
      <c r="M17" s="1" t="s">
        <v>41</v>
      </c>
      <c r="N17" s="1" t="s">
        <v>32</v>
      </c>
      <c r="O17" s="1" t="s">
        <v>55</v>
      </c>
      <c r="P17" s="2">
        <v>65.56</v>
      </c>
      <c r="Q17" s="1" t="str">
        <f t="shared" si="0"/>
        <v>YES</v>
      </c>
      <c r="R17" s="2">
        <f t="shared" si="1"/>
        <v>84.285000000000011</v>
      </c>
      <c r="S17" s="2">
        <f>J17*G17</f>
        <v>22382.350000000002</v>
      </c>
      <c r="T17" s="1">
        <f t="shared" ca="1" si="2"/>
        <v>91</v>
      </c>
      <c r="U17" s="1" t="s">
        <v>34</v>
      </c>
      <c r="V17" s="1" t="s">
        <v>34</v>
      </c>
      <c r="W17" s="1" t="s">
        <v>34</v>
      </c>
      <c r="X17" s="1" t="s">
        <v>2530</v>
      </c>
      <c r="Y17" s="1">
        <v>8.5</v>
      </c>
    </row>
    <row r="18" spans="1:25" x14ac:dyDescent="0.3">
      <c r="A18" s="1" t="s">
        <v>94</v>
      </c>
      <c r="B18" s="1" t="s">
        <v>95</v>
      </c>
      <c r="C18" s="1" t="s">
        <v>96</v>
      </c>
      <c r="D18" s="1" t="s">
        <v>97</v>
      </c>
      <c r="E18" s="1" t="s">
        <v>74</v>
      </c>
      <c r="F18" s="1" t="s">
        <v>30</v>
      </c>
      <c r="G18" s="2">
        <v>187.41</v>
      </c>
      <c r="H18" s="1">
        <v>21</v>
      </c>
      <c r="I18" s="1">
        <v>104</v>
      </c>
      <c r="J18" s="1">
        <v>89</v>
      </c>
      <c r="K18" s="1">
        <v>71</v>
      </c>
      <c r="L18" s="1">
        <v>80</v>
      </c>
      <c r="M18" s="1" t="s">
        <v>49</v>
      </c>
      <c r="N18" s="1" t="s">
        <v>42</v>
      </c>
      <c r="O18" s="1" t="s">
        <v>98</v>
      </c>
      <c r="P18" s="2">
        <v>131.19</v>
      </c>
      <c r="Q18" s="1" t="str">
        <f t="shared" si="0"/>
        <v>YES</v>
      </c>
      <c r="R18" s="2">
        <f t="shared" si="1"/>
        <v>168.66900000000001</v>
      </c>
      <c r="S18" s="2">
        <f>J18*G18</f>
        <v>16679.489999999998</v>
      </c>
      <c r="T18" s="1">
        <f t="shared" ca="1" si="2"/>
        <v>96</v>
      </c>
      <c r="U18" s="1" t="s">
        <v>34</v>
      </c>
      <c r="V18" s="1" t="s">
        <v>34</v>
      </c>
      <c r="W18" s="1" t="s">
        <v>34</v>
      </c>
      <c r="X18" s="1" t="s">
        <v>2531</v>
      </c>
      <c r="Y18" s="1">
        <v>9</v>
      </c>
    </row>
    <row r="19" spans="1:25" x14ac:dyDescent="0.3">
      <c r="A19" s="1" t="s">
        <v>99</v>
      </c>
      <c r="B19" s="1" t="s">
        <v>83</v>
      </c>
      <c r="C19" s="1" t="s">
        <v>84</v>
      </c>
      <c r="D19" s="1" t="s">
        <v>85</v>
      </c>
      <c r="E19" s="1" t="s">
        <v>40</v>
      </c>
      <c r="F19" s="1" t="s">
        <v>54</v>
      </c>
      <c r="G19" s="2">
        <v>489.94</v>
      </c>
      <c r="H19" s="1">
        <v>5</v>
      </c>
      <c r="I19" s="1">
        <v>136</v>
      </c>
      <c r="J19" s="1">
        <v>114</v>
      </c>
      <c r="K19" s="1">
        <v>53</v>
      </c>
      <c r="L19" s="1">
        <v>117</v>
      </c>
      <c r="M19" s="1" t="s">
        <v>41</v>
      </c>
      <c r="N19" s="1" t="s">
        <v>42</v>
      </c>
      <c r="O19" s="1" t="s">
        <v>100</v>
      </c>
      <c r="P19" s="2">
        <v>342.96</v>
      </c>
      <c r="Q19" s="1" t="str">
        <f t="shared" si="0"/>
        <v>YES</v>
      </c>
      <c r="R19" s="2">
        <f t="shared" si="1"/>
        <v>440.94600000000003</v>
      </c>
      <c r="S19" s="2">
        <f>J19*G19</f>
        <v>55853.159999999996</v>
      </c>
      <c r="T19" s="1">
        <f t="shared" ca="1" si="2"/>
        <v>137</v>
      </c>
      <c r="U19" s="1" t="s">
        <v>34</v>
      </c>
      <c r="V19" s="1" t="s">
        <v>34</v>
      </c>
      <c r="W19" s="1" t="s">
        <v>34</v>
      </c>
      <c r="X19" s="1" t="s">
        <v>2532</v>
      </c>
      <c r="Y19" s="1">
        <v>9.5</v>
      </c>
    </row>
    <row r="20" spans="1:25" x14ac:dyDescent="0.3">
      <c r="A20" s="1" t="s">
        <v>101</v>
      </c>
      <c r="B20" s="1" t="s">
        <v>102</v>
      </c>
      <c r="C20" s="1" t="s">
        <v>103</v>
      </c>
      <c r="D20" s="1" t="s">
        <v>104</v>
      </c>
      <c r="E20" s="1" t="s">
        <v>40</v>
      </c>
      <c r="F20" s="1" t="s">
        <v>48</v>
      </c>
      <c r="G20" s="2">
        <v>99.39</v>
      </c>
      <c r="H20" s="1">
        <v>15</v>
      </c>
      <c r="I20" s="1">
        <v>104</v>
      </c>
      <c r="J20" s="1">
        <v>67</v>
      </c>
      <c r="K20" s="1">
        <v>102</v>
      </c>
      <c r="L20" s="1">
        <v>66</v>
      </c>
      <c r="M20" s="1" t="s">
        <v>41</v>
      </c>
      <c r="N20" s="1" t="s">
        <v>42</v>
      </c>
      <c r="O20" s="1" t="s">
        <v>105</v>
      </c>
      <c r="P20" s="2">
        <v>69.569999999999993</v>
      </c>
      <c r="Q20" s="1" t="str">
        <f t="shared" si="0"/>
        <v>NO</v>
      </c>
      <c r="R20" s="2">
        <f t="shared" si="1"/>
        <v>99.39</v>
      </c>
      <c r="S20" s="2">
        <f>J20*G20</f>
        <v>6659.13</v>
      </c>
      <c r="T20" s="1">
        <f t="shared" ca="1" si="2"/>
        <v>144</v>
      </c>
      <c r="U20" s="1" t="s">
        <v>34</v>
      </c>
      <c r="V20" s="1" t="s">
        <v>34</v>
      </c>
      <c r="W20" s="1" t="s">
        <v>34</v>
      </c>
      <c r="X20" s="1" t="s">
        <v>2533</v>
      </c>
      <c r="Y20" s="1">
        <v>5</v>
      </c>
    </row>
    <row r="21" spans="1:25" x14ac:dyDescent="0.3">
      <c r="A21" s="1" t="s">
        <v>106</v>
      </c>
      <c r="B21" s="1" t="s">
        <v>107</v>
      </c>
      <c r="C21" s="1" t="s">
        <v>108</v>
      </c>
      <c r="D21" s="1" t="s">
        <v>39</v>
      </c>
      <c r="E21" s="1" t="s">
        <v>29</v>
      </c>
      <c r="F21" s="1" t="s">
        <v>54</v>
      </c>
      <c r="G21" s="2">
        <v>469.61</v>
      </c>
      <c r="H21" s="1">
        <v>18</v>
      </c>
      <c r="I21" s="1">
        <v>162</v>
      </c>
      <c r="J21" s="1">
        <v>129</v>
      </c>
      <c r="K21" s="1">
        <v>87</v>
      </c>
      <c r="L21" s="1">
        <v>53</v>
      </c>
      <c r="M21" s="1" t="s">
        <v>41</v>
      </c>
      <c r="N21" s="1" t="s">
        <v>42</v>
      </c>
      <c r="O21" s="1" t="s">
        <v>109</v>
      </c>
      <c r="P21" s="2">
        <v>328.73</v>
      </c>
      <c r="Q21" s="1" t="str">
        <f t="shared" si="0"/>
        <v>YES</v>
      </c>
      <c r="R21" s="2">
        <f t="shared" si="1"/>
        <v>422.649</v>
      </c>
      <c r="S21" s="2">
        <f>J21*G21</f>
        <v>60579.69</v>
      </c>
      <c r="T21" s="1">
        <f t="shared" ca="1" si="2"/>
        <v>89</v>
      </c>
      <c r="U21" s="1" t="s">
        <v>34</v>
      </c>
      <c r="V21" s="1" t="s">
        <v>34</v>
      </c>
      <c r="W21" s="1" t="s">
        <v>34</v>
      </c>
      <c r="X21" s="1" t="s">
        <v>2534</v>
      </c>
      <c r="Y21" s="1">
        <v>5.5</v>
      </c>
    </row>
    <row r="22" spans="1:25" x14ac:dyDescent="0.3">
      <c r="A22" s="1" t="s">
        <v>110</v>
      </c>
      <c r="B22" s="1" t="s">
        <v>111</v>
      </c>
      <c r="C22" s="1" t="s">
        <v>112</v>
      </c>
      <c r="D22" s="1" t="s">
        <v>97</v>
      </c>
      <c r="E22" s="1" t="s">
        <v>29</v>
      </c>
      <c r="F22" s="1" t="s">
        <v>48</v>
      </c>
      <c r="G22" s="2">
        <v>290.91000000000003</v>
      </c>
      <c r="H22" s="1">
        <v>23</v>
      </c>
      <c r="I22" s="1">
        <v>290</v>
      </c>
      <c r="J22" s="1">
        <v>263</v>
      </c>
      <c r="K22" s="1">
        <v>49</v>
      </c>
      <c r="L22" s="1">
        <v>62</v>
      </c>
      <c r="M22" s="1" t="s">
        <v>49</v>
      </c>
      <c r="N22" s="1" t="s">
        <v>42</v>
      </c>
      <c r="O22" s="1" t="s">
        <v>113</v>
      </c>
      <c r="P22" s="2">
        <v>203.64</v>
      </c>
      <c r="Q22" s="1" t="str">
        <f t="shared" si="0"/>
        <v>YES</v>
      </c>
      <c r="R22" s="2">
        <f t="shared" si="1"/>
        <v>261.81900000000002</v>
      </c>
      <c r="S22" s="2">
        <f>J22*G22</f>
        <v>76509.33</v>
      </c>
      <c r="T22" s="1">
        <f t="shared" ca="1" si="2"/>
        <v>82</v>
      </c>
      <c r="U22" s="1" t="s">
        <v>34</v>
      </c>
      <c r="V22" s="1" t="s">
        <v>34</v>
      </c>
      <c r="W22" s="1" t="s">
        <v>34</v>
      </c>
      <c r="X22" s="1" t="s">
        <v>2535</v>
      </c>
      <c r="Y22" s="1">
        <v>6</v>
      </c>
    </row>
    <row r="23" spans="1:25" x14ac:dyDescent="0.3">
      <c r="A23" s="1" t="s">
        <v>114</v>
      </c>
      <c r="B23" s="1" t="s">
        <v>69</v>
      </c>
      <c r="C23" s="1" t="s">
        <v>70</v>
      </c>
      <c r="D23" s="1" t="s">
        <v>59</v>
      </c>
      <c r="E23" s="1" t="s">
        <v>29</v>
      </c>
      <c r="F23" s="1" t="s">
        <v>54</v>
      </c>
      <c r="G23" s="2">
        <v>303.45</v>
      </c>
      <c r="H23" s="1">
        <v>23</v>
      </c>
      <c r="I23" s="1">
        <v>251</v>
      </c>
      <c r="J23" s="1">
        <v>219</v>
      </c>
      <c r="K23" s="1">
        <v>99</v>
      </c>
      <c r="L23" s="1">
        <v>55</v>
      </c>
      <c r="M23" s="1" t="s">
        <v>41</v>
      </c>
      <c r="N23" s="1" t="s">
        <v>32</v>
      </c>
      <c r="O23" s="1" t="s">
        <v>90</v>
      </c>
      <c r="P23" s="2">
        <v>212.41</v>
      </c>
      <c r="Q23" s="1" t="str">
        <f t="shared" si="0"/>
        <v>YES</v>
      </c>
      <c r="R23" s="2">
        <f t="shared" si="1"/>
        <v>273.10500000000002</v>
      </c>
      <c r="S23" s="2">
        <f>J23*G23</f>
        <v>66455.55</v>
      </c>
      <c r="T23" s="1">
        <f t="shared" ca="1" si="2"/>
        <v>94</v>
      </c>
      <c r="U23" s="1" t="s">
        <v>34</v>
      </c>
      <c r="V23" s="1" t="s">
        <v>34</v>
      </c>
      <c r="W23" s="1" t="s">
        <v>34</v>
      </c>
      <c r="X23" s="1" t="s">
        <v>2536</v>
      </c>
      <c r="Y23" s="1">
        <v>6.5</v>
      </c>
    </row>
    <row r="24" spans="1:25" x14ac:dyDescent="0.3">
      <c r="A24" s="1" t="s">
        <v>115</v>
      </c>
      <c r="B24" s="1" t="s">
        <v>45</v>
      </c>
      <c r="C24" s="1" t="s">
        <v>46</v>
      </c>
      <c r="D24" s="1" t="s">
        <v>47</v>
      </c>
      <c r="E24" s="1" t="s">
        <v>29</v>
      </c>
      <c r="F24" s="1" t="s">
        <v>54</v>
      </c>
      <c r="G24" s="2">
        <v>275.82</v>
      </c>
      <c r="H24" s="1">
        <v>2</v>
      </c>
      <c r="I24" s="1">
        <v>240</v>
      </c>
      <c r="J24" s="1">
        <v>212</v>
      </c>
      <c r="K24" s="1">
        <v>45</v>
      </c>
      <c r="L24" s="1">
        <v>99</v>
      </c>
      <c r="M24" s="1" t="s">
        <v>49</v>
      </c>
      <c r="N24" s="1" t="s">
        <v>60</v>
      </c>
      <c r="O24" s="1" t="s">
        <v>116</v>
      </c>
      <c r="P24" s="2">
        <v>193.07</v>
      </c>
      <c r="Q24" s="1" t="str">
        <f t="shared" si="0"/>
        <v>YES</v>
      </c>
      <c r="R24" s="2">
        <f t="shared" si="1"/>
        <v>248.238</v>
      </c>
      <c r="S24" s="2">
        <f>J24*G24</f>
        <v>58473.84</v>
      </c>
      <c r="T24" s="1">
        <f t="shared" ca="1" si="2"/>
        <v>87</v>
      </c>
      <c r="U24" s="1" t="s">
        <v>34</v>
      </c>
      <c r="V24" s="1" t="s">
        <v>34</v>
      </c>
      <c r="W24" s="1" t="s">
        <v>34</v>
      </c>
      <c r="X24" s="1" t="s">
        <v>2537</v>
      </c>
      <c r="Y24" s="1">
        <v>7</v>
      </c>
    </row>
    <row r="25" spans="1:25" x14ac:dyDescent="0.3">
      <c r="A25" s="1" t="s">
        <v>117</v>
      </c>
      <c r="B25" s="1" t="s">
        <v>118</v>
      </c>
      <c r="C25" s="1" t="s">
        <v>119</v>
      </c>
      <c r="D25" s="1" t="s">
        <v>97</v>
      </c>
      <c r="E25" s="1" t="s">
        <v>74</v>
      </c>
      <c r="F25" s="1" t="s">
        <v>30</v>
      </c>
      <c r="G25" s="2">
        <v>124.7</v>
      </c>
      <c r="H25" s="1">
        <v>23</v>
      </c>
      <c r="I25" s="1">
        <v>223</v>
      </c>
      <c r="J25" s="1">
        <v>221</v>
      </c>
      <c r="K25" s="1">
        <v>78</v>
      </c>
      <c r="L25" s="1">
        <v>77</v>
      </c>
      <c r="M25" s="1" t="s">
        <v>41</v>
      </c>
      <c r="N25" s="1" t="s">
        <v>60</v>
      </c>
      <c r="O25" s="1" t="s">
        <v>50</v>
      </c>
      <c r="P25" s="2">
        <v>87.29</v>
      </c>
      <c r="Q25" s="1" t="str">
        <f t="shared" si="0"/>
        <v>YES</v>
      </c>
      <c r="R25" s="2">
        <f t="shared" si="1"/>
        <v>112.23</v>
      </c>
      <c r="S25" s="2">
        <f>J25*G25</f>
        <v>27558.7</v>
      </c>
      <c r="T25" s="1">
        <f t="shared" ca="1" si="2"/>
        <v>114</v>
      </c>
      <c r="U25" s="1" t="s">
        <v>34</v>
      </c>
      <c r="V25" s="1" t="s">
        <v>34</v>
      </c>
      <c r="W25" s="1" t="s">
        <v>34</v>
      </c>
      <c r="X25" s="1" t="s">
        <v>2538</v>
      </c>
      <c r="Y25" s="1">
        <v>7.5</v>
      </c>
    </row>
    <row r="26" spans="1:25" x14ac:dyDescent="0.3">
      <c r="A26" s="1" t="s">
        <v>120</v>
      </c>
      <c r="B26" s="1" t="s">
        <v>111</v>
      </c>
      <c r="C26" s="1" t="s">
        <v>112</v>
      </c>
      <c r="D26" s="1" t="s">
        <v>97</v>
      </c>
      <c r="E26" s="1" t="s">
        <v>29</v>
      </c>
      <c r="F26" s="1" t="s">
        <v>54</v>
      </c>
      <c r="G26" s="2">
        <v>122.55</v>
      </c>
      <c r="H26" s="1">
        <v>13</v>
      </c>
      <c r="I26" s="1">
        <v>236</v>
      </c>
      <c r="J26" s="1">
        <v>196</v>
      </c>
      <c r="K26" s="1">
        <v>104</v>
      </c>
      <c r="L26" s="1">
        <v>59</v>
      </c>
      <c r="M26" s="1" t="s">
        <v>41</v>
      </c>
      <c r="N26" s="1" t="s">
        <v>32</v>
      </c>
      <c r="O26" s="1" t="s">
        <v>121</v>
      </c>
      <c r="P26" s="2">
        <v>85.78</v>
      </c>
      <c r="Q26" s="1" t="str">
        <f t="shared" si="0"/>
        <v>YES</v>
      </c>
      <c r="R26" s="2">
        <f t="shared" si="1"/>
        <v>110.295</v>
      </c>
      <c r="S26" s="2">
        <f>J26*G26</f>
        <v>24019.8</v>
      </c>
      <c r="T26" s="1">
        <f t="shared" ca="1" si="2"/>
        <v>130</v>
      </c>
      <c r="U26" s="1" t="s">
        <v>34</v>
      </c>
      <c r="V26" s="1" t="s">
        <v>34</v>
      </c>
      <c r="W26" s="1" t="s">
        <v>34</v>
      </c>
      <c r="X26" s="1" t="s">
        <v>2539</v>
      </c>
      <c r="Y26" s="1">
        <v>8</v>
      </c>
    </row>
    <row r="27" spans="1:25" x14ac:dyDescent="0.3">
      <c r="A27" s="1" t="s">
        <v>122</v>
      </c>
      <c r="B27" s="1" t="s">
        <v>123</v>
      </c>
      <c r="C27" s="1" t="s">
        <v>124</v>
      </c>
      <c r="D27" s="1" t="s">
        <v>47</v>
      </c>
      <c r="E27" s="1" t="s">
        <v>29</v>
      </c>
      <c r="F27" s="1" t="s">
        <v>54</v>
      </c>
      <c r="G27" s="2">
        <v>148.18</v>
      </c>
      <c r="H27" s="1">
        <v>0</v>
      </c>
      <c r="I27" s="1">
        <v>91</v>
      </c>
      <c r="J27" s="1">
        <v>57</v>
      </c>
      <c r="K27" s="1">
        <v>117</v>
      </c>
      <c r="L27" s="1">
        <v>150</v>
      </c>
      <c r="M27" s="1" t="s">
        <v>41</v>
      </c>
      <c r="N27" s="1" t="s">
        <v>32</v>
      </c>
      <c r="O27" s="1" t="s">
        <v>75</v>
      </c>
      <c r="P27" s="2">
        <v>103.73</v>
      </c>
      <c r="Q27" s="1" t="str">
        <f t="shared" si="0"/>
        <v>NO</v>
      </c>
      <c r="R27" s="2">
        <f t="shared" si="1"/>
        <v>148.18</v>
      </c>
      <c r="S27" s="2">
        <f>J27*G27</f>
        <v>8446.26</v>
      </c>
      <c r="T27" s="1">
        <f t="shared" ca="1" si="2"/>
        <v>123</v>
      </c>
      <c r="U27" s="1" t="s">
        <v>34</v>
      </c>
      <c r="V27" s="1" t="s">
        <v>34</v>
      </c>
      <c r="W27" s="1" t="s">
        <v>34</v>
      </c>
      <c r="X27" s="1" t="s">
        <v>2540</v>
      </c>
      <c r="Y27" s="1">
        <v>8.5</v>
      </c>
    </row>
    <row r="28" spans="1:25" x14ac:dyDescent="0.3">
      <c r="A28" s="1" t="s">
        <v>125</v>
      </c>
      <c r="B28" s="1" t="s">
        <v>126</v>
      </c>
      <c r="C28" s="1" t="s">
        <v>127</v>
      </c>
      <c r="D28" s="1" t="s">
        <v>85</v>
      </c>
      <c r="E28" s="1" t="s">
        <v>74</v>
      </c>
      <c r="F28" s="1" t="s">
        <v>48</v>
      </c>
      <c r="G28" s="2">
        <v>377.26</v>
      </c>
      <c r="H28" s="1">
        <v>15</v>
      </c>
      <c r="I28" s="1">
        <v>186</v>
      </c>
      <c r="J28" s="1">
        <v>173</v>
      </c>
      <c r="K28" s="1">
        <v>120</v>
      </c>
      <c r="L28" s="1">
        <v>113</v>
      </c>
      <c r="M28" s="1" t="s">
        <v>49</v>
      </c>
      <c r="N28" s="1" t="s">
        <v>42</v>
      </c>
      <c r="O28" s="1" t="s">
        <v>128</v>
      </c>
      <c r="P28" s="2">
        <v>264.08</v>
      </c>
      <c r="Q28" s="1" t="str">
        <f t="shared" si="0"/>
        <v>YES</v>
      </c>
      <c r="R28" s="2">
        <f t="shared" si="1"/>
        <v>339.53399999999999</v>
      </c>
      <c r="S28" s="2">
        <f>J28*G28</f>
        <v>65265.979999999996</v>
      </c>
      <c r="T28" s="1">
        <f t="shared" ca="1" si="2"/>
        <v>77</v>
      </c>
      <c r="U28" s="1" t="s">
        <v>34</v>
      </c>
      <c r="V28" s="1" t="s">
        <v>34</v>
      </c>
      <c r="W28" s="1" t="s">
        <v>34</v>
      </c>
      <c r="X28" s="1" t="s">
        <v>2541</v>
      </c>
      <c r="Y28" s="1">
        <v>9</v>
      </c>
    </row>
    <row r="29" spans="1:25" x14ac:dyDescent="0.3">
      <c r="A29" s="1" t="s">
        <v>129</v>
      </c>
      <c r="B29" s="1" t="s">
        <v>130</v>
      </c>
      <c r="C29" s="1" t="s">
        <v>131</v>
      </c>
      <c r="D29" s="1" t="s">
        <v>132</v>
      </c>
      <c r="E29" s="1" t="s">
        <v>74</v>
      </c>
      <c r="F29" s="1" t="s">
        <v>48</v>
      </c>
      <c r="G29" s="2">
        <v>143.88999999999999</v>
      </c>
      <c r="H29" s="1">
        <v>15</v>
      </c>
      <c r="I29" s="1">
        <v>147</v>
      </c>
      <c r="J29" s="1">
        <v>124</v>
      </c>
      <c r="K29" s="1">
        <v>83</v>
      </c>
      <c r="L29" s="1">
        <v>135</v>
      </c>
      <c r="M29" s="1" t="s">
        <v>41</v>
      </c>
      <c r="N29" s="1" t="s">
        <v>42</v>
      </c>
      <c r="O29" s="1" t="s">
        <v>133</v>
      </c>
      <c r="P29" s="2">
        <v>100.72</v>
      </c>
      <c r="Q29" s="1" t="str">
        <f t="shared" si="0"/>
        <v>YES</v>
      </c>
      <c r="R29" s="2">
        <f t="shared" si="1"/>
        <v>129.501</v>
      </c>
      <c r="S29" s="2">
        <f>J29*G29</f>
        <v>17842.359999999997</v>
      </c>
      <c r="T29" s="1">
        <f t="shared" ca="1" si="2"/>
        <v>76</v>
      </c>
      <c r="U29" s="1" t="s">
        <v>34</v>
      </c>
      <c r="V29" s="1" t="s">
        <v>34</v>
      </c>
      <c r="W29" s="1" t="s">
        <v>34</v>
      </c>
      <c r="X29" s="1" t="s">
        <v>2535</v>
      </c>
      <c r="Y29" s="1">
        <v>9.5</v>
      </c>
    </row>
    <row r="30" spans="1:25" x14ac:dyDescent="0.3">
      <c r="A30" s="1" t="s">
        <v>134</v>
      </c>
      <c r="B30" s="1" t="s">
        <v>45</v>
      </c>
      <c r="C30" s="1" t="s">
        <v>46</v>
      </c>
      <c r="D30" s="1" t="s">
        <v>47</v>
      </c>
      <c r="E30" s="1" t="s">
        <v>74</v>
      </c>
      <c r="F30" s="1" t="s">
        <v>54</v>
      </c>
      <c r="G30" s="2">
        <v>346.66</v>
      </c>
      <c r="H30" s="1">
        <v>10</v>
      </c>
      <c r="I30" s="1">
        <v>197</v>
      </c>
      <c r="J30" s="1">
        <v>187</v>
      </c>
      <c r="K30" s="1">
        <v>118</v>
      </c>
      <c r="L30" s="1">
        <v>82</v>
      </c>
      <c r="M30" s="1" t="s">
        <v>41</v>
      </c>
      <c r="N30" s="1" t="s">
        <v>60</v>
      </c>
      <c r="O30" s="1" t="s">
        <v>135</v>
      </c>
      <c r="P30" s="2">
        <v>242.66</v>
      </c>
      <c r="Q30" s="1" t="str">
        <f t="shared" si="0"/>
        <v>YES</v>
      </c>
      <c r="R30" s="2">
        <f t="shared" si="1"/>
        <v>311.99400000000003</v>
      </c>
      <c r="S30" s="2">
        <f>J30*G30</f>
        <v>64825.420000000006</v>
      </c>
      <c r="T30" s="1">
        <f t="shared" ca="1" si="2"/>
        <v>71</v>
      </c>
      <c r="U30" s="1" t="s">
        <v>34</v>
      </c>
      <c r="V30" s="1" t="s">
        <v>34</v>
      </c>
      <c r="W30" s="1" t="s">
        <v>34</v>
      </c>
      <c r="X30" s="1" t="s">
        <v>2542</v>
      </c>
      <c r="Y30" s="1">
        <v>5</v>
      </c>
    </row>
    <row r="31" spans="1:25" x14ac:dyDescent="0.3">
      <c r="A31" s="1" t="s">
        <v>136</v>
      </c>
      <c r="B31" s="1" t="s">
        <v>72</v>
      </c>
      <c r="C31" s="1" t="s">
        <v>73</v>
      </c>
      <c r="D31" s="1" t="s">
        <v>47</v>
      </c>
      <c r="E31" s="1" t="s">
        <v>74</v>
      </c>
      <c r="F31" s="1" t="s">
        <v>48</v>
      </c>
      <c r="G31" s="2">
        <v>293.64</v>
      </c>
      <c r="H31" s="1">
        <v>23</v>
      </c>
      <c r="I31" s="1">
        <v>109</v>
      </c>
      <c r="J31" s="1">
        <v>101</v>
      </c>
      <c r="K31" s="1">
        <v>110</v>
      </c>
      <c r="L31" s="1">
        <v>74</v>
      </c>
      <c r="M31" s="1" t="s">
        <v>41</v>
      </c>
      <c r="N31" s="1" t="s">
        <v>32</v>
      </c>
      <c r="O31" s="1" t="s">
        <v>137</v>
      </c>
      <c r="P31" s="2">
        <v>205.55</v>
      </c>
      <c r="Q31" s="1" t="str">
        <f t="shared" si="0"/>
        <v>NO</v>
      </c>
      <c r="R31" s="2">
        <f t="shared" si="1"/>
        <v>293.64</v>
      </c>
      <c r="S31" s="2">
        <f>J31*G31</f>
        <v>29657.64</v>
      </c>
      <c r="T31" s="1">
        <f t="shared" ca="1" si="2"/>
        <v>107</v>
      </c>
      <c r="U31" s="1" t="s">
        <v>34</v>
      </c>
      <c r="V31" s="1" t="s">
        <v>34</v>
      </c>
      <c r="W31" s="1" t="s">
        <v>34</v>
      </c>
      <c r="X31" s="1" t="s">
        <v>2543</v>
      </c>
      <c r="Y31" s="1">
        <v>5.5</v>
      </c>
    </row>
    <row r="32" spans="1:25" x14ac:dyDescent="0.3">
      <c r="A32" s="1" t="s">
        <v>138</v>
      </c>
      <c r="B32" s="1" t="s">
        <v>130</v>
      </c>
      <c r="C32" s="1" t="s">
        <v>131</v>
      </c>
      <c r="D32" s="1" t="s">
        <v>132</v>
      </c>
      <c r="E32" s="1" t="s">
        <v>29</v>
      </c>
      <c r="F32" s="1" t="s">
        <v>48</v>
      </c>
      <c r="G32" s="2">
        <v>203.44</v>
      </c>
      <c r="H32" s="1">
        <v>2</v>
      </c>
      <c r="I32" s="1">
        <v>251</v>
      </c>
      <c r="J32" s="1">
        <v>213</v>
      </c>
      <c r="K32" s="1">
        <v>112</v>
      </c>
      <c r="L32" s="1">
        <v>53</v>
      </c>
      <c r="M32" s="1" t="s">
        <v>31</v>
      </c>
      <c r="N32" s="1" t="s">
        <v>32</v>
      </c>
      <c r="O32" s="1" t="s">
        <v>139</v>
      </c>
      <c r="P32" s="2">
        <v>142.41</v>
      </c>
      <c r="Q32" s="1" t="str">
        <f t="shared" si="0"/>
        <v>YES</v>
      </c>
      <c r="R32" s="2">
        <f t="shared" si="1"/>
        <v>183.096</v>
      </c>
      <c r="S32" s="2">
        <f>J32*G32</f>
        <v>43332.72</v>
      </c>
      <c r="T32" s="1">
        <f t="shared" ca="1" si="2"/>
        <v>75</v>
      </c>
      <c r="U32" s="1" t="s">
        <v>34</v>
      </c>
      <c r="V32" s="1" t="s">
        <v>34</v>
      </c>
      <c r="W32" s="1" t="s">
        <v>34</v>
      </c>
      <c r="X32" s="1" t="s">
        <v>2544</v>
      </c>
      <c r="Y32" s="1">
        <v>6</v>
      </c>
    </row>
    <row r="33" spans="1:25" x14ac:dyDescent="0.3">
      <c r="A33" s="1" t="s">
        <v>140</v>
      </c>
      <c r="B33" s="1" t="s">
        <v>130</v>
      </c>
      <c r="C33" s="1" t="s">
        <v>131</v>
      </c>
      <c r="D33" s="1" t="s">
        <v>132</v>
      </c>
      <c r="E33" s="1" t="s">
        <v>29</v>
      </c>
      <c r="F33" s="1" t="s">
        <v>30</v>
      </c>
      <c r="G33" s="2">
        <v>144.72999999999999</v>
      </c>
      <c r="H33" s="1">
        <v>15</v>
      </c>
      <c r="I33" s="1">
        <v>144</v>
      </c>
      <c r="J33" s="1">
        <v>121</v>
      </c>
      <c r="K33" s="1">
        <v>101</v>
      </c>
      <c r="L33" s="1">
        <v>75</v>
      </c>
      <c r="M33" s="1" t="s">
        <v>31</v>
      </c>
      <c r="N33" s="1" t="s">
        <v>42</v>
      </c>
      <c r="O33" s="1" t="s">
        <v>141</v>
      </c>
      <c r="P33" s="2">
        <v>101.31</v>
      </c>
      <c r="Q33" s="1" t="str">
        <f t="shared" si="0"/>
        <v>YES</v>
      </c>
      <c r="R33" s="2">
        <f t="shared" si="1"/>
        <v>130.25700000000001</v>
      </c>
      <c r="S33" s="2">
        <f>J33*G33</f>
        <v>17512.329999999998</v>
      </c>
      <c r="T33" s="1">
        <f t="shared" ca="1" si="2"/>
        <v>118</v>
      </c>
      <c r="U33" s="1" t="s">
        <v>34</v>
      </c>
      <c r="V33" s="1" t="s">
        <v>34</v>
      </c>
      <c r="W33" s="1" t="s">
        <v>34</v>
      </c>
      <c r="X33" s="1" t="s">
        <v>2545</v>
      </c>
      <c r="Y33" s="1">
        <v>6.5</v>
      </c>
    </row>
    <row r="34" spans="1:25" x14ac:dyDescent="0.3">
      <c r="A34" s="1" t="s">
        <v>142</v>
      </c>
      <c r="B34" s="1" t="s">
        <v>143</v>
      </c>
      <c r="C34" s="1" t="s">
        <v>144</v>
      </c>
      <c r="D34" s="1" t="s">
        <v>47</v>
      </c>
      <c r="E34" s="1" t="s">
        <v>40</v>
      </c>
      <c r="F34" s="1" t="s">
        <v>48</v>
      </c>
      <c r="G34" s="2">
        <v>71.209999999999994</v>
      </c>
      <c r="H34" s="1">
        <v>8</v>
      </c>
      <c r="I34" s="1">
        <v>268</v>
      </c>
      <c r="J34" s="1">
        <v>234</v>
      </c>
      <c r="K34" s="1">
        <v>119</v>
      </c>
      <c r="L34" s="1">
        <v>85</v>
      </c>
      <c r="M34" s="1" t="s">
        <v>49</v>
      </c>
      <c r="N34" s="1" t="s">
        <v>60</v>
      </c>
      <c r="O34" s="1" t="s">
        <v>145</v>
      </c>
      <c r="P34" s="2">
        <v>49.85</v>
      </c>
      <c r="Q34" s="1" t="str">
        <f t="shared" si="0"/>
        <v>YES</v>
      </c>
      <c r="R34" s="2">
        <f t="shared" si="1"/>
        <v>64.088999999999999</v>
      </c>
      <c r="S34" s="2">
        <f>J34*G34</f>
        <v>16663.14</v>
      </c>
      <c r="T34" s="1">
        <f t="shared" ca="1" si="2"/>
        <v>68</v>
      </c>
      <c r="U34" s="1" t="s">
        <v>34</v>
      </c>
      <c r="V34" s="1" t="s">
        <v>34</v>
      </c>
      <c r="W34" s="1" t="s">
        <v>34</v>
      </c>
      <c r="X34" s="1" t="s">
        <v>2546</v>
      </c>
      <c r="Y34" s="1">
        <v>7</v>
      </c>
    </row>
    <row r="35" spans="1:25" x14ac:dyDescent="0.3">
      <c r="A35" s="1" t="s">
        <v>146</v>
      </c>
      <c r="B35" s="1" t="s">
        <v>123</v>
      </c>
      <c r="C35" s="1" t="s">
        <v>124</v>
      </c>
      <c r="D35" s="1" t="s">
        <v>47</v>
      </c>
      <c r="E35" s="1" t="s">
        <v>74</v>
      </c>
      <c r="F35" s="1" t="s">
        <v>30</v>
      </c>
      <c r="G35" s="2">
        <v>143.32</v>
      </c>
      <c r="H35" s="1">
        <v>10</v>
      </c>
      <c r="I35" s="1">
        <v>81</v>
      </c>
      <c r="J35" s="1">
        <v>70</v>
      </c>
      <c r="K35" s="1">
        <v>119</v>
      </c>
      <c r="L35" s="1">
        <v>98</v>
      </c>
      <c r="M35" s="1" t="s">
        <v>49</v>
      </c>
      <c r="N35" s="1" t="s">
        <v>60</v>
      </c>
      <c r="O35" s="1" t="s">
        <v>113</v>
      </c>
      <c r="P35" s="2">
        <v>100.32</v>
      </c>
      <c r="Q35" s="1" t="str">
        <f t="shared" si="0"/>
        <v>NO</v>
      </c>
      <c r="R35" s="2">
        <f t="shared" si="1"/>
        <v>143.32</v>
      </c>
      <c r="S35" s="2">
        <f>J35*G35</f>
        <v>10032.4</v>
      </c>
      <c r="T35" s="1">
        <f t="shared" ca="1" si="2"/>
        <v>82</v>
      </c>
      <c r="U35" s="1" t="s">
        <v>34</v>
      </c>
      <c r="V35" s="1" t="s">
        <v>34</v>
      </c>
      <c r="W35" s="1" t="s">
        <v>34</v>
      </c>
      <c r="X35" s="1" t="s">
        <v>2547</v>
      </c>
      <c r="Y35" s="1">
        <v>7.5</v>
      </c>
    </row>
    <row r="36" spans="1:25" x14ac:dyDescent="0.3">
      <c r="A36" s="1" t="s">
        <v>147</v>
      </c>
      <c r="B36" s="1" t="s">
        <v>57</v>
      </c>
      <c r="C36" s="1" t="s">
        <v>58</v>
      </c>
      <c r="D36" s="1" t="s">
        <v>59</v>
      </c>
      <c r="E36" s="1" t="s">
        <v>40</v>
      </c>
      <c r="F36" s="1" t="s">
        <v>48</v>
      </c>
      <c r="G36" s="2">
        <v>454.2</v>
      </c>
      <c r="H36" s="1">
        <v>4</v>
      </c>
      <c r="I36" s="1">
        <v>129</v>
      </c>
      <c r="J36" s="1">
        <v>109</v>
      </c>
      <c r="K36" s="1">
        <v>71</v>
      </c>
      <c r="L36" s="1">
        <v>101</v>
      </c>
      <c r="M36" s="1" t="s">
        <v>31</v>
      </c>
      <c r="N36" s="1" t="s">
        <v>42</v>
      </c>
      <c r="O36" s="1" t="s">
        <v>98</v>
      </c>
      <c r="P36" s="2">
        <v>317.94</v>
      </c>
      <c r="Q36" s="1" t="str">
        <f t="shared" si="0"/>
        <v>YES</v>
      </c>
      <c r="R36" s="2">
        <f t="shared" si="1"/>
        <v>408.78</v>
      </c>
      <c r="S36" s="2">
        <f>J36*G36</f>
        <v>49507.799999999996</v>
      </c>
      <c r="T36" s="1">
        <f t="shared" ca="1" si="2"/>
        <v>96</v>
      </c>
      <c r="U36" s="1" t="s">
        <v>34</v>
      </c>
      <c r="V36" s="1" t="s">
        <v>34</v>
      </c>
      <c r="W36" s="1" t="s">
        <v>34</v>
      </c>
      <c r="X36" s="1" t="s">
        <v>2528</v>
      </c>
      <c r="Y36" s="1">
        <v>8</v>
      </c>
    </row>
    <row r="37" spans="1:25" x14ac:dyDescent="0.3">
      <c r="A37" s="1" t="s">
        <v>148</v>
      </c>
      <c r="B37" s="1" t="s">
        <v>72</v>
      </c>
      <c r="C37" s="1" t="s">
        <v>73</v>
      </c>
      <c r="D37" s="1" t="s">
        <v>47</v>
      </c>
      <c r="E37" s="1" t="s">
        <v>74</v>
      </c>
      <c r="F37" s="1" t="s">
        <v>54</v>
      </c>
      <c r="G37" s="2">
        <v>160.9</v>
      </c>
      <c r="H37" s="1">
        <v>7</v>
      </c>
      <c r="I37" s="1">
        <v>155</v>
      </c>
      <c r="J37" s="1">
        <v>122</v>
      </c>
      <c r="K37" s="1">
        <v>94</v>
      </c>
      <c r="L37" s="1">
        <v>81</v>
      </c>
      <c r="M37" s="1" t="s">
        <v>31</v>
      </c>
      <c r="N37" s="1" t="s">
        <v>32</v>
      </c>
      <c r="O37" s="1" t="s">
        <v>121</v>
      </c>
      <c r="P37" s="2">
        <v>112.63</v>
      </c>
      <c r="Q37" s="1" t="str">
        <f t="shared" si="0"/>
        <v>YES</v>
      </c>
      <c r="R37" s="2">
        <f t="shared" si="1"/>
        <v>144.81</v>
      </c>
      <c r="S37" s="2">
        <f>J37*G37</f>
        <v>19629.8</v>
      </c>
      <c r="T37" s="1">
        <f t="shared" ca="1" si="2"/>
        <v>130</v>
      </c>
      <c r="U37" s="1" t="s">
        <v>34</v>
      </c>
      <c r="V37" s="1" t="s">
        <v>34</v>
      </c>
      <c r="W37" s="1" t="s">
        <v>34</v>
      </c>
      <c r="X37" s="1" t="s">
        <v>2548</v>
      </c>
      <c r="Y37" s="1">
        <v>8.5</v>
      </c>
    </row>
    <row r="38" spans="1:25" x14ac:dyDescent="0.3">
      <c r="A38" s="1" t="s">
        <v>149</v>
      </c>
      <c r="B38" s="1" t="s">
        <v>143</v>
      </c>
      <c r="C38" s="1" t="s">
        <v>144</v>
      </c>
      <c r="D38" s="1" t="s">
        <v>47</v>
      </c>
      <c r="E38" s="1" t="s">
        <v>74</v>
      </c>
      <c r="F38" s="1" t="s">
        <v>54</v>
      </c>
      <c r="G38" s="2">
        <v>320.38</v>
      </c>
      <c r="H38" s="1">
        <v>5</v>
      </c>
      <c r="I38" s="1">
        <v>283</v>
      </c>
      <c r="J38" s="1">
        <v>251</v>
      </c>
      <c r="K38" s="1">
        <v>94</v>
      </c>
      <c r="L38" s="1">
        <v>107</v>
      </c>
      <c r="M38" s="1" t="s">
        <v>41</v>
      </c>
      <c r="N38" s="1" t="s">
        <v>42</v>
      </c>
      <c r="O38" s="1" t="s">
        <v>150</v>
      </c>
      <c r="P38" s="2">
        <v>224.27</v>
      </c>
      <c r="Q38" s="1" t="str">
        <f t="shared" si="0"/>
        <v>YES</v>
      </c>
      <c r="R38" s="2">
        <f t="shared" si="1"/>
        <v>288.34199999999998</v>
      </c>
      <c r="S38" s="2">
        <f>J38*G38</f>
        <v>80415.38</v>
      </c>
      <c r="T38" s="1">
        <f t="shared" ca="1" si="2"/>
        <v>116</v>
      </c>
      <c r="U38" s="1" t="s">
        <v>34</v>
      </c>
      <c r="V38" s="1" t="s">
        <v>34</v>
      </c>
      <c r="W38" s="1" t="s">
        <v>34</v>
      </c>
      <c r="X38" s="1" t="s">
        <v>2523</v>
      </c>
      <c r="Y38" s="1">
        <v>9</v>
      </c>
    </row>
    <row r="39" spans="1:25" x14ac:dyDescent="0.3">
      <c r="A39" s="1" t="s">
        <v>151</v>
      </c>
      <c r="B39" s="1" t="s">
        <v>126</v>
      </c>
      <c r="C39" s="1" t="s">
        <v>127</v>
      </c>
      <c r="D39" s="1" t="s">
        <v>85</v>
      </c>
      <c r="E39" s="1" t="s">
        <v>74</v>
      </c>
      <c r="F39" s="1" t="s">
        <v>54</v>
      </c>
      <c r="G39" s="2">
        <v>117.47</v>
      </c>
      <c r="H39" s="1">
        <v>24</v>
      </c>
      <c r="I39" s="1">
        <v>294</v>
      </c>
      <c r="J39" s="1">
        <v>271</v>
      </c>
      <c r="K39" s="1">
        <v>120</v>
      </c>
      <c r="L39" s="1">
        <v>64</v>
      </c>
      <c r="M39" s="1" t="s">
        <v>49</v>
      </c>
      <c r="N39" s="1" t="s">
        <v>42</v>
      </c>
      <c r="O39" s="1" t="s">
        <v>141</v>
      </c>
      <c r="P39" s="2">
        <v>82.23</v>
      </c>
      <c r="Q39" s="1" t="str">
        <f t="shared" si="0"/>
        <v>YES</v>
      </c>
      <c r="R39" s="2">
        <f t="shared" si="1"/>
        <v>105.723</v>
      </c>
      <c r="S39" s="2">
        <f>J39*G39</f>
        <v>31834.37</v>
      </c>
      <c r="T39" s="1">
        <f t="shared" ca="1" si="2"/>
        <v>118</v>
      </c>
      <c r="U39" s="1" t="s">
        <v>34</v>
      </c>
      <c r="V39" s="1" t="s">
        <v>34</v>
      </c>
      <c r="W39" s="1" t="s">
        <v>34</v>
      </c>
      <c r="X39" s="1" t="s">
        <v>2549</v>
      </c>
      <c r="Y39" s="1">
        <v>9.5</v>
      </c>
    </row>
    <row r="40" spans="1:25" x14ac:dyDescent="0.3">
      <c r="A40" s="1" t="s">
        <v>152</v>
      </c>
      <c r="B40" s="1" t="s">
        <v>37</v>
      </c>
      <c r="C40" s="1" t="s">
        <v>38</v>
      </c>
      <c r="D40" s="1" t="s">
        <v>39</v>
      </c>
      <c r="E40" s="1" t="s">
        <v>74</v>
      </c>
      <c r="F40" s="1" t="s">
        <v>54</v>
      </c>
      <c r="G40" s="2">
        <v>412.95</v>
      </c>
      <c r="H40" s="1">
        <v>11</v>
      </c>
      <c r="I40" s="1">
        <v>230</v>
      </c>
      <c r="J40" s="1">
        <v>192</v>
      </c>
      <c r="K40" s="1">
        <v>49</v>
      </c>
      <c r="L40" s="1">
        <v>71</v>
      </c>
      <c r="M40" s="1" t="s">
        <v>49</v>
      </c>
      <c r="N40" s="1" t="s">
        <v>60</v>
      </c>
      <c r="O40" s="1" t="s">
        <v>153</v>
      </c>
      <c r="P40" s="2">
        <v>289.06</v>
      </c>
      <c r="Q40" s="1" t="str">
        <f t="shared" si="0"/>
        <v>YES</v>
      </c>
      <c r="R40" s="2">
        <f t="shared" si="1"/>
        <v>371.65499999999997</v>
      </c>
      <c r="S40" s="2">
        <f>J40*G40</f>
        <v>79286.399999999994</v>
      </c>
      <c r="T40" s="1">
        <f t="shared" ca="1" si="2"/>
        <v>135</v>
      </c>
      <c r="U40" s="1" t="s">
        <v>34</v>
      </c>
      <c r="V40" s="1" t="s">
        <v>34</v>
      </c>
      <c r="W40" s="1" t="s">
        <v>34</v>
      </c>
      <c r="X40" s="1" t="s">
        <v>2550</v>
      </c>
      <c r="Y40" s="1">
        <v>5</v>
      </c>
    </row>
    <row r="41" spans="1:25" x14ac:dyDescent="0.3">
      <c r="A41" s="1" t="s">
        <v>154</v>
      </c>
      <c r="B41" s="1" t="s">
        <v>102</v>
      </c>
      <c r="C41" s="1" t="s">
        <v>103</v>
      </c>
      <c r="D41" s="1" t="s">
        <v>104</v>
      </c>
      <c r="E41" s="1" t="s">
        <v>29</v>
      </c>
      <c r="F41" s="1" t="s">
        <v>30</v>
      </c>
      <c r="G41" s="2">
        <v>142.84</v>
      </c>
      <c r="H41" s="1">
        <v>22</v>
      </c>
      <c r="I41" s="1">
        <v>265</v>
      </c>
      <c r="J41" s="1">
        <v>255</v>
      </c>
      <c r="K41" s="1">
        <v>61</v>
      </c>
      <c r="L41" s="1">
        <v>73</v>
      </c>
      <c r="M41" s="1" t="s">
        <v>49</v>
      </c>
      <c r="N41" s="1" t="s">
        <v>60</v>
      </c>
      <c r="O41" s="1" t="s">
        <v>121</v>
      </c>
      <c r="P41" s="2">
        <v>99.99</v>
      </c>
      <c r="Q41" s="1" t="str">
        <f t="shared" si="0"/>
        <v>YES</v>
      </c>
      <c r="R41" s="2">
        <f t="shared" si="1"/>
        <v>128.55600000000001</v>
      </c>
      <c r="S41" s="2">
        <f>J41*G41</f>
        <v>36424.200000000004</v>
      </c>
      <c r="T41" s="1">
        <f t="shared" ca="1" si="2"/>
        <v>130</v>
      </c>
      <c r="U41" s="1" t="s">
        <v>34</v>
      </c>
      <c r="V41" s="1" t="s">
        <v>34</v>
      </c>
      <c r="W41" s="1" t="s">
        <v>34</v>
      </c>
      <c r="X41" s="1" t="s">
        <v>2551</v>
      </c>
      <c r="Y41" s="1">
        <v>5.5</v>
      </c>
    </row>
    <row r="42" spans="1:25" x14ac:dyDescent="0.3">
      <c r="A42" s="1" t="s">
        <v>155</v>
      </c>
      <c r="B42" s="1" t="s">
        <v>57</v>
      </c>
      <c r="C42" s="1" t="s">
        <v>58</v>
      </c>
      <c r="D42" s="1" t="s">
        <v>59</v>
      </c>
      <c r="E42" s="1" t="s">
        <v>29</v>
      </c>
      <c r="F42" s="1" t="s">
        <v>54</v>
      </c>
      <c r="G42" s="2">
        <v>480.06</v>
      </c>
      <c r="H42" s="1">
        <v>20</v>
      </c>
      <c r="I42" s="1">
        <v>166</v>
      </c>
      <c r="J42" s="1">
        <v>158</v>
      </c>
      <c r="K42" s="1">
        <v>42</v>
      </c>
      <c r="L42" s="1">
        <v>65</v>
      </c>
      <c r="M42" s="1" t="s">
        <v>41</v>
      </c>
      <c r="N42" s="1" t="s">
        <v>32</v>
      </c>
      <c r="O42" s="1" t="s">
        <v>50</v>
      </c>
      <c r="P42" s="2">
        <v>336.04</v>
      </c>
      <c r="Q42" s="1" t="str">
        <f t="shared" si="0"/>
        <v>YES</v>
      </c>
      <c r="R42" s="2">
        <f t="shared" si="1"/>
        <v>432.05400000000003</v>
      </c>
      <c r="S42" s="2">
        <f>J42*G42</f>
        <v>75849.48</v>
      </c>
      <c r="T42" s="1">
        <f t="shared" ca="1" si="2"/>
        <v>114</v>
      </c>
      <c r="U42" s="1" t="s">
        <v>34</v>
      </c>
      <c r="V42" s="1" t="s">
        <v>34</v>
      </c>
      <c r="W42" s="1" t="s">
        <v>34</v>
      </c>
      <c r="X42" s="1" t="s">
        <v>2552</v>
      </c>
      <c r="Y42" s="1">
        <v>6</v>
      </c>
    </row>
    <row r="43" spans="1:25" x14ac:dyDescent="0.3">
      <c r="A43" s="1" t="s">
        <v>156</v>
      </c>
      <c r="B43" s="1" t="s">
        <v>77</v>
      </c>
      <c r="C43" s="1" t="s">
        <v>78</v>
      </c>
      <c r="D43" s="1" t="s">
        <v>47</v>
      </c>
      <c r="E43" s="1" t="s">
        <v>40</v>
      </c>
      <c r="F43" s="1" t="s">
        <v>30</v>
      </c>
      <c r="G43" s="2">
        <v>120.12</v>
      </c>
      <c r="H43" s="1">
        <v>13</v>
      </c>
      <c r="I43" s="1">
        <v>179</v>
      </c>
      <c r="J43" s="1">
        <v>158</v>
      </c>
      <c r="K43" s="1">
        <v>87</v>
      </c>
      <c r="L43" s="1">
        <v>136</v>
      </c>
      <c r="M43" s="1" t="s">
        <v>41</v>
      </c>
      <c r="N43" s="1" t="s">
        <v>60</v>
      </c>
      <c r="O43" s="1" t="s">
        <v>157</v>
      </c>
      <c r="P43" s="2">
        <v>84.08</v>
      </c>
      <c r="Q43" s="1" t="str">
        <f t="shared" si="0"/>
        <v>YES</v>
      </c>
      <c r="R43" s="2">
        <f t="shared" si="1"/>
        <v>108.108</v>
      </c>
      <c r="S43" s="2">
        <f>J43*G43</f>
        <v>18978.96</v>
      </c>
      <c r="T43" s="1">
        <f t="shared" ca="1" si="2"/>
        <v>103</v>
      </c>
      <c r="U43" s="1" t="s">
        <v>34</v>
      </c>
      <c r="V43" s="1" t="s">
        <v>34</v>
      </c>
      <c r="W43" s="1" t="s">
        <v>34</v>
      </c>
      <c r="X43" s="1" t="s">
        <v>2553</v>
      </c>
      <c r="Y43" s="1">
        <v>6.5</v>
      </c>
    </row>
    <row r="44" spans="1:25" x14ac:dyDescent="0.3">
      <c r="A44" s="1" t="s">
        <v>158</v>
      </c>
      <c r="B44" s="1" t="s">
        <v>118</v>
      </c>
      <c r="C44" s="1" t="s">
        <v>119</v>
      </c>
      <c r="D44" s="1" t="s">
        <v>97</v>
      </c>
      <c r="E44" s="1" t="s">
        <v>29</v>
      </c>
      <c r="F44" s="1" t="s">
        <v>48</v>
      </c>
      <c r="G44" s="2">
        <v>230.14</v>
      </c>
      <c r="H44" s="1">
        <v>12</v>
      </c>
      <c r="I44" s="1">
        <v>276</v>
      </c>
      <c r="J44" s="1">
        <v>240</v>
      </c>
      <c r="K44" s="1">
        <v>54</v>
      </c>
      <c r="L44" s="1">
        <v>137</v>
      </c>
      <c r="M44" s="1" t="s">
        <v>49</v>
      </c>
      <c r="N44" s="1" t="s">
        <v>42</v>
      </c>
      <c r="O44" s="1" t="s">
        <v>159</v>
      </c>
      <c r="P44" s="2">
        <v>161.1</v>
      </c>
      <c r="Q44" s="1" t="str">
        <f t="shared" si="0"/>
        <v>YES</v>
      </c>
      <c r="R44" s="2">
        <f t="shared" si="1"/>
        <v>207.126</v>
      </c>
      <c r="S44" s="2">
        <f>J44*G44</f>
        <v>55233.599999999999</v>
      </c>
      <c r="T44" s="1">
        <f t="shared" ca="1" si="2"/>
        <v>134</v>
      </c>
      <c r="U44" s="1" t="s">
        <v>34</v>
      </c>
      <c r="V44" s="1" t="s">
        <v>34</v>
      </c>
      <c r="W44" s="1" t="s">
        <v>34</v>
      </c>
      <c r="X44" s="1" t="s">
        <v>2554</v>
      </c>
      <c r="Y44" s="1">
        <v>7</v>
      </c>
    </row>
    <row r="45" spans="1:25" x14ac:dyDescent="0.3">
      <c r="A45" s="1" t="s">
        <v>160</v>
      </c>
      <c r="B45" s="1" t="s">
        <v>83</v>
      </c>
      <c r="C45" s="1" t="s">
        <v>84</v>
      </c>
      <c r="D45" s="1" t="s">
        <v>85</v>
      </c>
      <c r="E45" s="1" t="s">
        <v>74</v>
      </c>
      <c r="F45" s="1" t="s">
        <v>30</v>
      </c>
      <c r="G45" s="2">
        <v>182.91</v>
      </c>
      <c r="H45" s="1">
        <v>13</v>
      </c>
      <c r="I45" s="1">
        <v>160</v>
      </c>
      <c r="J45" s="1">
        <v>151</v>
      </c>
      <c r="K45" s="1">
        <v>110</v>
      </c>
      <c r="L45" s="1">
        <v>58</v>
      </c>
      <c r="M45" s="1" t="s">
        <v>31</v>
      </c>
      <c r="N45" s="1" t="s">
        <v>60</v>
      </c>
      <c r="O45" s="1" t="s">
        <v>161</v>
      </c>
      <c r="P45" s="2">
        <v>128.04</v>
      </c>
      <c r="Q45" s="1" t="str">
        <f t="shared" si="0"/>
        <v>YES</v>
      </c>
      <c r="R45" s="2">
        <f t="shared" si="1"/>
        <v>164.619</v>
      </c>
      <c r="S45" s="2">
        <f>J45*G45</f>
        <v>27619.41</v>
      </c>
      <c r="T45" s="1">
        <f t="shared" ca="1" si="2"/>
        <v>69</v>
      </c>
      <c r="U45" s="1" t="s">
        <v>34</v>
      </c>
      <c r="V45" s="1" t="s">
        <v>34</v>
      </c>
      <c r="W45" s="1" t="s">
        <v>34</v>
      </c>
      <c r="X45" s="1" t="s">
        <v>2555</v>
      </c>
      <c r="Y45" s="1">
        <v>7.5</v>
      </c>
    </row>
    <row r="46" spans="1:25" x14ac:dyDescent="0.3">
      <c r="A46" s="1" t="s">
        <v>162</v>
      </c>
      <c r="B46" s="1" t="s">
        <v>118</v>
      </c>
      <c r="C46" s="1" t="s">
        <v>119</v>
      </c>
      <c r="D46" s="1" t="s">
        <v>97</v>
      </c>
      <c r="E46" s="1" t="s">
        <v>74</v>
      </c>
      <c r="F46" s="1" t="s">
        <v>48</v>
      </c>
      <c r="G46" s="2">
        <v>317.83999999999997</v>
      </c>
      <c r="H46" s="1">
        <v>21</v>
      </c>
      <c r="I46" s="1">
        <v>292</v>
      </c>
      <c r="J46" s="1">
        <v>288</v>
      </c>
      <c r="K46" s="1">
        <v>77</v>
      </c>
      <c r="L46" s="1">
        <v>115</v>
      </c>
      <c r="M46" s="1" t="s">
        <v>31</v>
      </c>
      <c r="N46" s="1" t="s">
        <v>60</v>
      </c>
      <c r="O46" s="1" t="s">
        <v>55</v>
      </c>
      <c r="P46" s="2">
        <v>222.49</v>
      </c>
      <c r="Q46" s="1" t="str">
        <f t="shared" si="0"/>
        <v>YES</v>
      </c>
      <c r="R46" s="2">
        <f t="shared" si="1"/>
        <v>286.05599999999998</v>
      </c>
      <c r="S46" s="2">
        <f>J46*G46</f>
        <v>91537.919999999998</v>
      </c>
      <c r="T46" s="1">
        <f t="shared" ca="1" si="2"/>
        <v>91</v>
      </c>
      <c r="U46" s="1" t="s">
        <v>34</v>
      </c>
      <c r="V46" s="1" t="s">
        <v>34</v>
      </c>
      <c r="W46" s="1" t="s">
        <v>34</v>
      </c>
      <c r="X46" s="1" t="s">
        <v>2556</v>
      </c>
      <c r="Y46" s="1">
        <v>8</v>
      </c>
    </row>
    <row r="47" spans="1:25" x14ac:dyDescent="0.3">
      <c r="A47" s="1" t="s">
        <v>163</v>
      </c>
      <c r="B47" s="1" t="s">
        <v>69</v>
      </c>
      <c r="C47" s="1" t="s">
        <v>70</v>
      </c>
      <c r="D47" s="1" t="s">
        <v>59</v>
      </c>
      <c r="E47" s="1" t="s">
        <v>40</v>
      </c>
      <c r="F47" s="1" t="s">
        <v>48</v>
      </c>
      <c r="G47" s="2">
        <v>270.26</v>
      </c>
      <c r="H47" s="1">
        <v>2</v>
      </c>
      <c r="I47" s="1">
        <v>268</v>
      </c>
      <c r="J47" s="1">
        <v>232</v>
      </c>
      <c r="K47" s="1">
        <v>65</v>
      </c>
      <c r="L47" s="1">
        <v>127</v>
      </c>
      <c r="M47" s="1" t="s">
        <v>31</v>
      </c>
      <c r="N47" s="1" t="s">
        <v>42</v>
      </c>
      <c r="O47" s="1" t="s">
        <v>164</v>
      </c>
      <c r="P47" s="2">
        <v>189.18</v>
      </c>
      <c r="Q47" s="1" t="str">
        <f t="shared" si="0"/>
        <v>YES</v>
      </c>
      <c r="R47" s="2">
        <f t="shared" si="1"/>
        <v>243.23400000000001</v>
      </c>
      <c r="S47" s="2">
        <f>J47*G47</f>
        <v>62700.32</v>
      </c>
      <c r="T47" s="1">
        <f t="shared" ca="1" si="2"/>
        <v>126</v>
      </c>
      <c r="U47" s="1" t="s">
        <v>34</v>
      </c>
      <c r="V47" s="1" t="s">
        <v>34</v>
      </c>
      <c r="W47" s="1" t="s">
        <v>34</v>
      </c>
      <c r="X47" s="1" t="s">
        <v>2557</v>
      </c>
      <c r="Y47" s="1">
        <v>8.5</v>
      </c>
    </row>
    <row r="48" spans="1:25" x14ac:dyDescent="0.3">
      <c r="A48" s="1" t="s">
        <v>165</v>
      </c>
      <c r="B48" s="1" t="s">
        <v>166</v>
      </c>
      <c r="C48" s="1" t="s">
        <v>167</v>
      </c>
      <c r="D48" s="1" t="s">
        <v>59</v>
      </c>
      <c r="E48" s="1" t="s">
        <v>74</v>
      </c>
      <c r="F48" s="1" t="s">
        <v>48</v>
      </c>
      <c r="G48" s="2">
        <v>46.12</v>
      </c>
      <c r="H48" s="1">
        <v>10</v>
      </c>
      <c r="I48" s="1">
        <v>226</v>
      </c>
      <c r="J48" s="1">
        <v>210</v>
      </c>
      <c r="K48" s="1">
        <v>51</v>
      </c>
      <c r="L48" s="1">
        <v>142</v>
      </c>
      <c r="M48" s="1" t="s">
        <v>41</v>
      </c>
      <c r="N48" s="1" t="s">
        <v>32</v>
      </c>
      <c r="O48" s="1" t="s">
        <v>121</v>
      </c>
      <c r="P48" s="2">
        <v>32.28</v>
      </c>
      <c r="Q48" s="1" t="str">
        <f t="shared" si="0"/>
        <v>YES</v>
      </c>
      <c r="R48" s="2">
        <f t="shared" si="1"/>
        <v>41.507999999999996</v>
      </c>
      <c r="S48" s="2">
        <f>J48*G48</f>
        <v>9685.1999999999989</v>
      </c>
      <c r="T48" s="1">
        <f t="shared" ca="1" si="2"/>
        <v>130</v>
      </c>
      <c r="U48" s="1" t="s">
        <v>34</v>
      </c>
      <c r="V48" s="1" t="s">
        <v>34</v>
      </c>
      <c r="W48" s="1" t="s">
        <v>34</v>
      </c>
      <c r="X48" s="1" t="s">
        <v>2558</v>
      </c>
      <c r="Y48" s="1">
        <v>9</v>
      </c>
    </row>
    <row r="49" spans="1:25" x14ac:dyDescent="0.3">
      <c r="A49" s="1" t="s">
        <v>168</v>
      </c>
      <c r="B49" s="1" t="s">
        <v>83</v>
      </c>
      <c r="C49" s="1" t="s">
        <v>84</v>
      </c>
      <c r="D49" s="1" t="s">
        <v>85</v>
      </c>
      <c r="E49" s="1" t="s">
        <v>29</v>
      </c>
      <c r="F49" s="1" t="s">
        <v>30</v>
      </c>
      <c r="G49" s="2">
        <v>365.94</v>
      </c>
      <c r="H49" s="1">
        <v>0</v>
      </c>
      <c r="I49" s="1">
        <v>181</v>
      </c>
      <c r="J49" s="1">
        <v>161</v>
      </c>
      <c r="K49" s="1">
        <v>44</v>
      </c>
      <c r="L49" s="1">
        <v>54</v>
      </c>
      <c r="M49" s="1" t="s">
        <v>31</v>
      </c>
      <c r="N49" s="1" t="s">
        <v>60</v>
      </c>
      <c r="O49" s="1" t="s">
        <v>61</v>
      </c>
      <c r="P49" s="2">
        <v>256.16000000000003</v>
      </c>
      <c r="Q49" s="1" t="str">
        <f t="shared" si="0"/>
        <v>YES</v>
      </c>
      <c r="R49" s="2">
        <f t="shared" si="1"/>
        <v>329.346</v>
      </c>
      <c r="S49" s="2">
        <f>J49*G49</f>
        <v>58916.34</v>
      </c>
      <c r="T49" s="1">
        <f t="shared" ca="1" si="2"/>
        <v>73</v>
      </c>
      <c r="U49" s="1" t="s">
        <v>34</v>
      </c>
      <c r="V49" s="1" t="s">
        <v>34</v>
      </c>
      <c r="W49" s="1" t="s">
        <v>34</v>
      </c>
      <c r="X49" s="1" t="s">
        <v>2559</v>
      </c>
      <c r="Y49" s="1">
        <v>9.5</v>
      </c>
    </row>
    <row r="50" spans="1:25" x14ac:dyDescent="0.3">
      <c r="A50" s="1" t="s">
        <v>169</v>
      </c>
      <c r="B50" s="1" t="s">
        <v>83</v>
      </c>
      <c r="C50" s="1" t="s">
        <v>84</v>
      </c>
      <c r="D50" s="1" t="s">
        <v>85</v>
      </c>
      <c r="E50" s="1" t="s">
        <v>74</v>
      </c>
      <c r="F50" s="1" t="s">
        <v>30</v>
      </c>
      <c r="G50" s="2">
        <v>462.75</v>
      </c>
      <c r="H50" s="1">
        <v>3</v>
      </c>
      <c r="I50" s="1">
        <v>85</v>
      </c>
      <c r="J50" s="1">
        <v>59</v>
      </c>
      <c r="K50" s="1">
        <v>41</v>
      </c>
      <c r="L50" s="1">
        <v>150</v>
      </c>
      <c r="M50" s="1" t="s">
        <v>31</v>
      </c>
      <c r="N50" s="1" t="s">
        <v>32</v>
      </c>
      <c r="O50" s="1" t="s">
        <v>170</v>
      </c>
      <c r="P50" s="2">
        <v>323.92</v>
      </c>
      <c r="Q50" s="1" t="str">
        <f t="shared" si="0"/>
        <v>YES</v>
      </c>
      <c r="R50" s="2">
        <f t="shared" si="1"/>
        <v>416.47500000000002</v>
      </c>
      <c r="S50" s="2">
        <f>J50*G50</f>
        <v>27302.25</v>
      </c>
      <c r="T50" s="1">
        <f t="shared" ca="1" si="2"/>
        <v>95</v>
      </c>
      <c r="U50" s="1" t="s">
        <v>34</v>
      </c>
      <c r="V50" s="1" t="s">
        <v>34</v>
      </c>
      <c r="W50" s="1" t="s">
        <v>34</v>
      </c>
      <c r="X50" s="1" t="s">
        <v>2560</v>
      </c>
      <c r="Y50" s="1">
        <v>5</v>
      </c>
    </row>
    <row r="51" spans="1:25" x14ac:dyDescent="0.3">
      <c r="A51" s="1" t="s">
        <v>171</v>
      </c>
      <c r="B51" s="1" t="s">
        <v>172</v>
      </c>
      <c r="C51" s="1" t="s">
        <v>173</v>
      </c>
      <c r="D51" s="1" t="s">
        <v>132</v>
      </c>
      <c r="E51" s="1" t="s">
        <v>74</v>
      </c>
      <c r="F51" s="1" t="s">
        <v>48</v>
      </c>
      <c r="G51" s="2">
        <v>106.82</v>
      </c>
      <c r="H51" s="1">
        <v>6</v>
      </c>
      <c r="I51" s="1">
        <v>296</v>
      </c>
      <c r="J51" s="1">
        <v>273</v>
      </c>
      <c r="K51" s="1">
        <v>103</v>
      </c>
      <c r="L51" s="1">
        <v>116</v>
      </c>
      <c r="M51" s="1" t="s">
        <v>49</v>
      </c>
      <c r="N51" s="1" t="s">
        <v>60</v>
      </c>
      <c r="O51" s="1" t="s">
        <v>174</v>
      </c>
      <c r="P51" s="2">
        <v>74.77</v>
      </c>
      <c r="Q51" s="1" t="str">
        <f t="shared" si="0"/>
        <v>YES</v>
      </c>
      <c r="R51" s="2">
        <f t="shared" si="1"/>
        <v>96.137999999999991</v>
      </c>
      <c r="S51" s="2">
        <f>J51*G51</f>
        <v>29161.859999999997</v>
      </c>
      <c r="T51" s="1">
        <f t="shared" ca="1" si="2"/>
        <v>88</v>
      </c>
      <c r="U51" s="1" t="s">
        <v>34</v>
      </c>
      <c r="V51" s="1" t="s">
        <v>34</v>
      </c>
      <c r="W51" s="1" t="s">
        <v>34</v>
      </c>
      <c r="X51" s="1" t="s">
        <v>2561</v>
      </c>
      <c r="Y51" s="1">
        <v>5.5</v>
      </c>
    </row>
    <row r="52" spans="1:25" x14ac:dyDescent="0.3">
      <c r="A52" s="1" t="s">
        <v>175</v>
      </c>
      <c r="B52" s="1" t="s">
        <v>176</v>
      </c>
      <c r="C52" s="1" t="s">
        <v>177</v>
      </c>
      <c r="D52" s="1" t="s">
        <v>39</v>
      </c>
      <c r="E52" s="1" t="s">
        <v>40</v>
      </c>
      <c r="F52" s="1" t="s">
        <v>48</v>
      </c>
      <c r="G52" s="2">
        <v>144.83000000000001</v>
      </c>
      <c r="H52" s="1">
        <v>0</v>
      </c>
      <c r="I52" s="1">
        <v>199</v>
      </c>
      <c r="J52" s="1">
        <v>165</v>
      </c>
      <c r="K52" s="1">
        <v>104</v>
      </c>
      <c r="L52" s="1">
        <v>137</v>
      </c>
      <c r="M52" s="1" t="s">
        <v>31</v>
      </c>
      <c r="N52" s="1" t="s">
        <v>60</v>
      </c>
      <c r="O52" s="1" t="s">
        <v>178</v>
      </c>
      <c r="P52" s="2">
        <v>101.38</v>
      </c>
      <c r="Q52" s="1" t="str">
        <f t="shared" si="0"/>
        <v>YES</v>
      </c>
      <c r="R52" s="2">
        <f t="shared" si="1"/>
        <v>130.34700000000001</v>
      </c>
      <c r="S52" s="2">
        <f>J52*G52</f>
        <v>23896.95</v>
      </c>
      <c r="T52" s="1">
        <f t="shared" ca="1" si="2"/>
        <v>90</v>
      </c>
      <c r="U52" s="1" t="s">
        <v>34</v>
      </c>
      <c r="V52" s="1" t="s">
        <v>34</v>
      </c>
      <c r="W52" s="1" t="s">
        <v>34</v>
      </c>
      <c r="X52" s="1" t="s">
        <v>2562</v>
      </c>
      <c r="Y52" s="1">
        <v>6</v>
      </c>
    </row>
    <row r="53" spans="1:25" x14ac:dyDescent="0.3">
      <c r="A53" s="1" t="s">
        <v>179</v>
      </c>
      <c r="B53" s="1" t="s">
        <v>26</v>
      </c>
      <c r="C53" s="1" t="s">
        <v>27</v>
      </c>
      <c r="D53" s="1" t="s">
        <v>28</v>
      </c>
      <c r="E53" s="1" t="s">
        <v>40</v>
      </c>
      <c r="F53" s="1" t="s">
        <v>54</v>
      </c>
      <c r="G53" s="2">
        <v>269.27999999999997</v>
      </c>
      <c r="H53" s="1">
        <v>10</v>
      </c>
      <c r="I53" s="1">
        <v>137</v>
      </c>
      <c r="J53" s="1">
        <v>114</v>
      </c>
      <c r="K53" s="1">
        <v>94</v>
      </c>
      <c r="L53" s="1">
        <v>55</v>
      </c>
      <c r="M53" s="1" t="s">
        <v>31</v>
      </c>
      <c r="N53" s="1" t="s">
        <v>42</v>
      </c>
      <c r="O53" s="1" t="s">
        <v>180</v>
      </c>
      <c r="P53" s="2">
        <v>188.5</v>
      </c>
      <c r="Q53" s="1" t="str">
        <f t="shared" si="0"/>
        <v>YES</v>
      </c>
      <c r="R53" s="2">
        <f t="shared" si="1"/>
        <v>242.35199999999998</v>
      </c>
      <c r="S53" s="2">
        <f>J53*G53</f>
        <v>30697.919999999998</v>
      </c>
      <c r="T53" s="1">
        <f t="shared" ca="1" si="2"/>
        <v>122</v>
      </c>
      <c r="U53" s="1" t="s">
        <v>34</v>
      </c>
      <c r="V53" s="1" t="s">
        <v>34</v>
      </c>
      <c r="W53" s="1" t="s">
        <v>34</v>
      </c>
      <c r="X53" s="1" t="s">
        <v>2563</v>
      </c>
      <c r="Y53" s="1">
        <v>6.5</v>
      </c>
    </row>
    <row r="54" spans="1:25" x14ac:dyDescent="0.3">
      <c r="A54" s="1" t="s">
        <v>181</v>
      </c>
      <c r="B54" s="1" t="s">
        <v>102</v>
      </c>
      <c r="C54" s="1" t="s">
        <v>103</v>
      </c>
      <c r="D54" s="1" t="s">
        <v>104</v>
      </c>
      <c r="E54" s="1" t="s">
        <v>29</v>
      </c>
      <c r="F54" s="1" t="s">
        <v>30</v>
      </c>
      <c r="G54" s="2">
        <v>86.26</v>
      </c>
      <c r="H54" s="1">
        <v>10</v>
      </c>
      <c r="I54" s="1">
        <v>207</v>
      </c>
      <c r="J54" s="1">
        <v>207</v>
      </c>
      <c r="K54" s="1">
        <v>96</v>
      </c>
      <c r="L54" s="1">
        <v>141</v>
      </c>
      <c r="M54" s="1" t="s">
        <v>41</v>
      </c>
      <c r="N54" s="1" t="s">
        <v>32</v>
      </c>
      <c r="O54" s="1" t="s">
        <v>128</v>
      </c>
      <c r="P54" s="2">
        <v>60.38</v>
      </c>
      <c r="Q54" s="1" t="str">
        <f t="shared" si="0"/>
        <v>YES</v>
      </c>
      <c r="R54" s="2">
        <f t="shared" si="1"/>
        <v>77.634</v>
      </c>
      <c r="S54" s="2">
        <f>J54*G54</f>
        <v>17855.82</v>
      </c>
      <c r="T54" s="1">
        <f t="shared" ca="1" si="2"/>
        <v>77</v>
      </c>
      <c r="U54" s="1" t="s">
        <v>34</v>
      </c>
      <c r="V54" s="1" t="s">
        <v>34</v>
      </c>
      <c r="W54" s="1" t="s">
        <v>34</v>
      </c>
      <c r="X54" s="1" t="s">
        <v>2564</v>
      </c>
      <c r="Y54" s="1">
        <v>7</v>
      </c>
    </row>
    <row r="55" spans="1:25" x14ac:dyDescent="0.3">
      <c r="A55" s="1" t="s">
        <v>182</v>
      </c>
      <c r="B55" s="1" t="s">
        <v>52</v>
      </c>
      <c r="C55" s="1" t="s">
        <v>53</v>
      </c>
      <c r="D55" s="1" t="s">
        <v>47</v>
      </c>
      <c r="E55" s="1" t="s">
        <v>40</v>
      </c>
      <c r="F55" s="1" t="s">
        <v>48</v>
      </c>
      <c r="G55" s="2">
        <v>169.68</v>
      </c>
      <c r="H55" s="1">
        <v>22</v>
      </c>
      <c r="I55" s="1">
        <v>163</v>
      </c>
      <c r="J55" s="1">
        <v>145</v>
      </c>
      <c r="K55" s="1">
        <v>70</v>
      </c>
      <c r="L55" s="1">
        <v>80</v>
      </c>
      <c r="M55" s="1" t="s">
        <v>31</v>
      </c>
      <c r="N55" s="1" t="s">
        <v>32</v>
      </c>
      <c r="O55" s="1" t="s">
        <v>183</v>
      </c>
      <c r="P55" s="2">
        <v>118.78</v>
      </c>
      <c r="Q55" s="1" t="str">
        <f t="shared" si="0"/>
        <v>YES</v>
      </c>
      <c r="R55" s="2">
        <f t="shared" si="1"/>
        <v>152.71200000000002</v>
      </c>
      <c r="S55" s="2">
        <f>J55*G55</f>
        <v>24603.600000000002</v>
      </c>
      <c r="T55" s="1">
        <f t="shared" ca="1" si="2"/>
        <v>115</v>
      </c>
      <c r="U55" s="1" t="s">
        <v>34</v>
      </c>
      <c r="V55" s="1" t="s">
        <v>34</v>
      </c>
      <c r="W55" s="1" t="s">
        <v>34</v>
      </c>
      <c r="X55" s="1" t="s">
        <v>2565</v>
      </c>
      <c r="Y55" s="1">
        <v>7.5</v>
      </c>
    </row>
    <row r="56" spans="1:25" x14ac:dyDescent="0.3">
      <c r="A56" s="1" t="s">
        <v>184</v>
      </c>
      <c r="B56" s="1" t="s">
        <v>95</v>
      </c>
      <c r="C56" s="1" t="s">
        <v>96</v>
      </c>
      <c r="D56" s="1" t="s">
        <v>97</v>
      </c>
      <c r="E56" s="1" t="s">
        <v>29</v>
      </c>
      <c r="F56" s="1" t="s">
        <v>54</v>
      </c>
      <c r="G56" s="2">
        <v>81.73</v>
      </c>
      <c r="H56" s="1">
        <v>19</v>
      </c>
      <c r="I56" s="1">
        <v>287</v>
      </c>
      <c r="J56" s="1">
        <v>251</v>
      </c>
      <c r="K56" s="1">
        <v>74</v>
      </c>
      <c r="L56" s="1">
        <v>98</v>
      </c>
      <c r="M56" s="1" t="s">
        <v>49</v>
      </c>
      <c r="N56" s="1" t="s">
        <v>32</v>
      </c>
      <c r="O56" s="1" t="s">
        <v>185</v>
      </c>
      <c r="P56" s="2">
        <v>57.21</v>
      </c>
      <c r="Q56" s="1" t="str">
        <f t="shared" si="0"/>
        <v>YES</v>
      </c>
      <c r="R56" s="2">
        <f t="shared" si="1"/>
        <v>73.557000000000002</v>
      </c>
      <c r="S56" s="2">
        <f>J56*G56</f>
        <v>20514.23</v>
      </c>
      <c r="T56" s="1">
        <f t="shared" ca="1" si="2"/>
        <v>104</v>
      </c>
      <c r="U56" s="1" t="s">
        <v>34</v>
      </c>
      <c r="V56" s="1" t="s">
        <v>34</v>
      </c>
      <c r="W56" s="1" t="s">
        <v>34</v>
      </c>
      <c r="X56" s="1" t="s">
        <v>2566</v>
      </c>
      <c r="Y56" s="1">
        <v>8</v>
      </c>
    </row>
    <row r="57" spans="1:25" x14ac:dyDescent="0.3">
      <c r="A57" s="1" t="s">
        <v>186</v>
      </c>
      <c r="B57" s="1" t="s">
        <v>57</v>
      </c>
      <c r="C57" s="1" t="s">
        <v>58</v>
      </c>
      <c r="D57" s="1" t="s">
        <v>59</v>
      </c>
      <c r="E57" s="1" t="s">
        <v>40</v>
      </c>
      <c r="F57" s="1" t="s">
        <v>54</v>
      </c>
      <c r="G57" s="2">
        <v>320.68</v>
      </c>
      <c r="H57" s="1">
        <v>3</v>
      </c>
      <c r="I57" s="1">
        <v>269</v>
      </c>
      <c r="J57" s="1">
        <v>231</v>
      </c>
      <c r="K57" s="1">
        <v>47</v>
      </c>
      <c r="L57" s="1">
        <v>136</v>
      </c>
      <c r="M57" s="1" t="s">
        <v>41</v>
      </c>
      <c r="N57" s="1" t="s">
        <v>42</v>
      </c>
      <c r="O57" s="1" t="s">
        <v>187</v>
      </c>
      <c r="P57" s="2">
        <v>224.48</v>
      </c>
      <c r="Q57" s="1" t="str">
        <f t="shared" si="0"/>
        <v>YES</v>
      </c>
      <c r="R57" s="2">
        <f t="shared" si="1"/>
        <v>288.61200000000002</v>
      </c>
      <c r="S57" s="2">
        <f>J57*G57</f>
        <v>74077.08</v>
      </c>
      <c r="T57" s="1">
        <f t="shared" ca="1" si="2"/>
        <v>148</v>
      </c>
      <c r="U57" s="1" t="s">
        <v>34</v>
      </c>
      <c r="V57" s="1" t="s">
        <v>34</v>
      </c>
      <c r="W57" s="1" t="s">
        <v>34</v>
      </c>
      <c r="X57" s="1" t="s">
        <v>2559</v>
      </c>
      <c r="Y57" s="1">
        <v>8.5</v>
      </c>
    </row>
    <row r="58" spans="1:25" x14ac:dyDescent="0.3">
      <c r="A58" s="1" t="s">
        <v>188</v>
      </c>
      <c r="B58" s="1" t="s">
        <v>189</v>
      </c>
      <c r="C58" s="1" t="s">
        <v>190</v>
      </c>
      <c r="D58" s="1" t="s">
        <v>59</v>
      </c>
      <c r="E58" s="1" t="s">
        <v>74</v>
      </c>
      <c r="F58" s="1" t="s">
        <v>30</v>
      </c>
      <c r="G58" s="2">
        <v>169.35</v>
      </c>
      <c r="H58" s="1">
        <v>3</v>
      </c>
      <c r="I58" s="1">
        <v>94</v>
      </c>
      <c r="J58" s="1">
        <v>91</v>
      </c>
      <c r="K58" s="1">
        <v>46</v>
      </c>
      <c r="L58" s="1">
        <v>93</v>
      </c>
      <c r="M58" s="1" t="s">
        <v>31</v>
      </c>
      <c r="N58" s="1" t="s">
        <v>42</v>
      </c>
      <c r="O58" s="1" t="s">
        <v>116</v>
      </c>
      <c r="P58" s="2">
        <v>118.54</v>
      </c>
      <c r="Q58" s="1" t="str">
        <f t="shared" si="0"/>
        <v>YES</v>
      </c>
      <c r="R58" s="2">
        <f t="shared" si="1"/>
        <v>152.41499999999999</v>
      </c>
      <c r="S58" s="2">
        <f>J58*G58</f>
        <v>15410.85</v>
      </c>
      <c r="T58" s="1">
        <f t="shared" ca="1" si="2"/>
        <v>87</v>
      </c>
      <c r="U58" s="1" t="s">
        <v>34</v>
      </c>
      <c r="V58" s="1" t="s">
        <v>34</v>
      </c>
      <c r="W58" s="1" t="s">
        <v>34</v>
      </c>
      <c r="X58" s="1" t="s">
        <v>2567</v>
      </c>
      <c r="Y58" s="1">
        <v>9</v>
      </c>
    </row>
    <row r="59" spans="1:25" x14ac:dyDescent="0.3">
      <c r="A59" s="1" t="s">
        <v>191</v>
      </c>
      <c r="B59" s="1" t="s">
        <v>192</v>
      </c>
      <c r="C59" s="1" t="s">
        <v>193</v>
      </c>
      <c r="D59" s="1" t="s">
        <v>85</v>
      </c>
      <c r="E59" s="1" t="s">
        <v>29</v>
      </c>
      <c r="F59" s="1" t="s">
        <v>54</v>
      </c>
      <c r="G59" s="2">
        <v>431.7</v>
      </c>
      <c r="H59" s="1">
        <v>1</v>
      </c>
      <c r="I59" s="1">
        <v>201</v>
      </c>
      <c r="J59" s="1">
        <v>193</v>
      </c>
      <c r="K59" s="1">
        <v>68</v>
      </c>
      <c r="L59" s="1">
        <v>132</v>
      </c>
      <c r="M59" s="1" t="s">
        <v>41</v>
      </c>
      <c r="N59" s="1" t="s">
        <v>42</v>
      </c>
      <c r="O59" s="1" t="s">
        <v>183</v>
      </c>
      <c r="P59" s="2">
        <v>302.19</v>
      </c>
      <c r="Q59" s="1" t="str">
        <f t="shared" si="0"/>
        <v>YES</v>
      </c>
      <c r="R59" s="2">
        <f t="shared" si="1"/>
        <v>388.53</v>
      </c>
      <c r="S59" s="2">
        <f>J59*G59</f>
        <v>83318.099999999991</v>
      </c>
      <c r="T59" s="1">
        <f t="shared" ca="1" si="2"/>
        <v>115</v>
      </c>
      <c r="U59" s="1" t="s">
        <v>34</v>
      </c>
      <c r="V59" s="1" t="s">
        <v>34</v>
      </c>
      <c r="W59" s="1" t="s">
        <v>34</v>
      </c>
      <c r="X59" s="1" t="s">
        <v>2568</v>
      </c>
      <c r="Y59" s="1">
        <v>9.5</v>
      </c>
    </row>
    <row r="60" spans="1:25" x14ac:dyDescent="0.3">
      <c r="A60" s="1" t="s">
        <v>194</v>
      </c>
      <c r="B60" s="1" t="s">
        <v>123</v>
      </c>
      <c r="C60" s="1" t="s">
        <v>124</v>
      </c>
      <c r="D60" s="1" t="s">
        <v>47</v>
      </c>
      <c r="E60" s="1" t="s">
        <v>29</v>
      </c>
      <c r="F60" s="1" t="s">
        <v>54</v>
      </c>
      <c r="G60" s="2">
        <v>474.91</v>
      </c>
      <c r="H60" s="1">
        <v>21</v>
      </c>
      <c r="I60" s="1">
        <v>169</v>
      </c>
      <c r="J60" s="1">
        <v>166</v>
      </c>
      <c r="K60" s="1">
        <v>108</v>
      </c>
      <c r="L60" s="1">
        <v>87</v>
      </c>
      <c r="M60" s="1" t="s">
        <v>49</v>
      </c>
      <c r="N60" s="1" t="s">
        <v>32</v>
      </c>
      <c r="O60" s="1" t="s">
        <v>195</v>
      </c>
      <c r="P60" s="2">
        <v>332.44</v>
      </c>
      <c r="Q60" s="1" t="str">
        <f t="shared" si="0"/>
        <v>YES</v>
      </c>
      <c r="R60" s="2">
        <f t="shared" si="1"/>
        <v>427.41900000000004</v>
      </c>
      <c r="S60" s="2">
        <f>J60*G60</f>
        <v>78835.06</v>
      </c>
      <c r="T60" s="1">
        <f t="shared" ca="1" si="2"/>
        <v>63</v>
      </c>
      <c r="U60" s="1" t="s">
        <v>34</v>
      </c>
      <c r="V60" s="1" t="s">
        <v>34</v>
      </c>
      <c r="W60" s="1" t="s">
        <v>34</v>
      </c>
      <c r="X60" s="1" t="s">
        <v>2569</v>
      </c>
      <c r="Y60" s="1">
        <v>5</v>
      </c>
    </row>
    <row r="61" spans="1:25" x14ac:dyDescent="0.3">
      <c r="A61" s="1" t="s">
        <v>196</v>
      </c>
      <c r="B61" s="1" t="s">
        <v>197</v>
      </c>
      <c r="C61" s="1" t="s">
        <v>198</v>
      </c>
      <c r="D61" s="1" t="s">
        <v>104</v>
      </c>
      <c r="E61" s="1" t="s">
        <v>74</v>
      </c>
      <c r="F61" s="1" t="s">
        <v>54</v>
      </c>
      <c r="G61" s="2">
        <v>69.930000000000007</v>
      </c>
      <c r="H61" s="1">
        <v>10</v>
      </c>
      <c r="I61" s="1">
        <v>133</v>
      </c>
      <c r="J61" s="1">
        <v>104</v>
      </c>
      <c r="K61" s="1">
        <v>96</v>
      </c>
      <c r="L61" s="1">
        <v>145</v>
      </c>
      <c r="M61" s="1" t="s">
        <v>49</v>
      </c>
      <c r="N61" s="1" t="s">
        <v>42</v>
      </c>
      <c r="O61" s="1" t="s">
        <v>199</v>
      </c>
      <c r="P61" s="2">
        <v>48.95</v>
      </c>
      <c r="Q61" s="1" t="str">
        <f t="shared" si="0"/>
        <v>YES</v>
      </c>
      <c r="R61" s="2">
        <f t="shared" si="1"/>
        <v>62.937000000000005</v>
      </c>
      <c r="S61" s="2">
        <f>J61*G61</f>
        <v>7272.7200000000012</v>
      </c>
      <c r="T61" s="1">
        <f t="shared" ca="1" si="2"/>
        <v>129</v>
      </c>
      <c r="U61" s="1" t="s">
        <v>34</v>
      </c>
      <c r="V61" s="1" t="s">
        <v>34</v>
      </c>
      <c r="W61" s="1" t="s">
        <v>34</v>
      </c>
      <c r="X61" s="1" t="s">
        <v>2569</v>
      </c>
      <c r="Y61" s="1">
        <v>5.5</v>
      </c>
    </row>
    <row r="62" spans="1:25" x14ac:dyDescent="0.3">
      <c r="A62" s="1" t="s">
        <v>200</v>
      </c>
      <c r="B62" s="1" t="s">
        <v>123</v>
      </c>
      <c r="C62" s="1" t="s">
        <v>124</v>
      </c>
      <c r="D62" s="1" t="s">
        <v>47</v>
      </c>
      <c r="E62" s="1" t="s">
        <v>40</v>
      </c>
      <c r="F62" s="1" t="s">
        <v>54</v>
      </c>
      <c r="G62" s="2">
        <v>135.19999999999999</v>
      </c>
      <c r="H62" s="1">
        <v>7</v>
      </c>
      <c r="I62" s="1">
        <v>128</v>
      </c>
      <c r="J62" s="1">
        <v>96</v>
      </c>
      <c r="K62" s="1">
        <v>105</v>
      </c>
      <c r="L62" s="1">
        <v>109</v>
      </c>
      <c r="M62" s="1" t="s">
        <v>49</v>
      </c>
      <c r="N62" s="1" t="s">
        <v>42</v>
      </c>
      <c r="O62" s="1" t="s">
        <v>81</v>
      </c>
      <c r="P62" s="2">
        <v>94.64</v>
      </c>
      <c r="Q62" s="1" t="str">
        <f t="shared" si="0"/>
        <v>NO</v>
      </c>
      <c r="R62" s="2">
        <f t="shared" si="1"/>
        <v>135.19999999999999</v>
      </c>
      <c r="S62" s="2">
        <f>J62*G62</f>
        <v>12979.199999999999</v>
      </c>
      <c r="T62" s="1">
        <f t="shared" ca="1" si="2"/>
        <v>81</v>
      </c>
      <c r="U62" s="1" t="s">
        <v>34</v>
      </c>
      <c r="V62" s="1" t="s">
        <v>34</v>
      </c>
      <c r="W62" s="1" t="s">
        <v>34</v>
      </c>
      <c r="X62" s="1" t="s">
        <v>2570</v>
      </c>
      <c r="Y62" s="1">
        <v>6</v>
      </c>
    </row>
    <row r="63" spans="1:25" x14ac:dyDescent="0.3">
      <c r="A63" s="1" t="s">
        <v>201</v>
      </c>
      <c r="B63" s="1" t="s">
        <v>130</v>
      </c>
      <c r="C63" s="1" t="s">
        <v>131</v>
      </c>
      <c r="D63" s="1" t="s">
        <v>132</v>
      </c>
      <c r="E63" s="1" t="s">
        <v>40</v>
      </c>
      <c r="F63" s="1" t="s">
        <v>48</v>
      </c>
      <c r="G63" s="2">
        <v>174.14</v>
      </c>
      <c r="H63" s="1">
        <v>20</v>
      </c>
      <c r="I63" s="1">
        <v>157</v>
      </c>
      <c r="J63" s="1">
        <v>132</v>
      </c>
      <c r="K63" s="1">
        <v>43</v>
      </c>
      <c r="L63" s="1">
        <v>140</v>
      </c>
      <c r="M63" s="1" t="s">
        <v>49</v>
      </c>
      <c r="N63" s="1" t="s">
        <v>60</v>
      </c>
      <c r="O63" s="1" t="s">
        <v>141</v>
      </c>
      <c r="P63" s="2">
        <v>121.9</v>
      </c>
      <c r="Q63" s="1" t="str">
        <f t="shared" si="0"/>
        <v>YES</v>
      </c>
      <c r="R63" s="2">
        <f t="shared" si="1"/>
        <v>156.726</v>
      </c>
      <c r="S63" s="2">
        <f>J63*G63</f>
        <v>22986.48</v>
      </c>
      <c r="T63" s="1">
        <f t="shared" ca="1" si="2"/>
        <v>118</v>
      </c>
      <c r="U63" s="1" t="s">
        <v>34</v>
      </c>
      <c r="V63" s="1" t="s">
        <v>34</v>
      </c>
      <c r="W63" s="1" t="s">
        <v>34</v>
      </c>
      <c r="X63" s="1" t="s">
        <v>2571</v>
      </c>
      <c r="Y63" s="1">
        <v>6.5</v>
      </c>
    </row>
    <row r="64" spans="1:25" x14ac:dyDescent="0.3">
      <c r="A64" s="1" t="s">
        <v>202</v>
      </c>
      <c r="B64" s="1" t="s">
        <v>143</v>
      </c>
      <c r="C64" s="1" t="s">
        <v>144</v>
      </c>
      <c r="D64" s="1" t="s">
        <v>47</v>
      </c>
      <c r="E64" s="1" t="s">
        <v>74</v>
      </c>
      <c r="F64" s="1" t="s">
        <v>30</v>
      </c>
      <c r="G64" s="2">
        <v>240.74</v>
      </c>
      <c r="H64" s="1">
        <v>4</v>
      </c>
      <c r="I64" s="1">
        <v>234</v>
      </c>
      <c r="J64" s="1">
        <v>227</v>
      </c>
      <c r="K64" s="1">
        <v>60</v>
      </c>
      <c r="L64" s="1">
        <v>53</v>
      </c>
      <c r="M64" s="1" t="s">
        <v>41</v>
      </c>
      <c r="N64" s="1" t="s">
        <v>42</v>
      </c>
      <c r="O64" s="1" t="s">
        <v>203</v>
      </c>
      <c r="P64" s="2">
        <v>168.52</v>
      </c>
      <c r="Q64" s="1" t="str">
        <f t="shared" si="0"/>
        <v>YES</v>
      </c>
      <c r="R64" s="2">
        <f t="shared" si="1"/>
        <v>216.66600000000003</v>
      </c>
      <c r="S64" s="2">
        <f>J64*G64</f>
        <v>54647.98</v>
      </c>
      <c r="T64" s="1">
        <f t="shared" ca="1" si="2"/>
        <v>102</v>
      </c>
      <c r="U64" s="1" t="s">
        <v>34</v>
      </c>
      <c r="V64" s="1" t="s">
        <v>34</v>
      </c>
      <c r="W64" s="1" t="s">
        <v>34</v>
      </c>
      <c r="X64" s="1" t="s">
        <v>2572</v>
      </c>
      <c r="Y64" s="1">
        <v>7</v>
      </c>
    </row>
    <row r="65" spans="1:25" x14ac:dyDescent="0.3">
      <c r="A65" s="1" t="s">
        <v>204</v>
      </c>
      <c r="B65" s="1" t="s">
        <v>57</v>
      </c>
      <c r="C65" s="1" t="s">
        <v>58</v>
      </c>
      <c r="D65" s="1" t="s">
        <v>59</v>
      </c>
      <c r="E65" s="1" t="s">
        <v>74</v>
      </c>
      <c r="F65" s="1" t="s">
        <v>54</v>
      </c>
      <c r="G65" s="2">
        <v>52.01</v>
      </c>
      <c r="H65" s="1">
        <v>8</v>
      </c>
      <c r="I65" s="1">
        <v>282</v>
      </c>
      <c r="J65" s="1">
        <v>261</v>
      </c>
      <c r="K65" s="1">
        <v>74</v>
      </c>
      <c r="L65" s="1">
        <v>143</v>
      </c>
      <c r="M65" s="1" t="s">
        <v>49</v>
      </c>
      <c r="N65" s="1" t="s">
        <v>32</v>
      </c>
      <c r="O65" s="1" t="s">
        <v>205</v>
      </c>
      <c r="P65" s="2">
        <v>36.409999999999997</v>
      </c>
      <c r="Q65" s="1" t="str">
        <f t="shared" si="0"/>
        <v>YES</v>
      </c>
      <c r="R65" s="2">
        <f t="shared" si="1"/>
        <v>46.808999999999997</v>
      </c>
      <c r="S65" s="2">
        <f>J65*G65</f>
        <v>13574.609999999999</v>
      </c>
      <c r="T65" s="1">
        <f t="shared" ca="1" si="2"/>
        <v>74</v>
      </c>
      <c r="U65" s="1" t="s">
        <v>34</v>
      </c>
      <c r="V65" s="1" t="s">
        <v>34</v>
      </c>
      <c r="W65" s="1" t="s">
        <v>34</v>
      </c>
      <c r="X65" s="1" t="s">
        <v>2573</v>
      </c>
      <c r="Y65" s="1">
        <v>7.5</v>
      </c>
    </row>
    <row r="66" spans="1:25" x14ac:dyDescent="0.3">
      <c r="A66" s="1" t="s">
        <v>206</v>
      </c>
      <c r="B66" s="1" t="s">
        <v>95</v>
      </c>
      <c r="C66" s="1" t="s">
        <v>96</v>
      </c>
      <c r="D66" s="1" t="s">
        <v>97</v>
      </c>
      <c r="E66" s="1" t="s">
        <v>29</v>
      </c>
      <c r="F66" s="1" t="s">
        <v>48</v>
      </c>
      <c r="G66" s="2">
        <v>393.92</v>
      </c>
      <c r="H66" s="1">
        <v>6</v>
      </c>
      <c r="I66" s="1">
        <v>82</v>
      </c>
      <c r="J66" s="1">
        <v>58</v>
      </c>
      <c r="K66" s="1">
        <v>99</v>
      </c>
      <c r="L66" s="1">
        <v>99</v>
      </c>
      <c r="M66" s="1" t="s">
        <v>31</v>
      </c>
      <c r="N66" s="1" t="s">
        <v>32</v>
      </c>
      <c r="O66" s="1" t="s">
        <v>207</v>
      </c>
      <c r="P66" s="2">
        <v>275.74</v>
      </c>
      <c r="Q66" s="1" t="str">
        <f t="shared" ref="Q66:Q129" si="3">IF(J66&gt;K66,"YES","NO")</f>
        <v>NO</v>
      </c>
      <c r="R66" s="2">
        <f t="shared" ref="R66:R129" si="4">IF(Q66="YES",G66*0.9,G66)</f>
        <v>393.92</v>
      </c>
      <c r="S66" s="2">
        <f>J66*G66</f>
        <v>22847.360000000001</v>
      </c>
      <c r="T66" s="1">
        <f t="shared" ref="T66:T129" ca="1" si="5">TODAY()-DATE(MID(O66,7,4),MID(O66,4,2),LEFT(O66,2))</f>
        <v>98</v>
      </c>
      <c r="U66" s="1" t="s">
        <v>34</v>
      </c>
      <c r="V66" s="1" t="s">
        <v>34</v>
      </c>
      <c r="W66" s="1" t="s">
        <v>34</v>
      </c>
      <c r="X66" s="1" t="s">
        <v>2554</v>
      </c>
      <c r="Y66" s="1">
        <v>8</v>
      </c>
    </row>
    <row r="67" spans="1:25" x14ac:dyDescent="0.3">
      <c r="A67" s="1" t="s">
        <v>208</v>
      </c>
      <c r="B67" s="1" t="s">
        <v>189</v>
      </c>
      <c r="C67" s="1" t="s">
        <v>190</v>
      </c>
      <c r="D67" s="1" t="s">
        <v>59</v>
      </c>
      <c r="E67" s="1" t="s">
        <v>74</v>
      </c>
      <c r="F67" s="1" t="s">
        <v>30</v>
      </c>
      <c r="G67" s="2">
        <v>275.60000000000002</v>
      </c>
      <c r="H67" s="1">
        <v>12</v>
      </c>
      <c r="I67" s="1">
        <v>223</v>
      </c>
      <c r="J67" s="1">
        <v>218</v>
      </c>
      <c r="K67" s="1">
        <v>88</v>
      </c>
      <c r="L67" s="1">
        <v>125</v>
      </c>
      <c r="M67" s="1" t="s">
        <v>41</v>
      </c>
      <c r="N67" s="1" t="s">
        <v>42</v>
      </c>
      <c r="O67" s="1" t="s">
        <v>209</v>
      </c>
      <c r="P67" s="2">
        <v>192.92</v>
      </c>
      <c r="Q67" s="1" t="str">
        <f t="shared" si="3"/>
        <v>YES</v>
      </c>
      <c r="R67" s="2">
        <f t="shared" si="4"/>
        <v>248.04000000000002</v>
      </c>
      <c r="S67" s="2">
        <f>J67*G67</f>
        <v>60080.800000000003</v>
      </c>
      <c r="T67" s="1">
        <f t="shared" ca="1" si="5"/>
        <v>127</v>
      </c>
      <c r="U67" s="1" t="s">
        <v>34</v>
      </c>
      <c r="V67" s="1" t="s">
        <v>34</v>
      </c>
      <c r="W67" s="1" t="s">
        <v>34</v>
      </c>
      <c r="X67" s="1" t="s">
        <v>2574</v>
      </c>
      <c r="Y67" s="1">
        <v>8.5</v>
      </c>
    </row>
    <row r="68" spans="1:25" x14ac:dyDescent="0.3">
      <c r="A68" s="1" t="s">
        <v>210</v>
      </c>
      <c r="B68" s="1" t="s">
        <v>143</v>
      </c>
      <c r="C68" s="1" t="s">
        <v>144</v>
      </c>
      <c r="D68" s="1" t="s">
        <v>47</v>
      </c>
      <c r="E68" s="1" t="s">
        <v>40</v>
      </c>
      <c r="F68" s="1" t="s">
        <v>54</v>
      </c>
      <c r="G68" s="2">
        <v>406.35</v>
      </c>
      <c r="H68" s="1">
        <v>4</v>
      </c>
      <c r="I68" s="1">
        <v>122</v>
      </c>
      <c r="J68" s="1">
        <v>113</v>
      </c>
      <c r="K68" s="1">
        <v>56</v>
      </c>
      <c r="L68" s="1">
        <v>82</v>
      </c>
      <c r="M68" s="1" t="s">
        <v>49</v>
      </c>
      <c r="N68" s="1" t="s">
        <v>32</v>
      </c>
      <c r="O68" s="1" t="s">
        <v>205</v>
      </c>
      <c r="P68" s="2">
        <v>284.44</v>
      </c>
      <c r="Q68" s="1" t="str">
        <f t="shared" si="3"/>
        <v>YES</v>
      </c>
      <c r="R68" s="2">
        <f t="shared" si="4"/>
        <v>365.71500000000003</v>
      </c>
      <c r="S68" s="2">
        <f>J68*G68</f>
        <v>45917.55</v>
      </c>
      <c r="T68" s="1">
        <f t="shared" ca="1" si="5"/>
        <v>74</v>
      </c>
      <c r="U68" s="1" t="s">
        <v>34</v>
      </c>
      <c r="V68" s="1" t="s">
        <v>34</v>
      </c>
      <c r="W68" s="1" t="s">
        <v>34</v>
      </c>
      <c r="X68" s="1" t="s">
        <v>2575</v>
      </c>
      <c r="Y68" s="1">
        <v>9</v>
      </c>
    </row>
    <row r="69" spans="1:25" x14ac:dyDescent="0.3">
      <c r="A69" s="1" t="s">
        <v>211</v>
      </c>
      <c r="B69" s="1" t="s">
        <v>143</v>
      </c>
      <c r="C69" s="1" t="s">
        <v>144</v>
      </c>
      <c r="D69" s="1" t="s">
        <v>47</v>
      </c>
      <c r="E69" s="1" t="s">
        <v>40</v>
      </c>
      <c r="F69" s="1" t="s">
        <v>48</v>
      </c>
      <c r="G69" s="2">
        <v>149.32</v>
      </c>
      <c r="H69" s="1">
        <v>7</v>
      </c>
      <c r="I69" s="1">
        <v>131</v>
      </c>
      <c r="J69" s="1">
        <v>102</v>
      </c>
      <c r="K69" s="1">
        <v>97</v>
      </c>
      <c r="L69" s="1">
        <v>94</v>
      </c>
      <c r="M69" s="1" t="s">
        <v>41</v>
      </c>
      <c r="N69" s="1" t="s">
        <v>42</v>
      </c>
      <c r="O69" s="1" t="s">
        <v>212</v>
      </c>
      <c r="P69" s="2">
        <v>104.52</v>
      </c>
      <c r="Q69" s="1" t="str">
        <f t="shared" si="3"/>
        <v>YES</v>
      </c>
      <c r="R69" s="2">
        <f t="shared" si="4"/>
        <v>134.38800000000001</v>
      </c>
      <c r="S69" s="2">
        <f>J69*G69</f>
        <v>15230.64</v>
      </c>
      <c r="T69" s="1">
        <f t="shared" ca="1" si="5"/>
        <v>78</v>
      </c>
      <c r="U69" s="1" t="s">
        <v>34</v>
      </c>
      <c r="V69" s="1" t="s">
        <v>34</v>
      </c>
      <c r="W69" s="1" t="s">
        <v>34</v>
      </c>
      <c r="X69" s="1" t="s">
        <v>2576</v>
      </c>
      <c r="Y69" s="1">
        <v>9.5</v>
      </c>
    </row>
    <row r="70" spans="1:25" x14ac:dyDescent="0.3">
      <c r="A70" s="1" t="s">
        <v>213</v>
      </c>
      <c r="B70" s="1" t="s">
        <v>52</v>
      </c>
      <c r="C70" s="1" t="s">
        <v>53</v>
      </c>
      <c r="D70" s="1" t="s">
        <v>47</v>
      </c>
      <c r="E70" s="1" t="s">
        <v>40</v>
      </c>
      <c r="F70" s="1" t="s">
        <v>54</v>
      </c>
      <c r="G70" s="2">
        <v>442.54</v>
      </c>
      <c r="H70" s="1">
        <v>7</v>
      </c>
      <c r="I70" s="1">
        <v>101</v>
      </c>
      <c r="J70" s="1">
        <v>96</v>
      </c>
      <c r="K70" s="1">
        <v>67</v>
      </c>
      <c r="L70" s="1">
        <v>83</v>
      </c>
      <c r="M70" s="1" t="s">
        <v>49</v>
      </c>
      <c r="N70" s="1" t="s">
        <v>32</v>
      </c>
      <c r="O70" s="1" t="s">
        <v>65</v>
      </c>
      <c r="P70" s="2">
        <v>309.77999999999997</v>
      </c>
      <c r="Q70" s="1" t="str">
        <f t="shared" si="3"/>
        <v>YES</v>
      </c>
      <c r="R70" s="2">
        <f t="shared" si="4"/>
        <v>398.286</v>
      </c>
      <c r="S70" s="2">
        <f>J70*G70</f>
        <v>42483.840000000004</v>
      </c>
      <c r="T70" s="1">
        <f t="shared" ca="1" si="5"/>
        <v>142</v>
      </c>
      <c r="U70" s="1" t="s">
        <v>34</v>
      </c>
      <c r="V70" s="1" t="s">
        <v>34</v>
      </c>
      <c r="W70" s="1" t="s">
        <v>34</v>
      </c>
      <c r="X70" s="1" t="s">
        <v>2577</v>
      </c>
      <c r="Y70" s="1">
        <v>5</v>
      </c>
    </row>
    <row r="71" spans="1:25" x14ac:dyDescent="0.3">
      <c r="A71" s="1" t="s">
        <v>214</v>
      </c>
      <c r="B71" s="1" t="s">
        <v>130</v>
      </c>
      <c r="C71" s="1" t="s">
        <v>131</v>
      </c>
      <c r="D71" s="1" t="s">
        <v>132</v>
      </c>
      <c r="E71" s="1" t="s">
        <v>74</v>
      </c>
      <c r="F71" s="1" t="s">
        <v>54</v>
      </c>
      <c r="G71" s="2">
        <v>43.31</v>
      </c>
      <c r="H71" s="1">
        <v>7</v>
      </c>
      <c r="I71" s="1">
        <v>159</v>
      </c>
      <c r="J71" s="1">
        <v>128</v>
      </c>
      <c r="K71" s="1">
        <v>113</v>
      </c>
      <c r="L71" s="1">
        <v>139</v>
      </c>
      <c r="M71" s="1" t="s">
        <v>49</v>
      </c>
      <c r="N71" s="1" t="s">
        <v>60</v>
      </c>
      <c r="O71" s="1" t="s">
        <v>43</v>
      </c>
      <c r="P71" s="2">
        <v>30.32</v>
      </c>
      <c r="Q71" s="1" t="str">
        <f t="shared" si="3"/>
        <v>YES</v>
      </c>
      <c r="R71" s="2">
        <f t="shared" si="4"/>
        <v>38.979000000000006</v>
      </c>
      <c r="S71" s="2">
        <f>J71*G71</f>
        <v>5543.68</v>
      </c>
      <c r="T71" s="1">
        <f t="shared" ca="1" si="5"/>
        <v>117</v>
      </c>
      <c r="U71" s="1" t="s">
        <v>34</v>
      </c>
      <c r="V71" s="1" t="s">
        <v>34</v>
      </c>
      <c r="W71" s="1" t="s">
        <v>34</v>
      </c>
      <c r="X71" s="1" t="s">
        <v>2578</v>
      </c>
      <c r="Y71" s="1">
        <v>5.5</v>
      </c>
    </row>
    <row r="72" spans="1:25" x14ac:dyDescent="0.3">
      <c r="A72" s="1" t="s">
        <v>215</v>
      </c>
      <c r="B72" s="1" t="s">
        <v>72</v>
      </c>
      <c r="C72" s="1" t="s">
        <v>73</v>
      </c>
      <c r="D72" s="1" t="s">
        <v>47</v>
      </c>
      <c r="E72" s="1" t="s">
        <v>29</v>
      </c>
      <c r="F72" s="1" t="s">
        <v>48</v>
      </c>
      <c r="G72" s="2">
        <v>220.02</v>
      </c>
      <c r="H72" s="1">
        <v>9</v>
      </c>
      <c r="I72" s="1">
        <v>290</v>
      </c>
      <c r="J72" s="1">
        <v>285</v>
      </c>
      <c r="K72" s="1">
        <v>57</v>
      </c>
      <c r="L72" s="1">
        <v>61</v>
      </c>
      <c r="M72" s="1" t="s">
        <v>41</v>
      </c>
      <c r="N72" s="1" t="s">
        <v>60</v>
      </c>
      <c r="O72" s="1" t="s">
        <v>141</v>
      </c>
      <c r="P72" s="2">
        <v>154.01</v>
      </c>
      <c r="Q72" s="1" t="str">
        <f t="shared" si="3"/>
        <v>YES</v>
      </c>
      <c r="R72" s="2">
        <f t="shared" si="4"/>
        <v>198.018</v>
      </c>
      <c r="S72" s="2">
        <f>J72*G72</f>
        <v>62705.700000000004</v>
      </c>
      <c r="T72" s="1">
        <f t="shared" ca="1" si="5"/>
        <v>118</v>
      </c>
      <c r="U72" s="1" t="s">
        <v>34</v>
      </c>
      <c r="V72" s="1" t="s">
        <v>34</v>
      </c>
      <c r="W72" s="1" t="s">
        <v>34</v>
      </c>
      <c r="X72" s="1" t="s">
        <v>2579</v>
      </c>
      <c r="Y72" s="1">
        <v>6</v>
      </c>
    </row>
    <row r="73" spans="1:25" x14ac:dyDescent="0.3">
      <c r="A73" s="1" t="s">
        <v>216</v>
      </c>
      <c r="B73" s="1" t="s">
        <v>95</v>
      </c>
      <c r="C73" s="1" t="s">
        <v>96</v>
      </c>
      <c r="D73" s="1" t="s">
        <v>97</v>
      </c>
      <c r="E73" s="1" t="s">
        <v>74</v>
      </c>
      <c r="F73" s="1" t="s">
        <v>54</v>
      </c>
      <c r="G73" s="2">
        <v>365.02</v>
      </c>
      <c r="H73" s="1">
        <v>17</v>
      </c>
      <c r="I73" s="1">
        <v>134</v>
      </c>
      <c r="J73" s="1">
        <v>120</v>
      </c>
      <c r="K73" s="1">
        <v>115</v>
      </c>
      <c r="L73" s="1">
        <v>83</v>
      </c>
      <c r="M73" s="1" t="s">
        <v>41</v>
      </c>
      <c r="N73" s="1" t="s">
        <v>42</v>
      </c>
      <c r="O73" s="1" t="s">
        <v>217</v>
      </c>
      <c r="P73" s="2">
        <v>255.51</v>
      </c>
      <c r="Q73" s="1" t="str">
        <f t="shared" si="3"/>
        <v>YES</v>
      </c>
      <c r="R73" s="2">
        <f t="shared" si="4"/>
        <v>328.51799999999997</v>
      </c>
      <c r="S73" s="2">
        <f>J73*G73</f>
        <v>43802.399999999994</v>
      </c>
      <c r="T73" s="1">
        <f t="shared" ca="1" si="5"/>
        <v>100</v>
      </c>
      <c r="U73" s="1" t="s">
        <v>34</v>
      </c>
      <c r="V73" s="1" t="s">
        <v>34</v>
      </c>
      <c r="W73" s="1" t="s">
        <v>34</v>
      </c>
      <c r="X73" s="1" t="s">
        <v>2580</v>
      </c>
      <c r="Y73" s="1">
        <v>6.5</v>
      </c>
    </row>
    <row r="74" spans="1:25" x14ac:dyDescent="0.3">
      <c r="A74" s="1" t="s">
        <v>218</v>
      </c>
      <c r="B74" s="1" t="s">
        <v>126</v>
      </c>
      <c r="C74" s="1" t="s">
        <v>127</v>
      </c>
      <c r="D74" s="1" t="s">
        <v>85</v>
      </c>
      <c r="E74" s="1" t="s">
        <v>29</v>
      </c>
      <c r="F74" s="1" t="s">
        <v>30</v>
      </c>
      <c r="G74" s="2">
        <v>206.57</v>
      </c>
      <c r="H74" s="1">
        <v>11</v>
      </c>
      <c r="I74" s="1">
        <v>81</v>
      </c>
      <c r="J74" s="1">
        <v>59</v>
      </c>
      <c r="K74" s="1">
        <v>109</v>
      </c>
      <c r="L74" s="1">
        <v>128</v>
      </c>
      <c r="M74" s="1" t="s">
        <v>41</v>
      </c>
      <c r="N74" s="1" t="s">
        <v>32</v>
      </c>
      <c r="O74" s="1" t="s">
        <v>90</v>
      </c>
      <c r="P74" s="2">
        <v>144.6</v>
      </c>
      <c r="Q74" s="1" t="str">
        <f t="shared" si="3"/>
        <v>NO</v>
      </c>
      <c r="R74" s="2">
        <f t="shared" si="4"/>
        <v>206.57</v>
      </c>
      <c r="S74" s="2">
        <f>J74*G74</f>
        <v>12187.63</v>
      </c>
      <c r="T74" s="1">
        <f t="shared" ca="1" si="5"/>
        <v>94</v>
      </c>
      <c r="U74" s="1" t="s">
        <v>34</v>
      </c>
      <c r="V74" s="1" t="s">
        <v>34</v>
      </c>
      <c r="W74" s="1" t="s">
        <v>34</v>
      </c>
      <c r="X74" s="1" t="s">
        <v>2581</v>
      </c>
      <c r="Y74" s="1">
        <v>7</v>
      </c>
    </row>
    <row r="75" spans="1:25" x14ac:dyDescent="0.3">
      <c r="A75" s="1" t="s">
        <v>219</v>
      </c>
      <c r="B75" s="1" t="s">
        <v>126</v>
      </c>
      <c r="C75" s="1" t="s">
        <v>127</v>
      </c>
      <c r="D75" s="1" t="s">
        <v>85</v>
      </c>
      <c r="E75" s="1" t="s">
        <v>74</v>
      </c>
      <c r="F75" s="1" t="s">
        <v>54</v>
      </c>
      <c r="G75" s="2">
        <v>162.68</v>
      </c>
      <c r="H75" s="1">
        <v>21</v>
      </c>
      <c r="I75" s="1">
        <v>231</v>
      </c>
      <c r="J75" s="1">
        <v>217</v>
      </c>
      <c r="K75" s="1">
        <v>114</v>
      </c>
      <c r="L75" s="1">
        <v>102</v>
      </c>
      <c r="M75" s="1" t="s">
        <v>31</v>
      </c>
      <c r="N75" s="1" t="s">
        <v>42</v>
      </c>
      <c r="O75" s="1" t="s">
        <v>220</v>
      </c>
      <c r="P75" s="2">
        <v>113.88</v>
      </c>
      <c r="Q75" s="1" t="str">
        <f t="shared" si="3"/>
        <v>YES</v>
      </c>
      <c r="R75" s="2">
        <f t="shared" si="4"/>
        <v>146.41200000000001</v>
      </c>
      <c r="S75" s="2">
        <f>J75*G75</f>
        <v>35301.560000000005</v>
      </c>
      <c r="T75" s="1">
        <f t="shared" ca="1" si="5"/>
        <v>106</v>
      </c>
      <c r="U75" s="1" t="s">
        <v>34</v>
      </c>
      <c r="V75" s="1" t="s">
        <v>34</v>
      </c>
      <c r="W75" s="1" t="s">
        <v>34</v>
      </c>
      <c r="X75" s="1" t="s">
        <v>2582</v>
      </c>
      <c r="Y75" s="1">
        <v>7.5</v>
      </c>
    </row>
    <row r="76" spans="1:25" x14ac:dyDescent="0.3">
      <c r="A76" s="1" t="s">
        <v>221</v>
      </c>
      <c r="B76" s="1" t="s">
        <v>166</v>
      </c>
      <c r="C76" s="1" t="s">
        <v>167</v>
      </c>
      <c r="D76" s="1" t="s">
        <v>59</v>
      </c>
      <c r="E76" s="1" t="s">
        <v>40</v>
      </c>
      <c r="F76" s="1" t="s">
        <v>48</v>
      </c>
      <c r="G76" s="2">
        <v>288.45999999999998</v>
      </c>
      <c r="H76" s="1">
        <v>15</v>
      </c>
      <c r="I76" s="1">
        <v>175</v>
      </c>
      <c r="J76" s="1">
        <v>141</v>
      </c>
      <c r="K76" s="1">
        <v>49</v>
      </c>
      <c r="L76" s="1">
        <v>58</v>
      </c>
      <c r="M76" s="1" t="s">
        <v>49</v>
      </c>
      <c r="N76" s="1" t="s">
        <v>42</v>
      </c>
      <c r="O76" s="1" t="s">
        <v>139</v>
      </c>
      <c r="P76" s="2">
        <v>201.92</v>
      </c>
      <c r="Q76" s="1" t="str">
        <f t="shared" si="3"/>
        <v>YES</v>
      </c>
      <c r="R76" s="2">
        <f t="shared" si="4"/>
        <v>259.61399999999998</v>
      </c>
      <c r="S76" s="2">
        <f>J76*G76</f>
        <v>40672.86</v>
      </c>
      <c r="T76" s="1">
        <f t="shared" ca="1" si="5"/>
        <v>75</v>
      </c>
      <c r="U76" s="1" t="s">
        <v>34</v>
      </c>
      <c r="V76" s="1" t="s">
        <v>34</v>
      </c>
      <c r="W76" s="1" t="s">
        <v>34</v>
      </c>
      <c r="X76" s="1" t="s">
        <v>2583</v>
      </c>
      <c r="Y76" s="1">
        <v>8</v>
      </c>
    </row>
    <row r="77" spans="1:25" x14ac:dyDescent="0.3">
      <c r="A77" s="1" t="s">
        <v>222</v>
      </c>
      <c r="B77" s="1" t="s">
        <v>166</v>
      </c>
      <c r="C77" s="1" t="s">
        <v>167</v>
      </c>
      <c r="D77" s="1" t="s">
        <v>59</v>
      </c>
      <c r="E77" s="1" t="s">
        <v>29</v>
      </c>
      <c r="F77" s="1" t="s">
        <v>30</v>
      </c>
      <c r="G77" s="2">
        <v>142.46</v>
      </c>
      <c r="H77" s="1">
        <v>25</v>
      </c>
      <c r="I77" s="1">
        <v>229</v>
      </c>
      <c r="J77" s="1">
        <v>213</v>
      </c>
      <c r="K77" s="1">
        <v>76</v>
      </c>
      <c r="L77" s="1">
        <v>87</v>
      </c>
      <c r="M77" s="1" t="s">
        <v>31</v>
      </c>
      <c r="N77" s="1" t="s">
        <v>42</v>
      </c>
      <c r="O77" s="1" t="s">
        <v>185</v>
      </c>
      <c r="P77" s="2">
        <v>99.72</v>
      </c>
      <c r="Q77" s="1" t="str">
        <f t="shared" si="3"/>
        <v>YES</v>
      </c>
      <c r="R77" s="2">
        <f t="shared" si="4"/>
        <v>128.214</v>
      </c>
      <c r="S77" s="2">
        <f>J77*G77</f>
        <v>30343.980000000003</v>
      </c>
      <c r="T77" s="1">
        <f t="shared" ca="1" si="5"/>
        <v>104</v>
      </c>
      <c r="U77" s="1" t="s">
        <v>34</v>
      </c>
      <c r="V77" s="1" t="s">
        <v>34</v>
      </c>
      <c r="W77" s="1" t="s">
        <v>34</v>
      </c>
      <c r="X77" s="1" t="s">
        <v>2566</v>
      </c>
      <c r="Y77" s="1">
        <v>8.5</v>
      </c>
    </row>
    <row r="78" spans="1:25" x14ac:dyDescent="0.3">
      <c r="A78" s="1" t="s">
        <v>223</v>
      </c>
      <c r="B78" s="1" t="s">
        <v>69</v>
      </c>
      <c r="C78" s="1" t="s">
        <v>70</v>
      </c>
      <c r="D78" s="1" t="s">
        <v>59</v>
      </c>
      <c r="E78" s="1" t="s">
        <v>40</v>
      </c>
      <c r="F78" s="1" t="s">
        <v>48</v>
      </c>
      <c r="G78" s="2">
        <v>254.72</v>
      </c>
      <c r="H78" s="1">
        <v>1</v>
      </c>
      <c r="I78" s="1">
        <v>239</v>
      </c>
      <c r="J78" s="1">
        <v>199</v>
      </c>
      <c r="K78" s="1">
        <v>120</v>
      </c>
      <c r="L78" s="1">
        <v>124</v>
      </c>
      <c r="M78" s="1" t="s">
        <v>31</v>
      </c>
      <c r="N78" s="1" t="s">
        <v>60</v>
      </c>
      <c r="O78" s="1" t="s">
        <v>224</v>
      </c>
      <c r="P78" s="2">
        <v>178.3</v>
      </c>
      <c r="Q78" s="1" t="str">
        <f t="shared" si="3"/>
        <v>YES</v>
      </c>
      <c r="R78" s="2">
        <f t="shared" si="4"/>
        <v>229.24799999999999</v>
      </c>
      <c r="S78" s="2">
        <f>J78*G78</f>
        <v>50689.279999999999</v>
      </c>
      <c r="T78" s="1">
        <f t="shared" ca="1" si="5"/>
        <v>140</v>
      </c>
      <c r="U78" s="1" t="s">
        <v>34</v>
      </c>
      <c r="V78" s="1" t="s">
        <v>34</v>
      </c>
      <c r="W78" s="1" t="s">
        <v>34</v>
      </c>
      <c r="X78" s="1" t="s">
        <v>2584</v>
      </c>
      <c r="Y78" s="1">
        <v>9</v>
      </c>
    </row>
    <row r="79" spans="1:25" x14ac:dyDescent="0.3">
      <c r="A79" s="1" t="s">
        <v>225</v>
      </c>
      <c r="B79" s="1" t="s">
        <v>26</v>
      </c>
      <c r="C79" s="1" t="s">
        <v>27</v>
      </c>
      <c r="D79" s="1" t="s">
        <v>28</v>
      </c>
      <c r="E79" s="1" t="s">
        <v>29</v>
      </c>
      <c r="F79" s="1" t="s">
        <v>54</v>
      </c>
      <c r="G79" s="2">
        <v>125.28</v>
      </c>
      <c r="H79" s="1">
        <v>0</v>
      </c>
      <c r="I79" s="1">
        <v>116</v>
      </c>
      <c r="J79" s="1">
        <v>86</v>
      </c>
      <c r="K79" s="1">
        <v>82</v>
      </c>
      <c r="L79" s="1">
        <v>74</v>
      </c>
      <c r="M79" s="1" t="s">
        <v>41</v>
      </c>
      <c r="N79" s="1" t="s">
        <v>32</v>
      </c>
      <c r="O79" s="1" t="s">
        <v>61</v>
      </c>
      <c r="P79" s="2">
        <v>87.7</v>
      </c>
      <c r="Q79" s="1" t="str">
        <f t="shared" si="3"/>
        <v>YES</v>
      </c>
      <c r="R79" s="2">
        <f t="shared" si="4"/>
        <v>112.75200000000001</v>
      </c>
      <c r="S79" s="2">
        <f>J79*G79</f>
        <v>10774.08</v>
      </c>
      <c r="T79" s="1">
        <f t="shared" ca="1" si="5"/>
        <v>73</v>
      </c>
      <c r="U79" s="1" t="s">
        <v>34</v>
      </c>
      <c r="V79" s="1" t="s">
        <v>34</v>
      </c>
      <c r="W79" s="1" t="s">
        <v>34</v>
      </c>
      <c r="X79" s="1" t="s">
        <v>2585</v>
      </c>
      <c r="Y79" s="1">
        <v>9.5</v>
      </c>
    </row>
    <row r="80" spans="1:25" x14ac:dyDescent="0.3">
      <c r="A80" s="1" t="s">
        <v>226</v>
      </c>
      <c r="B80" s="1" t="s">
        <v>63</v>
      </c>
      <c r="C80" s="1" t="s">
        <v>64</v>
      </c>
      <c r="D80" s="1" t="s">
        <v>28</v>
      </c>
      <c r="E80" s="1" t="s">
        <v>40</v>
      </c>
      <c r="F80" s="1" t="s">
        <v>54</v>
      </c>
      <c r="G80" s="2">
        <v>103.52</v>
      </c>
      <c r="H80" s="1">
        <v>20</v>
      </c>
      <c r="I80" s="1">
        <v>298</v>
      </c>
      <c r="J80" s="1">
        <v>269</v>
      </c>
      <c r="K80" s="1">
        <v>95</v>
      </c>
      <c r="L80" s="1">
        <v>77</v>
      </c>
      <c r="M80" s="1" t="s">
        <v>49</v>
      </c>
      <c r="N80" s="1" t="s">
        <v>32</v>
      </c>
      <c r="O80" s="1" t="s">
        <v>227</v>
      </c>
      <c r="P80" s="2">
        <v>72.459999999999994</v>
      </c>
      <c r="Q80" s="1" t="str">
        <f t="shared" si="3"/>
        <v>YES</v>
      </c>
      <c r="R80" s="2">
        <f t="shared" si="4"/>
        <v>93.167999999999992</v>
      </c>
      <c r="S80" s="2">
        <f>J80*G80</f>
        <v>27846.879999999997</v>
      </c>
      <c r="T80" s="1">
        <f t="shared" ca="1" si="5"/>
        <v>132</v>
      </c>
      <c r="U80" s="1" t="s">
        <v>34</v>
      </c>
      <c r="V80" s="1" t="s">
        <v>34</v>
      </c>
      <c r="W80" s="1" t="s">
        <v>34</v>
      </c>
      <c r="X80" s="1" t="s">
        <v>2586</v>
      </c>
      <c r="Y80" s="1">
        <v>5</v>
      </c>
    </row>
    <row r="81" spans="1:25" x14ac:dyDescent="0.3">
      <c r="A81" s="1" t="s">
        <v>228</v>
      </c>
      <c r="B81" s="1" t="s">
        <v>176</v>
      </c>
      <c r="C81" s="1" t="s">
        <v>177</v>
      </c>
      <c r="D81" s="1" t="s">
        <v>39</v>
      </c>
      <c r="E81" s="1" t="s">
        <v>40</v>
      </c>
      <c r="F81" s="1" t="s">
        <v>54</v>
      </c>
      <c r="G81" s="2">
        <v>301.61</v>
      </c>
      <c r="H81" s="1">
        <v>20</v>
      </c>
      <c r="I81" s="1">
        <v>103</v>
      </c>
      <c r="J81" s="1">
        <v>64</v>
      </c>
      <c r="K81" s="1">
        <v>56</v>
      </c>
      <c r="L81" s="1">
        <v>50</v>
      </c>
      <c r="M81" s="1" t="s">
        <v>31</v>
      </c>
      <c r="N81" s="1" t="s">
        <v>32</v>
      </c>
      <c r="O81" s="1" t="s">
        <v>229</v>
      </c>
      <c r="P81" s="2">
        <v>211.13</v>
      </c>
      <c r="Q81" s="1" t="str">
        <f t="shared" si="3"/>
        <v>YES</v>
      </c>
      <c r="R81" s="2">
        <f t="shared" si="4"/>
        <v>271.44900000000001</v>
      </c>
      <c r="S81" s="2">
        <f>J81*G81</f>
        <v>19303.04</v>
      </c>
      <c r="T81" s="1">
        <f t="shared" ca="1" si="5"/>
        <v>128</v>
      </c>
      <c r="U81" s="1" t="s">
        <v>34</v>
      </c>
      <c r="V81" s="1" t="s">
        <v>34</v>
      </c>
      <c r="W81" s="1" t="s">
        <v>34</v>
      </c>
      <c r="X81" s="1" t="s">
        <v>2587</v>
      </c>
      <c r="Y81" s="1">
        <v>5.5</v>
      </c>
    </row>
    <row r="82" spans="1:25" x14ac:dyDescent="0.3">
      <c r="A82" s="1" t="s">
        <v>230</v>
      </c>
      <c r="B82" s="1" t="s">
        <v>143</v>
      </c>
      <c r="C82" s="1" t="s">
        <v>144</v>
      </c>
      <c r="D82" s="1" t="s">
        <v>47</v>
      </c>
      <c r="E82" s="1" t="s">
        <v>29</v>
      </c>
      <c r="F82" s="1" t="s">
        <v>30</v>
      </c>
      <c r="G82" s="2">
        <v>205.91</v>
      </c>
      <c r="H82" s="1">
        <v>11</v>
      </c>
      <c r="I82" s="1">
        <v>107</v>
      </c>
      <c r="J82" s="1">
        <v>92</v>
      </c>
      <c r="K82" s="1">
        <v>48</v>
      </c>
      <c r="L82" s="1">
        <v>121</v>
      </c>
      <c r="M82" s="1" t="s">
        <v>31</v>
      </c>
      <c r="N82" s="1" t="s">
        <v>32</v>
      </c>
      <c r="O82" s="1" t="s">
        <v>178</v>
      </c>
      <c r="P82" s="2">
        <v>144.13999999999999</v>
      </c>
      <c r="Q82" s="1" t="str">
        <f t="shared" si="3"/>
        <v>YES</v>
      </c>
      <c r="R82" s="2">
        <f t="shared" si="4"/>
        <v>185.31899999999999</v>
      </c>
      <c r="S82" s="2">
        <f>J82*G82</f>
        <v>18943.72</v>
      </c>
      <c r="T82" s="1">
        <f t="shared" ca="1" si="5"/>
        <v>90</v>
      </c>
      <c r="U82" s="1" t="s">
        <v>34</v>
      </c>
      <c r="V82" s="1" t="s">
        <v>34</v>
      </c>
      <c r="W82" s="1" t="s">
        <v>34</v>
      </c>
      <c r="X82" s="1" t="s">
        <v>2588</v>
      </c>
      <c r="Y82" s="1">
        <v>6</v>
      </c>
    </row>
    <row r="83" spans="1:25" x14ac:dyDescent="0.3">
      <c r="A83" s="1" t="s">
        <v>231</v>
      </c>
      <c r="B83" s="1" t="s">
        <v>45</v>
      </c>
      <c r="C83" s="1" t="s">
        <v>46</v>
      </c>
      <c r="D83" s="1" t="s">
        <v>47</v>
      </c>
      <c r="E83" s="1" t="s">
        <v>29</v>
      </c>
      <c r="F83" s="1" t="s">
        <v>54</v>
      </c>
      <c r="G83" s="2">
        <v>416.92</v>
      </c>
      <c r="H83" s="1">
        <v>21</v>
      </c>
      <c r="I83" s="1">
        <v>177</v>
      </c>
      <c r="J83" s="1">
        <v>142</v>
      </c>
      <c r="K83" s="1">
        <v>84</v>
      </c>
      <c r="L83" s="1">
        <v>122</v>
      </c>
      <c r="M83" s="1" t="s">
        <v>49</v>
      </c>
      <c r="N83" s="1" t="s">
        <v>42</v>
      </c>
      <c r="O83" s="1" t="s">
        <v>33</v>
      </c>
      <c r="P83" s="2">
        <v>291.83999999999997</v>
      </c>
      <c r="Q83" s="1" t="str">
        <f t="shared" si="3"/>
        <v>YES</v>
      </c>
      <c r="R83" s="2">
        <f t="shared" si="4"/>
        <v>375.22800000000001</v>
      </c>
      <c r="S83" s="2">
        <f>J83*G83</f>
        <v>59202.64</v>
      </c>
      <c r="T83" s="1">
        <f t="shared" ca="1" si="5"/>
        <v>141</v>
      </c>
      <c r="U83" s="1" t="s">
        <v>34</v>
      </c>
      <c r="V83" s="1" t="s">
        <v>34</v>
      </c>
      <c r="W83" s="1" t="s">
        <v>34</v>
      </c>
      <c r="X83" s="1" t="s">
        <v>2589</v>
      </c>
      <c r="Y83" s="1">
        <v>6.5</v>
      </c>
    </row>
    <row r="84" spans="1:25" x14ac:dyDescent="0.3">
      <c r="A84" s="1" t="s">
        <v>232</v>
      </c>
      <c r="B84" s="1" t="s">
        <v>107</v>
      </c>
      <c r="C84" s="1" t="s">
        <v>108</v>
      </c>
      <c r="D84" s="1" t="s">
        <v>39</v>
      </c>
      <c r="E84" s="1" t="s">
        <v>29</v>
      </c>
      <c r="F84" s="1" t="s">
        <v>48</v>
      </c>
      <c r="G84" s="2">
        <v>81.09</v>
      </c>
      <c r="H84" s="1">
        <v>0</v>
      </c>
      <c r="I84" s="1">
        <v>275</v>
      </c>
      <c r="J84" s="1">
        <v>271</v>
      </c>
      <c r="K84" s="1">
        <v>62</v>
      </c>
      <c r="L84" s="1">
        <v>90</v>
      </c>
      <c r="M84" s="1" t="s">
        <v>49</v>
      </c>
      <c r="N84" s="1" t="s">
        <v>60</v>
      </c>
      <c r="O84" s="1" t="s">
        <v>135</v>
      </c>
      <c r="P84" s="2">
        <v>56.76</v>
      </c>
      <c r="Q84" s="1" t="str">
        <f t="shared" si="3"/>
        <v>YES</v>
      </c>
      <c r="R84" s="2">
        <f t="shared" si="4"/>
        <v>72.981000000000009</v>
      </c>
      <c r="S84" s="2">
        <f>J84*G84</f>
        <v>21975.39</v>
      </c>
      <c r="T84" s="1">
        <f t="shared" ca="1" si="5"/>
        <v>71</v>
      </c>
      <c r="U84" s="1" t="s">
        <v>34</v>
      </c>
      <c r="V84" s="1" t="s">
        <v>34</v>
      </c>
      <c r="W84" s="1" t="s">
        <v>34</v>
      </c>
      <c r="X84" s="1" t="s">
        <v>2590</v>
      </c>
      <c r="Y84" s="1">
        <v>7</v>
      </c>
    </row>
    <row r="85" spans="1:25" x14ac:dyDescent="0.3">
      <c r="A85" s="1" t="s">
        <v>233</v>
      </c>
      <c r="B85" s="1" t="s">
        <v>118</v>
      </c>
      <c r="C85" s="1" t="s">
        <v>119</v>
      </c>
      <c r="D85" s="1" t="s">
        <v>97</v>
      </c>
      <c r="E85" s="1" t="s">
        <v>74</v>
      </c>
      <c r="F85" s="1" t="s">
        <v>54</v>
      </c>
      <c r="G85" s="2">
        <v>95.07</v>
      </c>
      <c r="H85" s="1">
        <v>2</v>
      </c>
      <c r="I85" s="1">
        <v>172</v>
      </c>
      <c r="J85" s="1">
        <v>153</v>
      </c>
      <c r="K85" s="1">
        <v>74</v>
      </c>
      <c r="L85" s="1">
        <v>138</v>
      </c>
      <c r="M85" s="1" t="s">
        <v>31</v>
      </c>
      <c r="N85" s="1" t="s">
        <v>60</v>
      </c>
      <c r="O85" s="1" t="s">
        <v>180</v>
      </c>
      <c r="P85" s="2">
        <v>66.55</v>
      </c>
      <c r="Q85" s="1" t="str">
        <f t="shared" si="3"/>
        <v>YES</v>
      </c>
      <c r="R85" s="2">
        <f t="shared" si="4"/>
        <v>85.563000000000002</v>
      </c>
      <c r="S85" s="2">
        <f>J85*G85</f>
        <v>14545.71</v>
      </c>
      <c r="T85" s="1">
        <f t="shared" ca="1" si="5"/>
        <v>122</v>
      </c>
      <c r="U85" s="1" t="s">
        <v>34</v>
      </c>
      <c r="V85" s="1" t="s">
        <v>34</v>
      </c>
      <c r="W85" s="1" t="s">
        <v>34</v>
      </c>
      <c r="X85" s="1" t="s">
        <v>2591</v>
      </c>
      <c r="Y85" s="1">
        <v>7.5</v>
      </c>
    </row>
    <row r="86" spans="1:25" x14ac:dyDescent="0.3">
      <c r="A86" s="1" t="s">
        <v>234</v>
      </c>
      <c r="B86" s="1" t="s">
        <v>26</v>
      </c>
      <c r="C86" s="1" t="s">
        <v>27</v>
      </c>
      <c r="D86" s="1" t="s">
        <v>28</v>
      </c>
      <c r="E86" s="1" t="s">
        <v>74</v>
      </c>
      <c r="F86" s="1" t="s">
        <v>30</v>
      </c>
      <c r="G86" s="2">
        <v>156.57</v>
      </c>
      <c r="H86" s="1">
        <v>20</v>
      </c>
      <c r="I86" s="1">
        <v>270</v>
      </c>
      <c r="J86" s="1">
        <v>238</v>
      </c>
      <c r="K86" s="1">
        <v>65</v>
      </c>
      <c r="L86" s="1">
        <v>115</v>
      </c>
      <c r="M86" s="1" t="s">
        <v>31</v>
      </c>
      <c r="N86" s="1" t="s">
        <v>60</v>
      </c>
      <c r="O86" s="1" t="s">
        <v>195</v>
      </c>
      <c r="P86" s="2">
        <v>109.6</v>
      </c>
      <c r="Q86" s="1" t="str">
        <f t="shared" si="3"/>
        <v>YES</v>
      </c>
      <c r="R86" s="2">
        <f t="shared" si="4"/>
        <v>140.91300000000001</v>
      </c>
      <c r="S86" s="2">
        <f>J86*G86</f>
        <v>37263.659999999996</v>
      </c>
      <c r="T86" s="1">
        <f t="shared" ca="1" si="5"/>
        <v>63</v>
      </c>
      <c r="U86" s="1" t="s">
        <v>34</v>
      </c>
      <c r="V86" s="1" t="s">
        <v>34</v>
      </c>
      <c r="W86" s="1" t="s">
        <v>34</v>
      </c>
      <c r="X86" s="1" t="s">
        <v>2592</v>
      </c>
      <c r="Y86" s="1">
        <v>8</v>
      </c>
    </row>
    <row r="87" spans="1:25" x14ac:dyDescent="0.3">
      <c r="A87" s="1" t="s">
        <v>235</v>
      </c>
      <c r="B87" s="1" t="s">
        <v>63</v>
      </c>
      <c r="C87" s="1" t="s">
        <v>64</v>
      </c>
      <c r="D87" s="1" t="s">
        <v>28</v>
      </c>
      <c r="E87" s="1" t="s">
        <v>29</v>
      </c>
      <c r="F87" s="1" t="s">
        <v>54</v>
      </c>
      <c r="G87" s="2">
        <v>69.48</v>
      </c>
      <c r="H87" s="1">
        <v>20</v>
      </c>
      <c r="I87" s="1">
        <v>90</v>
      </c>
      <c r="J87" s="1">
        <v>79</v>
      </c>
      <c r="K87" s="1">
        <v>76</v>
      </c>
      <c r="L87" s="1">
        <v>111</v>
      </c>
      <c r="M87" s="1" t="s">
        <v>41</v>
      </c>
      <c r="N87" s="1" t="s">
        <v>60</v>
      </c>
      <c r="O87" s="1" t="s">
        <v>86</v>
      </c>
      <c r="P87" s="2">
        <v>48.64</v>
      </c>
      <c r="Q87" s="1" t="str">
        <f t="shared" si="3"/>
        <v>YES</v>
      </c>
      <c r="R87" s="2">
        <f t="shared" si="4"/>
        <v>62.532000000000004</v>
      </c>
      <c r="S87" s="2">
        <f>J87*G87</f>
        <v>5488.92</v>
      </c>
      <c r="T87" s="1">
        <f t="shared" ca="1" si="5"/>
        <v>121</v>
      </c>
      <c r="U87" s="1" t="s">
        <v>34</v>
      </c>
      <c r="V87" s="1" t="s">
        <v>34</v>
      </c>
      <c r="W87" s="1" t="s">
        <v>34</v>
      </c>
      <c r="X87" s="1" t="s">
        <v>2593</v>
      </c>
      <c r="Y87" s="1">
        <v>8.5</v>
      </c>
    </row>
    <row r="88" spans="1:25" x14ac:dyDescent="0.3">
      <c r="A88" s="1" t="s">
        <v>236</v>
      </c>
      <c r="B88" s="1" t="s">
        <v>237</v>
      </c>
      <c r="C88" s="1" t="s">
        <v>238</v>
      </c>
      <c r="D88" s="1" t="s">
        <v>85</v>
      </c>
      <c r="E88" s="1" t="s">
        <v>29</v>
      </c>
      <c r="F88" s="1" t="s">
        <v>30</v>
      </c>
      <c r="G88" s="2">
        <v>106.9</v>
      </c>
      <c r="H88" s="1">
        <v>19</v>
      </c>
      <c r="I88" s="1">
        <v>172</v>
      </c>
      <c r="J88" s="1">
        <v>164</v>
      </c>
      <c r="K88" s="1">
        <v>101</v>
      </c>
      <c r="L88" s="1">
        <v>149</v>
      </c>
      <c r="M88" s="1" t="s">
        <v>41</v>
      </c>
      <c r="N88" s="1" t="s">
        <v>32</v>
      </c>
      <c r="O88" s="1" t="s">
        <v>224</v>
      </c>
      <c r="P88" s="2">
        <v>74.83</v>
      </c>
      <c r="Q88" s="1" t="str">
        <f t="shared" si="3"/>
        <v>YES</v>
      </c>
      <c r="R88" s="2">
        <f t="shared" si="4"/>
        <v>96.210000000000008</v>
      </c>
      <c r="S88" s="2">
        <f>J88*G88</f>
        <v>17531.600000000002</v>
      </c>
      <c r="T88" s="1">
        <f t="shared" ca="1" si="5"/>
        <v>140</v>
      </c>
      <c r="U88" s="1" t="s">
        <v>34</v>
      </c>
      <c r="V88" s="1" t="s">
        <v>34</v>
      </c>
      <c r="W88" s="1" t="s">
        <v>34</v>
      </c>
      <c r="X88" s="1" t="s">
        <v>2594</v>
      </c>
      <c r="Y88" s="1">
        <v>9</v>
      </c>
    </row>
    <row r="89" spans="1:25" x14ac:dyDescent="0.3">
      <c r="A89" s="1" t="s">
        <v>239</v>
      </c>
      <c r="B89" s="1" t="s">
        <v>172</v>
      </c>
      <c r="C89" s="1" t="s">
        <v>173</v>
      </c>
      <c r="D89" s="1" t="s">
        <v>132</v>
      </c>
      <c r="E89" s="1" t="s">
        <v>40</v>
      </c>
      <c r="F89" s="1" t="s">
        <v>48</v>
      </c>
      <c r="G89" s="2">
        <v>69.42</v>
      </c>
      <c r="H89" s="1">
        <v>13</v>
      </c>
      <c r="I89" s="1">
        <v>149</v>
      </c>
      <c r="J89" s="1">
        <v>124</v>
      </c>
      <c r="K89" s="1">
        <v>112</v>
      </c>
      <c r="L89" s="1">
        <v>137</v>
      </c>
      <c r="M89" s="1" t="s">
        <v>49</v>
      </c>
      <c r="N89" s="1" t="s">
        <v>42</v>
      </c>
      <c r="O89" s="1" t="s">
        <v>240</v>
      </c>
      <c r="P89" s="2">
        <v>48.59</v>
      </c>
      <c r="Q89" s="1" t="str">
        <f t="shared" si="3"/>
        <v>YES</v>
      </c>
      <c r="R89" s="2">
        <f t="shared" si="4"/>
        <v>62.478000000000002</v>
      </c>
      <c r="S89" s="2">
        <f>J89*G89</f>
        <v>8608.08</v>
      </c>
      <c r="T89" s="1">
        <f t="shared" ca="1" si="5"/>
        <v>111</v>
      </c>
      <c r="U89" s="1" t="s">
        <v>34</v>
      </c>
      <c r="V89" s="1" t="s">
        <v>34</v>
      </c>
      <c r="W89" s="1" t="s">
        <v>34</v>
      </c>
      <c r="X89" s="1" t="s">
        <v>2522</v>
      </c>
      <c r="Y89" s="1">
        <v>9.5</v>
      </c>
    </row>
    <row r="90" spans="1:25" x14ac:dyDescent="0.3">
      <c r="A90" s="1" t="s">
        <v>241</v>
      </c>
      <c r="B90" s="1" t="s">
        <v>126</v>
      </c>
      <c r="C90" s="1" t="s">
        <v>127</v>
      </c>
      <c r="D90" s="1" t="s">
        <v>85</v>
      </c>
      <c r="E90" s="1" t="s">
        <v>74</v>
      </c>
      <c r="F90" s="1" t="s">
        <v>54</v>
      </c>
      <c r="G90" s="2">
        <v>450.23</v>
      </c>
      <c r="H90" s="1">
        <v>14</v>
      </c>
      <c r="I90" s="1">
        <v>85</v>
      </c>
      <c r="J90" s="1">
        <v>83</v>
      </c>
      <c r="K90" s="1">
        <v>68</v>
      </c>
      <c r="L90" s="1">
        <v>105</v>
      </c>
      <c r="M90" s="1" t="s">
        <v>31</v>
      </c>
      <c r="N90" s="1" t="s">
        <v>60</v>
      </c>
      <c r="O90" s="1" t="s">
        <v>242</v>
      </c>
      <c r="P90" s="2">
        <v>315.16000000000003</v>
      </c>
      <c r="Q90" s="1" t="str">
        <f t="shared" si="3"/>
        <v>YES</v>
      </c>
      <c r="R90" s="2">
        <f t="shared" si="4"/>
        <v>405.20700000000005</v>
      </c>
      <c r="S90" s="2">
        <f>J90*G90</f>
        <v>37369.090000000004</v>
      </c>
      <c r="T90" s="1">
        <f t="shared" ca="1" si="5"/>
        <v>105</v>
      </c>
      <c r="U90" s="1" t="s">
        <v>34</v>
      </c>
      <c r="V90" s="1" t="s">
        <v>34</v>
      </c>
      <c r="W90" s="1" t="s">
        <v>34</v>
      </c>
      <c r="X90" s="1" t="s">
        <v>2595</v>
      </c>
      <c r="Y90" s="1">
        <v>5</v>
      </c>
    </row>
    <row r="91" spans="1:25" x14ac:dyDescent="0.3">
      <c r="A91" s="1" t="s">
        <v>243</v>
      </c>
      <c r="B91" s="1" t="s">
        <v>237</v>
      </c>
      <c r="C91" s="1" t="s">
        <v>238</v>
      </c>
      <c r="D91" s="1" t="s">
        <v>85</v>
      </c>
      <c r="E91" s="1" t="s">
        <v>74</v>
      </c>
      <c r="F91" s="1" t="s">
        <v>48</v>
      </c>
      <c r="G91" s="2">
        <v>44.3</v>
      </c>
      <c r="H91" s="1">
        <v>17</v>
      </c>
      <c r="I91" s="1">
        <v>287</v>
      </c>
      <c r="J91" s="1">
        <v>281</v>
      </c>
      <c r="K91" s="1">
        <v>116</v>
      </c>
      <c r="L91" s="1">
        <v>74</v>
      </c>
      <c r="M91" s="1" t="s">
        <v>41</v>
      </c>
      <c r="N91" s="1" t="s">
        <v>60</v>
      </c>
      <c r="O91" s="1" t="s">
        <v>227</v>
      </c>
      <c r="P91" s="2">
        <v>31.01</v>
      </c>
      <c r="Q91" s="1" t="str">
        <f t="shared" si="3"/>
        <v>YES</v>
      </c>
      <c r="R91" s="2">
        <f t="shared" si="4"/>
        <v>39.869999999999997</v>
      </c>
      <c r="S91" s="2">
        <f>J91*G91</f>
        <v>12448.3</v>
      </c>
      <c r="T91" s="1">
        <f t="shared" ca="1" si="5"/>
        <v>132</v>
      </c>
      <c r="U91" s="1" t="s">
        <v>34</v>
      </c>
      <c r="V91" s="1" t="s">
        <v>34</v>
      </c>
      <c r="W91" s="1" t="s">
        <v>34</v>
      </c>
      <c r="X91" s="1" t="s">
        <v>2596</v>
      </c>
      <c r="Y91" s="1">
        <v>5.5</v>
      </c>
    </row>
    <row r="92" spans="1:25" x14ac:dyDescent="0.3">
      <c r="A92" s="1" t="s">
        <v>244</v>
      </c>
      <c r="B92" s="1" t="s">
        <v>69</v>
      </c>
      <c r="C92" s="1" t="s">
        <v>70</v>
      </c>
      <c r="D92" s="1" t="s">
        <v>59</v>
      </c>
      <c r="E92" s="1" t="s">
        <v>40</v>
      </c>
      <c r="F92" s="1" t="s">
        <v>48</v>
      </c>
      <c r="G92" s="2">
        <v>469.32</v>
      </c>
      <c r="H92" s="1">
        <v>10</v>
      </c>
      <c r="I92" s="1">
        <v>117</v>
      </c>
      <c r="J92" s="1">
        <v>101</v>
      </c>
      <c r="K92" s="1">
        <v>97</v>
      </c>
      <c r="L92" s="1">
        <v>98</v>
      </c>
      <c r="M92" s="1" t="s">
        <v>41</v>
      </c>
      <c r="N92" s="1" t="s">
        <v>42</v>
      </c>
      <c r="O92" s="1" t="s">
        <v>205</v>
      </c>
      <c r="P92" s="2">
        <v>328.52</v>
      </c>
      <c r="Q92" s="1" t="str">
        <f t="shared" si="3"/>
        <v>YES</v>
      </c>
      <c r="R92" s="2">
        <f t="shared" si="4"/>
        <v>422.38799999999998</v>
      </c>
      <c r="S92" s="2">
        <f>J92*G92</f>
        <v>47401.32</v>
      </c>
      <c r="T92" s="1">
        <f t="shared" ca="1" si="5"/>
        <v>74</v>
      </c>
      <c r="U92" s="1" t="s">
        <v>34</v>
      </c>
      <c r="V92" s="1" t="s">
        <v>34</v>
      </c>
      <c r="W92" s="1" t="s">
        <v>34</v>
      </c>
      <c r="X92" s="1" t="s">
        <v>2597</v>
      </c>
      <c r="Y92" s="1">
        <v>6</v>
      </c>
    </row>
    <row r="93" spans="1:25" x14ac:dyDescent="0.3">
      <c r="A93" s="1" t="s">
        <v>245</v>
      </c>
      <c r="B93" s="1" t="s">
        <v>197</v>
      </c>
      <c r="C93" s="1" t="s">
        <v>198</v>
      </c>
      <c r="D93" s="1" t="s">
        <v>104</v>
      </c>
      <c r="E93" s="1" t="s">
        <v>29</v>
      </c>
      <c r="F93" s="1" t="s">
        <v>30</v>
      </c>
      <c r="G93" s="2">
        <v>274.20999999999998</v>
      </c>
      <c r="H93" s="1">
        <v>8</v>
      </c>
      <c r="I93" s="1">
        <v>199</v>
      </c>
      <c r="J93" s="1">
        <v>165</v>
      </c>
      <c r="K93" s="1">
        <v>71</v>
      </c>
      <c r="L93" s="1">
        <v>129</v>
      </c>
      <c r="M93" s="1" t="s">
        <v>31</v>
      </c>
      <c r="N93" s="1" t="s">
        <v>42</v>
      </c>
      <c r="O93" s="1" t="s">
        <v>65</v>
      </c>
      <c r="P93" s="2">
        <v>191.95</v>
      </c>
      <c r="Q93" s="1" t="str">
        <f t="shared" si="3"/>
        <v>YES</v>
      </c>
      <c r="R93" s="2">
        <f t="shared" si="4"/>
        <v>246.78899999999999</v>
      </c>
      <c r="S93" s="2">
        <f>J93*G93</f>
        <v>45244.649999999994</v>
      </c>
      <c r="T93" s="1">
        <f t="shared" ca="1" si="5"/>
        <v>142</v>
      </c>
      <c r="U93" s="1" t="s">
        <v>34</v>
      </c>
      <c r="V93" s="1" t="s">
        <v>34</v>
      </c>
      <c r="W93" s="1" t="s">
        <v>34</v>
      </c>
      <c r="X93" s="1" t="s">
        <v>2578</v>
      </c>
      <c r="Y93" s="1">
        <v>6.5</v>
      </c>
    </row>
    <row r="94" spans="1:25" x14ac:dyDescent="0.3">
      <c r="A94" s="1" t="s">
        <v>246</v>
      </c>
      <c r="B94" s="1" t="s">
        <v>72</v>
      </c>
      <c r="C94" s="1" t="s">
        <v>73</v>
      </c>
      <c r="D94" s="1" t="s">
        <v>47</v>
      </c>
      <c r="E94" s="1" t="s">
        <v>29</v>
      </c>
      <c r="F94" s="1" t="s">
        <v>30</v>
      </c>
      <c r="G94" s="2">
        <v>72.349999999999994</v>
      </c>
      <c r="H94" s="1">
        <v>11</v>
      </c>
      <c r="I94" s="1">
        <v>196</v>
      </c>
      <c r="J94" s="1">
        <v>178</v>
      </c>
      <c r="K94" s="1">
        <v>82</v>
      </c>
      <c r="L94" s="1">
        <v>129</v>
      </c>
      <c r="M94" s="1" t="s">
        <v>41</v>
      </c>
      <c r="N94" s="1" t="s">
        <v>32</v>
      </c>
      <c r="O94" s="1" t="s">
        <v>247</v>
      </c>
      <c r="P94" s="2">
        <v>50.64</v>
      </c>
      <c r="Q94" s="1" t="str">
        <f t="shared" si="3"/>
        <v>YES</v>
      </c>
      <c r="R94" s="2">
        <f t="shared" si="4"/>
        <v>65.114999999999995</v>
      </c>
      <c r="S94" s="2">
        <f>J94*G94</f>
        <v>12878.3</v>
      </c>
      <c r="T94" s="1">
        <f t="shared" ca="1" si="5"/>
        <v>125</v>
      </c>
      <c r="U94" s="1" t="s">
        <v>34</v>
      </c>
      <c r="V94" s="1" t="s">
        <v>34</v>
      </c>
      <c r="W94" s="1" t="s">
        <v>34</v>
      </c>
      <c r="X94" s="1" t="s">
        <v>2598</v>
      </c>
      <c r="Y94" s="1">
        <v>7</v>
      </c>
    </row>
    <row r="95" spans="1:25" x14ac:dyDescent="0.3">
      <c r="A95" s="1" t="s">
        <v>248</v>
      </c>
      <c r="B95" s="1" t="s">
        <v>237</v>
      </c>
      <c r="C95" s="1" t="s">
        <v>238</v>
      </c>
      <c r="D95" s="1" t="s">
        <v>85</v>
      </c>
      <c r="E95" s="1" t="s">
        <v>29</v>
      </c>
      <c r="F95" s="1" t="s">
        <v>48</v>
      </c>
      <c r="G95" s="2">
        <v>351.55</v>
      </c>
      <c r="H95" s="1">
        <v>6</v>
      </c>
      <c r="I95" s="1">
        <v>203</v>
      </c>
      <c r="J95" s="1">
        <v>170</v>
      </c>
      <c r="K95" s="1">
        <v>81</v>
      </c>
      <c r="L95" s="1">
        <v>137</v>
      </c>
      <c r="M95" s="1" t="s">
        <v>41</v>
      </c>
      <c r="N95" s="1" t="s">
        <v>60</v>
      </c>
      <c r="O95" s="1" t="s">
        <v>81</v>
      </c>
      <c r="P95" s="2">
        <v>246.08</v>
      </c>
      <c r="Q95" s="1" t="str">
        <f t="shared" si="3"/>
        <v>YES</v>
      </c>
      <c r="R95" s="2">
        <f t="shared" si="4"/>
        <v>316.39500000000004</v>
      </c>
      <c r="S95" s="2">
        <f>J95*G95</f>
        <v>59763.5</v>
      </c>
      <c r="T95" s="1">
        <f t="shared" ca="1" si="5"/>
        <v>81</v>
      </c>
      <c r="U95" s="1" t="s">
        <v>34</v>
      </c>
      <c r="V95" s="1" t="s">
        <v>34</v>
      </c>
      <c r="W95" s="1" t="s">
        <v>34</v>
      </c>
      <c r="X95" s="1" t="s">
        <v>2599</v>
      </c>
      <c r="Y95" s="1">
        <v>7.5</v>
      </c>
    </row>
    <row r="96" spans="1:25" x14ac:dyDescent="0.3">
      <c r="A96" s="1" t="s">
        <v>249</v>
      </c>
      <c r="B96" s="1" t="s">
        <v>37</v>
      </c>
      <c r="C96" s="1" t="s">
        <v>38</v>
      </c>
      <c r="D96" s="1" t="s">
        <v>39</v>
      </c>
      <c r="E96" s="1" t="s">
        <v>74</v>
      </c>
      <c r="F96" s="1" t="s">
        <v>54</v>
      </c>
      <c r="G96" s="2">
        <v>144.37</v>
      </c>
      <c r="H96" s="1">
        <v>13</v>
      </c>
      <c r="I96" s="1">
        <v>195</v>
      </c>
      <c r="J96" s="1">
        <v>183</v>
      </c>
      <c r="K96" s="1">
        <v>91</v>
      </c>
      <c r="L96" s="1">
        <v>99</v>
      </c>
      <c r="M96" s="1" t="s">
        <v>41</v>
      </c>
      <c r="N96" s="1" t="s">
        <v>60</v>
      </c>
      <c r="O96" s="1" t="s">
        <v>55</v>
      </c>
      <c r="P96" s="2">
        <v>101.06</v>
      </c>
      <c r="Q96" s="1" t="str">
        <f t="shared" si="3"/>
        <v>YES</v>
      </c>
      <c r="R96" s="2">
        <f t="shared" si="4"/>
        <v>129.93300000000002</v>
      </c>
      <c r="S96" s="2">
        <f>J96*G96</f>
        <v>26419.71</v>
      </c>
      <c r="T96" s="1">
        <f t="shared" ca="1" si="5"/>
        <v>91</v>
      </c>
      <c r="U96" s="1" t="s">
        <v>34</v>
      </c>
      <c r="V96" s="1" t="s">
        <v>34</v>
      </c>
      <c r="W96" s="1" t="s">
        <v>34</v>
      </c>
      <c r="X96" s="1" t="s">
        <v>2556</v>
      </c>
      <c r="Y96" s="1">
        <v>8</v>
      </c>
    </row>
    <row r="97" spans="1:25" x14ac:dyDescent="0.3">
      <c r="A97" s="1" t="s">
        <v>250</v>
      </c>
      <c r="B97" s="1" t="s">
        <v>69</v>
      </c>
      <c r="C97" s="1" t="s">
        <v>70</v>
      </c>
      <c r="D97" s="1" t="s">
        <v>59</v>
      </c>
      <c r="E97" s="1" t="s">
        <v>74</v>
      </c>
      <c r="F97" s="1" t="s">
        <v>30</v>
      </c>
      <c r="G97" s="2">
        <v>188.59</v>
      </c>
      <c r="H97" s="1">
        <v>24</v>
      </c>
      <c r="I97" s="1">
        <v>255</v>
      </c>
      <c r="J97" s="1">
        <v>255</v>
      </c>
      <c r="K97" s="1">
        <v>111</v>
      </c>
      <c r="L97" s="1">
        <v>93</v>
      </c>
      <c r="M97" s="1" t="s">
        <v>49</v>
      </c>
      <c r="N97" s="1" t="s">
        <v>42</v>
      </c>
      <c r="O97" s="1" t="s">
        <v>137</v>
      </c>
      <c r="P97" s="2">
        <v>132.01</v>
      </c>
      <c r="Q97" s="1" t="str">
        <f t="shared" si="3"/>
        <v>YES</v>
      </c>
      <c r="R97" s="2">
        <f t="shared" si="4"/>
        <v>169.73099999999999</v>
      </c>
      <c r="S97" s="2">
        <f>J97*G97</f>
        <v>48090.450000000004</v>
      </c>
      <c r="T97" s="1">
        <f t="shared" ca="1" si="5"/>
        <v>107</v>
      </c>
      <c r="U97" s="1" t="s">
        <v>34</v>
      </c>
      <c r="V97" s="1" t="s">
        <v>34</v>
      </c>
      <c r="W97" s="1" t="s">
        <v>34</v>
      </c>
      <c r="X97" s="1" t="s">
        <v>2600</v>
      </c>
      <c r="Y97" s="1">
        <v>8.5</v>
      </c>
    </row>
    <row r="98" spans="1:25" x14ac:dyDescent="0.3">
      <c r="A98" s="1" t="s">
        <v>251</v>
      </c>
      <c r="B98" s="1" t="s">
        <v>72</v>
      </c>
      <c r="C98" s="1" t="s">
        <v>73</v>
      </c>
      <c r="D98" s="1" t="s">
        <v>47</v>
      </c>
      <c r="E98" s="1" t="s">
        <v>29</v>
      </c>
      <c r="F98" s="1" t="s">
        <v>48</v>
      </c>
      <c r="G98" s="2">
        <v>236.39</v>
      </c>
      <c r="H98" s="1">
        <v>0</v>
      </c>
      <c r="I98" s="1">
        <v>159</v>
      </c>
      <c r="J98" s="1">
        <v>158</v>
      </c>
      <c r="K98" s="1">
        <v>56</v>
      </c>
      <c r="L98" s="1">
        <v>65</v>
      </c>
      <c r="M98" s="1" t="s">
        <v>31</v>
      </c>
      <c r="N98" s="1" t="s">
        <v>32</v>
      </c>
      <c r="O98" s="1" t="s">
        <v>141</v>
      </c>
      <c r="P98" s="2">
        <v>165.47</v>
      </c>
      <c r="Q98" s="1" t="str">
        <f t="shared" si="3"/>
        <v>YES</v>
      </c>
      <c r="R98" s="2">
        <f t="shared" si="4"/>
        <v>212.751</v>
      </c>
      <c r="S98" s="2">
        <f>J98*G98</f>
        <v>37349.619999999995</v>
      </c>
      <c r="T98" s="1">
        <f t="shared" ca="1" si="5"/>
        <v>118</v>
      </c>
      <c r="U98" s="1" t="s">
        <v>34</v>
      </c>
      <c r="V98" s="1" t="s">
        <v>34</v>
      </c>
      <c r="W98" s="1" t="s">
        <v>34</v>
      </c>
      <c r="X98" s="1" t="s">
        <v>2601</v>
      </c>
      <c r="Y98" s="1">
        <v>9</v>
      </c>
    </row>
    <row r="99" spans="1:25" x14ac:dyDescent="0.3">
      <c r="A99" s="1" t="s">
        <v>252</v>
      </c>
      <c r="B99" s="1" t="s">
        <v>118</v>
      </c>
      <c r="C99" s="1" t="s">
        <v>119</v>
      </c>
      <c r="D99" s="1" t="s">
        <v>97</v>
      </c>
      <c r="E99" s="1" t="s">
        <v>29</v>
      </c>
      <c r="F99" s="1" t="s">
        <v>54</v>
      </c>
      <c r="G99" s="2">
        <v>393.71</v>
      </c>
      <c r="H99" s="1">
        <v>6</v>
      </c>
      <c r="I99" s="1">
        <v>280</v>
      </c>
      <c r="J99" s="1">
        <v>243</v>
      </c>
      <c r="K99" s="1">
        <v>90</v>
      </c>
      <c r="L99" s="1">
        <v>61</v>
      </c>
      <c r="M99" s="1" t="s">
        <v>41</v>
      </c>
      <c r="N99" s="1" t="s">
        <v>60</v>
      </c>
      <c r="O99" s="1" t="s">
        <v>161</v>
      </c>
      <c r="P99" s="2">
        <v>275.60000000000002</v>
      </c>
      <c r="Q99" s="1" t="str">
        <f t="shared" si="3"/>
        <v>YES</v>
      </c>
      <c r="R99" s="2">
        <f t="shared" si="4"/>
        <v>354.339</v>
      </c>
      <c r="S99" s="2">
        <f>J99*G99</f>
        <v>95671.53</v>
      </c>
      <c r="T99" s="1">
        <f t="shared" ca="1" si="5"/>
        <v>69</v>
      </c>
      <c r="U99" s="1" t="s">
        <v>34</v>
      </c>
      <c r="V99" s="1" t="s">
        <v>34</v>
      </c>
      <c r="W99" s="1" t="s">
        <v>34</v>
      </c>
      <c r="X99" s="1" t="s">
        <v>2602</v>
      </c>
      <c r="Y99" s="1">
        <v>9.5</v>
      </c>
    </row>
    <row r="100" spans="1:25" x14ac:dyDescent="0.3">
      <c r="A100" s="1" t="s">
        <v>253</v>
      </c>
      <c r="B100" s="1" t="s">
        <v>57</v>
      </c>
      <c r="C100" s="1" t="s">
        <v>58</v>
      </c>
      <c r="D100" s="1" t="s">
        <v>59</v>
      </c>
      <c r="E100" s="1" t="s">
        <v>74</v>
      </c>
      <c r="F100" s="1" t="s">
        <v>30</v>
      </c>
      <c r="G100" s="2">
        <v>159.5</v>
      </c>
      <c r="H100" s="1">
        <v>17</v>
      </c>
      <c r="I100" s="1">
        <v>292</v>
      </c>
      <c r="J100" s="1">
        <v>273</v>
      </c>
      <c r="K100" s="1">
        <v>81</v>
      </c>
      <c r="L100" s="1">
        <v>56</v>
      </c>
      <c r="M100" s="1" t="s">
        <v>49</v>
      </c>
      <c r="N100" s="1" t="s">
        <v>42</v>
      </c>
      <c r="O100" s="1" t="s">
        <v>254</v>
      </c>
      <c r="P100" s="2">
        <v>111.65</v>
      </c>
      <c r="Q100" s="1" t="str">
        <f t="shared" si="3"/>
        <v>YES</v>
      </c>
      <c r="R100" s="2">
        <f t="shared" si="4"/>
        <v>143.55000000000001</v>
      </c>
      <c r="S100" s="2">
        <f>J100*G100</f>
        <v>43543.5</v>
      </c>
      <c r="T100" s="1">
        <f t="shared" ca="1" si="5"/>
        <v>145</v>
      </c>
      <c r="U100" s="1" t="s">
        <v>34</v>
      </c>
      <c r="V100" s="1" t="s">
        <v>34</v>
      </c>
      <c r="W100" s="1" t="s">
        <v>34</v>
      </c>
      <c r="X100" s="1" t="s">
        <v>2603</v>
      </c>
      <c r="Y100" s="1">
        <v>5</v>
      </c>
    </row>
    <row r="101" spans="1:25" x14ac:dyDescent="0.3">
      <c r="A101" s="1" t="s">
        <v>255</v>
      </c>
      <c r="B101" s="1" t="s">
        <v>45</v>
      </c>
      <c r="C101" s="1" t="s">
        <v>46</v>
      </c>
      <c r="D101" s="1" t="s">
        <v>47</v>
      </c>
      <c r="E101" s="1" t="s">
        <v>40</v>
      </c>
      <c r="F101" s="1" t="s">
        <v>48</v>
      </c>
      <c r="G101" s="2">
        <v>223.4</v>
      </c>
      <c r="H101" s="1">
        <v>3</v>
      </c>
      <c r="I101" s="1">
        <v>100</v>
      </c>
      <c r="J101" s="1">
        <v>63</v>
      </c>
      <c r="K101" s="1">
        <v>78</v>
      </c>
      <c r="L101" s="1">
        <v>136</v>
      </c>
      <c r="M101" s="1" t="s">
        <v>49</v>
      </c>
      <c r="N101" s="1" t="s">
        <v>32</v>
      </c>
      <c r="O101" s="1" t="s">
        <v>105</v>
      </c>
      <c r="P101" s="2">
        <v>156.38</v>
      </c>
      <c r="Q101" s="1" t="str">
        <f t="shared" si="3"/>
        <v>NO</v>
      </c>
      <c r="R101" s="2">
        <f t="shared" si="4"/>
        <v>223.4</v>
      </c>
      <c r="S101" s="2">
        <f>J101*G101</f>
        <v>14074.2</v>
      </c>
      <c r="T101" s="1">
        <f t="shared" ca="1" si="5"/>
        <v>144</v>
      </c>
      <c r="U101" s="1" t="s">
        <v>34</v>
      </c>
      <c r="V101" s="1" t="s">
        <v>34</v>
      </c>
      <c r="W101" s="1" t="s">
        <v>34</v>
      </c>
      <c r="X101" s="1" t="s">
        <v>2604</v>
      </c>
      <c r="Y101" s="1">
        <v>5.5</v>
      </c>
    </row>
    <row r="102" spans="1:25" x14ac:dyDescent="0.3">
      <c r="A102" s="1" t="s">
        <v>256</v>
      </c>
      <c r="B102" s="1" t="s">
        <v>57</v>
      </c>
      <c r="C102" s="1" t="s">
        <v>58</v>
      </c>
      <c r="D102" s="1" t="s">
        <v>59</v>
      </c>
      <c r="E102" s="1" t="s">
        <v>74</v>
      </c>
      <c r="F102" s="1" t="s">
        <v>54</v>
      </c>
      <c r="G102" s="2">
        <v>61.22</v>
      </c>
      <c r="H102" s="1">
        <v>22</v>
      </c>
      <c r="I102" s="1">
        <v>184</v>
      </c>
      <c r="J102" s="1">
        <v>172</v>
      </c>
      <c r="K102" s="1">
        <v>88</v>
      </c>
      <c r="L102" s="1">
        <v>142</v>
      </c>
      <c r="M102" s="1" t="s">
        <v>41</v>
      </c>
      <c r="N102" s="1" t="s">
        <v>42</v>
      </c>
      <c r="O102" s="1" t="s">
        <v>257</v>
      </c>
      <c r="P102" s="2">
        <v>42.85</v>
      </c>
      <c r="Q102" s="1" t="str">
        <f t="shared" si="3"/>
        <v>YES</v>
      </c>
      <c r="R102" s="2">
        <f t="shared" si="4"/>
        <v>55.097999999999999</v>
      </c>
      <c r="S102" s="2">
        <f>J102*G102</f>
        <v>10529.84</v>
      </c>
      <c r="T102" s="1">
        <f t="shared" ca="1" si="5"/>
        <v>113</v>
      </c>
      <c r="U102" s="1" t="s">
        <v>34</v>
      </c>
      <c r="V102" s="1" t="s">
        <v>34</v>
      </c>
      <c r="W102" s="1" t="s">
        <v>34</v>
      </c>
      <c r="X102" s="1" t="s">
        <v>2605</v>
      </c>
      <c r="Y102" s="1">
        <v>6</v>
      </c>
    </row>
    <row r="103" spans="1:25" x14ac:dyDescent="0.3">
      <c r="A103" s="1" t="s">
        <v>258</v>
      </c>
      <c r="B103" s="1" t="s">
        <v>37</v>
      </c>
      <c r="C103" s="1" t="s">
        <v>38</v>
      </c>
      <c r="D103" s="1" t="s">
        <v>39</v>
      </c>
      <c r="E103" s="1" t="s">
        <v>40</v>
      </c>
      <c r="F103" s="1" t="s">
        <v>54</v>
      </c>
      <c r="G103" s="2">
        <v>93.65</v>
      </c>
      <c r="H103" s="1">
        <v>18</v>
      </c>
      <c r="I103" s="1">
        <v>208</v>
      </c>
      <c r="J103" s="1">
        <v>190</v>
      </c>
      <c r="K103" s="1">
        <v>114</v>
      </c>
      <c r="L103" s="1">
        <v>54</v>
      </c>
      <c r="M103" s="1" t="s">
        <v>31</v>
      </c>
      <c r="N103" s="1" t="s">
        <v>42</v>
      </c>
      <c r="O103" s="1" t="s">
        <v>43</v>
      </c>
      <c r="P103" s="2">
        <v>65.56</v>
      </c>
      <c r="Q103" s="1" t="str">
        <f t="shared" si="3"/>
        <v>YES</v>
      </c>
      <c r="R103" s="2">
        <f t="shared" si="4"/>
        <v>84.285000000000011</v>
      </c>
      <c r="S103" s="2">
        <f>J103*G103</f>
        <v>17793.5</v>
      </c>
      <c r="T103" s="1">
        <f t="shared" ca="1" si="5"/>
        <v>117</v>
      </c>
      <c r="U103" s="1" t="s">
        <v>34</v>
      </c>
      <c r="V103" s="1" t="s">
        <v>34</v>
      </c>
      <c r="W103" s="1" t="s">
        <v>34</v>
      </c>
      <c r="X103" s="1" t="s">
        <v>2606</v>
      </c>
      <c r="Y103" s="1">
        <v>6.5</v>
      </c>
    </row>
    <row r="104" spans="1:25" x14ac:dyDescent="0.3">
      <c r="A104" s="1" t="s">
        <v>259</v>
      </c>
      <c r="B104" s="1" t="s">
        <v>166</v>
      </c>
      <c r="C104" s="1" t="s">
        <v>167</v>
      </c>
      <c r="D104" s="1" t="s">
        <v>59</v>
      </c>
      <c r="E104" s="1" t="s">
        <v>40</v>
      </c>
      <c r="F104" s="1" t="s">
        <v>48</v>
      </c>
      <c r="G104" s="2">
        <v>227.44</v>
      </c>
      <c r="H104" s="1">
        <v>25</v>
      </c>
      <c r="I104" s="1">
        <v>138</v>
      </c>
      <c r="J104" s="1">
        <v>117</v>
      </c>
      <c r="K104" s="1">
        <v>106</v>
      </c>
      <c r="L104" s="1">
        <v>88</v>
      </c>
      <c r="M104" s="1" t="s">
        <v>31</v>
      </c>
      <c r="N104" s="1" t="s">
        <v>42</v>
      </c>
      <c r="O104" s="1" t="s">
        <v>260</v>
      </c>
      <c r="P104" s="2">
        <v>159.21</v>
      </c>
      <c r="Q104" s="1" t="str">
        <f t="shared" si="3"/>
        <v>YES</v>
      </c>
      <c r="R104" s="2">
        <f t="shared" si="4"/>
        <v>204.696</v>
      </c>
      <c r="S104" s="2">
        <f>J104*G104</f>
        <v>26610.48</v>
      </c>
      <c r="T104" s="1">
        <f t="shared" ca="1" si="5"/>
        <v>70</v>
      </c>
      <c r="U104" s="1" t="s">
        <v>34</v>
      </c>
      <c r="V104" s="1" t="s">
        <v>34</v>
      </c>
      <c r="W104" s="1" t="s">
        <v>34</v>
      </c>
      <c r="X104" s="1" t="s">
        <v>2607</v>
      </c>
      <c r="Y104" s="1">
        <v>7</v>
      </c>
    </row>
    <row r="105" spans="1:25" x14ac:dyDescent="0.3">
      <c r="A105" s="1" t="s">
        <v>261</v>
      </c>
      <c r="B105" s="1" t="s">
        <v>262</v>
      </c>
      <c r="C105" s="1" t="s">
        <v>263</v>
      </c>
      <c r="D105" s="1" t="s">
        <v>104</v>
      </c>
      <c r="E105" s="1" t="s">
        <v>74</v>
      </c>
      <c r="F105" s="1" t="s">
        <v>30</v>
      </c>
      <c r="G105" s="2">
        <v>237.79</v>
      </c>
      <c r="H105" s="1">
        <v>12</v>
      </c>
      <c r="I105" s="1">
        <v>213</v>
      </c>
      <c r="J105" s="1">
        <v>184</v>
      </c>
      <c r="K105" s="1">
        <v>47</v>
      </c>
      <c r="L105" s="1">
        <v>108</v>
      </c>
      <c r="M105" s="1" t="s">
        <v>49</v>
      </c>
      <c r="N105" s="1" t="s">
        <v>32</v>
      </c>
      <c r="O105" s="1" t="s">
        <v>264</v>
      </c>
      <c r="P105" s="2">
        <v>166.45</v>
      </c>
      <c r="Q105" s="1" t="str">
        <f t="shared" si="3"/>
        <v>YES</v>
      </c>
      <c r="R105" s="2">
        <f t="shared" si="4"/>
        <v>214.011</v>
      </c>
      <c r="S105" s="2">
        <f>J105*G105</f>
        <v>43753.36</v>
      </c>
      <c r="T105" s="1">
        <f t="shared" ca="1" si="5"/>
        <v>84</v>
      </c>
      <c r="U105" s="1" t="s">
        <v>34</v>
      </c>
      <c r="V105" s="1" t="s">
        <v>34</v>
      </c>
      <c r="W105" s="1" t="s">
        <v>34</v>
      </c>
      <c r="X105" s="1" t="s">
        <v>2566</v>
      </c>
      <c r="Y105" s="1">
        <v>7.5</v>
      </c>
    </row>
    <row r="106" spans="1:25" x14ac:dyDescent="0.3">
      <c r="A106" s="1" t="s">
        <v>265</v>
      </c>
      <c r="B106" s="1" t="s">
        <v>72</v>
      </c>
      <c r="C106" s="1" t="s">
        <v>73</v>
      </c>
      <c r="D106" s="1" t="s">
        <v>47</v>
      </c>
      <c r="E106" s="1" t="s">
        <v>29</v>
      </c>
      <c r="F106" s="1" t="s">
        <v>48</v>
      </c>
      <c r="G106" s="2">
        <v>211.64</v>
      </c>
      <c r="H106" s="1">
        <v>19</v>
      </c>
      <c r="I106" s="1">
        <v>191</v>
      </c>
      <c r="J106" s="1">
        <v>154</v>
      </c>
      <c r="K106" s="1">
        <v>42</v>
      </c>
      <c r="L106" s="1">
        <v>85</v>
      </c>
      <c r="M106" s="1" t="s">
        <v>31</v>
      </c>
      <c r="N106" s="1" t="s">
        <v>32</v>
      </c>
      <c r="O106" s="1" t="s">
        <v>266</v>
      </c>
      <c r="P106" s="2">
        <v>148.15</v>
      </c>
      <c r="Q106" s="1" t="str">
        <f t="shared" si="3"/>
        <v>YES</v>
      </c>
      <c r="R106" s="2">
        <f t="shared" si="4"/>
        <v>190.476</v>
      </c>
      <c r="S106" s="2">
        <f>J106*G106</f>
        <v>32592.559999999998</v>
      </c>
      <c r="T106" s="1">
        <f t="shared" ca="1" si="5"/>
        <v>139</v>
      </c>
      <c r="U106" s="1" t="s">
        <v>34</v>
      </c>
      <c r="V106" s="1" t="s">
        <v>34</v>
      </c>
      <c r="W106" s="1" t="s">
        <v>34</v>
      </c>
      <c r="X106" s="1" t="s">
        <v>2608</v>
      </c>
      <c r="Y106" s="1">
        <v>8</v>
      </c>
    </row>
    <row r="107" spans="1:25" x14ac:dyDescent="0.3">
      <c r="A107" s="1" t="s">
        <v>267</v>
      </c>
      <c r="B107" s="1" t="s">
        <v>107</v>
      </c>
      <c r="C107" s="1" t="s">
        <v>108</v>
      </c>
      <c r="D107" s="1" t="s">
        <v>39</v>
      </c>
      <c r="E107" s="1" t="s">
        <v>40</v>
      </c>
      <c r="F107" s="1" t="s">
        <v>54</v>
      </c>
      <c r="G107" s="2">
        <v>211.68</v>
      </c>
      <c r="H107" s="1">
        <v>9</v>
      </c>
      <c r="I107" s="1">
        <v>168</v>
      </c>
      <c r="J107" s="1">
        <v>160</v>
      </c>
      <c r="K107" s="1">
        <v>103</v>
      </c>
      <c r="L107" s="1">
        <v>131</v>
      </c>
      <c r="M107" s="1" t="s">
        <v>41</v>
      </c>
      <c r="N107" s="1" t="s">
        <v>42</v>
      </c>
      <c r="O107" s="1" t="s">
        <v>229</v>
      </c>
      <c r="P107" s="2">
        <v>148.18</v>
      </c>
      <c r="Q107" s="1" t="str">
        <f t="shared" si="3"/>
        <v>YES</v>
      </c>
      <c r="R107" s="2">
        <f t="shared" si="4"/>
        <v>190.512</v>
      </c>
      <c r="S107" s="2">
        <f>J107*G107</f>
        <v>33868.800000000003</v>
      </c>
      <c r="T107" s="1">
        <f t="shared" ca="1" si="5"/>
        <v>128</v>
      </c>
      <c r="U107" s="1" t="s">
        <v>34</v>
      </c>
      <c r="V107" s="1" t="s">
        <v>34</v>
      </c>
      <c r="W107" s="1" t="s">
        <v>34</v>
      </c>
      <c r="X107" s="1" t="s">
        <v>2602</v>
      </c>
      <c r="Y107" s="1">
        <v>8.5</v>
      </c>
    </row>
    <row r="108" spans="1:25" x14ac:dyDescent="0.3">
      <c r="A108" s="1" t="s">
        <v>268</v>
      </c>
      <c r="B108" s="1" t="s">
        <v>111</v>
      </c>
      <c r="C108" s="1" t="s">
        <v>112</v>
      </c>
      <c r="D108" s="1" t="s">
        <v>97</v>
      </c>
      <c r="E108" s="1" t="s">
        <v>29</v>
      </c>
      <c r="F108" s="1" t="s">
        <v>54</v>
      </c>
      <c r="G108" s="2">
        <v>411.22</v>
      </c>
      <c r="H108" s="1">
        <v>2</v>
      </c>
      <c r="I108" s="1">
        <v>172</v>
      </c>
      <c r="J108" s="1">
        <v>160</v>
      </c>
      <c r="K108" s="1">
        <v>90</v>
      </c>
      <c r="L108" s="1">
        <v>96</v>
      </c>
      <c r="M108" s="1" t="s">
        <v>41</v>
      </c>
      <c r="N108" s="1" t="s">
        <v>60</v>
      </c>
      <c r="O108" s="1" t="s">
        <v>35</v>
      </c>
      <c r="P108" s="2">
        <v>287.85000000000002</v>
      </c>
      <c r="Q108" s="1" t="str">
        <f t="shared" si="3"/>
        <v>YES</v>
      </c>
      <c r="R108" s="2">
        <f t="shared" si="4"/>
        <v>370.09800000000001</v>
      </c>
      <c r="S108" s="2">
        <f>J108*G108</f>
        <v>65795.200000000012</v>
      </c>
      <c r="T108" s="1">
        <f t="shared" ca="1" si="5"/>
        <v>85</v>
      </c>
      <c r="U108" s="1" t="s">
        <v>34</v>
      </c>
      <c r="V108" s="1" t="s">
        <v>34</v>
      </c>
      <c r="W108" s="1" t="s">
        <v>34</v>
      </c>
      <c r="X108" s="1" t="s">
        <v>2609</v>
      </c>
      <c r="Y108" s="1">
        <v>9</v>
      </c>
    </row>
    <row r="109" spans="1:25" x14ac:dyDescent="0.3">
      <c r="A109" s="1" t="s">
        <v>269</v>
      </c>
      <c r="B109" s="1" t="s">
        <v>37</v>
      </c>
      <c r="C109" s="1" t="s">
        <v>38</v>
      </c>
      <c r="D109" s="1" t="s">
        <v>39</v>
      </c>
      <c r="E109" s="1" t="s">
        <v>74</v>
      </c>
      <c r="F109" s="1" t="s">
        <v>48</v>
      </c>
      <c r="G109" s="2">
        <v>267.60000000000002</v>
      </c>
      <c r="H109" s="1">
        <v>14</v>
      </c>
      <c r="I109" s="1">
        <v>270</v>
      </c>
      <c r="J109" s="1">
        <v>260</v>
      </c>
      <c r="K109" s="1">
        <v>58</v>
      </c>
      <c r="L109" s="1">
        <v>114</v>
      </c>
      <c r="M109" s="1" t="s">
        <v>49</v>
      </c>
      <c r="N109" s="1" t="s">
        <v>60</v>
      </c>
      <c r="O109" s="1" t="s">
        <v>121</v>
      </c>
      <c r="P109" s="2">
        <v>187.32</v>
      </c>
      <c r="Q109" s="1" t="str">
        <f t="shared" si="3"/>
        <v>YES</v>
      </c>
      <c r="R109" s="2">
        <f t="shared" si="4"/>
        <v>240.84000000000003</v>
      </c>
      <c r="S109" s="2">
        <f>J109*G109</f>
        <v>69576</v>
      </c>
      <c r="T109" s="1">
        <f t="shared" ca="1" si="5"/>
        <v>130</v>
      </c>
      <c r="U109" s="1" t="s">
        <v>34</v>
      </c>
      <c r="V109" s="1" t="s">
        <v>34</v>
      </c>
      <c r="W109" s="1" t="s">
        <v>34</v>
      </c>
      <c r="X109" s="1" t="s">
        <v>2610</v>
      </c>
      <c r="Y109" s="1">
        <v>9.5</v>
      </c>
    </row>
    <row r="110" spans="1:25" x14ac:dyDescent="0.3">
      <c r="A110" s="1" t="s">
        <v>270</v>
      </c>
      <c r="B110" s="1" t="s">
        <v>69</v>
      </c>
      <c r="C110" s="1" t="s">
        <v>70</v>
      </c>
      <c r="D110" s="1" t="s">
        <v>59</v>
      </c>
      <c r="E110" s="1" t="s">
        <v>74</v>
      </c>
      <c r="F110" s="1" t="s">
        <v>54</v>
      </c>
      <c r="G110" s="2">
        <v>236.93</v>
      </c>
      <c r="H110" s="1">
        <v>1</v>
      </c>
      <c r="I110" s="1">
        <v>257</v>
      </c>
      <c r="J110" s="1">
        <v>235</v>
      </c>
      <c r="K110" s="1">
        <v>92</v>
      </c>
      <c r="L110" s="1">
        <v>141</v>
      </c>
      <c r="M110" s="1" t="s">
        <v>41</v>
      </c>
      <c r="N110" s="1" t="s">
        <v>32</v>
      </c>
      <c r="O110" s="1" t="s">
        <v>183</v>
      </c>
      <c r="P110" s="2">
        <v>165.85</v>
      </c>
      <c r="Q110" s="1" t="str">
        <f t="shared" si="3"/>
        <v>YES</v>
      </c>
      <c r="R110" s="2">
        <f t="shared" si="4"/>
        <v>213.23700000000002</v>
      </c>
      <c r="S110" s="2">
        <f>J110*G110</f>
        <v>55678.55</v>
      </c>
      <c r="T110" s="1">
        <f t="shared" ca="1" si="5"/>
        <v>115</v>
      </c>
      <c r="U110" s="1" t="s">
        <v>34</v>
      </c>
      <c r="V110" s="1" t="s">
        <v>34</v>
      </c>
      <c r="W110" s="1" t="s">
        <v>34</v>
      </c>
      <c r="X110" s="1" t="s">
        <v>2564</v>
      </c>
      <c r="Y110" s="1">
        <v>5</v>
      </c>
    </row>
    <row r="111" spans="1:25" x14ac:dyDescent="0.3">
      <c r="A111" s="1" t="s">
        <v>271</v>
      </c>
      <c r="B111" s="1" t="s">
        <v>123</v>
      </c>
      <c r="C111" s="1" t="s">
        <v>124</v>
      </c>
      <c r="D111" s="1" t="s">
        <v>47</v>
      </c>
      <c r="E111" s="1" t="s">
        <v>74</v>
      </c>
      <c r="F111" s="1" t="s">
        <v>48</v>
      </c>
      <c r="G111" s="2">
        <v>416.28</v>
      </c>
      <c r="H111" s="1">
        <v>1</v>
      </c>
      <c r="I111" s="1">
        <v>224</v>
      </c>
      <c r="J111" s="1">
        <v>197</v>
      </c>
      <c r="K111" s="1">
        <v>115</v>
      </c>
      <c r="L111" s="1">
        <v>95</v>
      </c>
      <c r="M111" s="1" t="s">
        <v>31</v>
      </c>
      <c r="N111" s="1" t="s">
        <v>42</v>
      </c>
      <c r="O111" s="1" t="s">
        <v>272</v>
      </c>
      <c r="P111" s="2">
        <v>291.39999999999998</v>
      </c>
      <c r="Q111" s="1" t="str">
        <f t="shared" si="3"/>
        <v>YES</v>
      </c>
      <c r="R111" s="2">
        <f t="shared" si="4"/>
        <v>374.65199999999999</v>
      </c>
      <c r="S111" s="2">
        <f>J111*G111</f>
        <v>82007.159999999989</v>
      </c>
      <c r="T111" s="1">
        <f t="shared" ca="1" si="5"/>
        <v>72</v>
      </c>
      <c r="U111" s="1" t="s">
        <v>34</v>
      </c>
      <c r="V111" s="1" t="s">
        <v>34</v>
      </c>
      <c r="W111" s="1" t="s">
        <v>34</v>
      </c>
      <c r="X111" s="1" t="s">
        <v>2584</v>
      </c>
      <c r="Y111" s="1">
        <v>5.5</v>
      </c>
    </row>
    <row r="112" spans="1:25" x14ac:dyDescent="0.3">
      <c r="A112" s="1" t="s">
        <v>273</v>
      </c>
      <c r="B112" s="1" t="s">
        <v>197</v>
      </c>
      <c r="C112" s="1" t="s">
        <v>198</v>
      </c>
      <c r="D112" s="1" t="s">
        <v>104</v>
      </c>
      <c r="E112" s="1" t="s">
        <v>29</v>
      </c>
      <c r="F112" s="1" t="s">
        <v>54</v>
      </c>
      <c r="G112" s="2">
        <v>107.56</v>
      </c>
      <c r="H112" s="1">
        <v>3</v>
      </c>
      <c r="I112" s="1">
        <v>183</v>
      </c>
      <c r="J112" s="1">
        <v>154</v>
      </c>
      <c r="K112" s="1">
        <v>73</v>
      </c>
      <c r="L112" s="1">
        <v>50</v>
      </c>
      <c r="M112" s="1" t="s">
        <v>31</v>
      </c>
      <c r="N112" s="1" t="s">
        <v>32</v>
      </c>
      <c r="O112" s="1" t="s">
        <v>55</v>
      </c>
      <c r="P112" s="2">
        <v>75.290000000000006</v>
      </c>
      <c r="Q112" s="1" t="str">
        <f t="shared" si="3"/>
        <v>YES</v>
      </c>
      <c r="R112" s="2">
        <f t="shared" si="4"/>
        <v>96.804000000000002</v>
      </c>
      <c r="S112" s="2">
        <f>J112*G112</f>
        <v>16564.240000000002</v>
      </c>
      <c r="T112" s="1">
        <f t="shared" ca="1" si="5"/>
        <v>91</v>
      </c>
      <c r="U112" s="1" t="s">
        <v>34</v>
      </c>
      <c r="V112" s="1" t="s">
        <v>34</v>
      </c>
      <c r="W112" s="1" t="s">
        <v>34</v>
      </c>
      <c r="X112" s="1" t="s">
        <v>2611</v>
      </c>
      <c r="Y112" s="1">
        <v>6</v>
      </c>
    </row>
    <row r="113" spans="1:25" x14ac:dyDescent="0.3">
      <c r="A113" s="1" t="s">
        <v>274</v>
      </c>
      <c r="B113" s="1" t="s">
        <v>192</v>
      </c>
      <c r="C113" s="1" t="s">
        <v>193</v>
      </c>
      <c r="D113" s="1" t="s">
        <v>85</v>
      </c>
      <c r="E113" s="1" t="s">
        <v>74</v>
      </c>
      <c r="F113" s="1" t="s">
        <v>54</v>
      </c>
      <c r="G113" s="2">
        <v>416.28</v>
      </c>
      <c r="H113" s="1">
        <v>10</v>
      </c>
      <c r="I113" s="1">
        <v>128</v>
      </c>
      <c r="J113" s="1">
        <v>93</v>
      </c>
      <c r="K113" s="1">
        <v>74</v>
      </c>
      <c r="L113" s="1">
        <v>103</v>
      </c>
      <c r="M113" s="1" t="s">
        <v>41</v>
      </c>
      <c r="N113" s="1" t="s">
        <v>60</v>
      </c>
      <c r="O113" s="1" t="s">
        <v>116</v>
      </c>
      <c r="P113" s="2">
        <v>291.39999999999998</v>
      </c>
      <c r="Q113" s="1" t="str">
        <f t="shared" si="3"/>
        <v>YES</v>
      </c>
      <c r="R113" s="2">
        <f t="shared" si="4"/>
        <v>374.65199999999999</v>
      </c>
      <c r="S113" s="2">
        <f>J113*G113</f>
        <v>38714.04</v>
      </c>
      <c r="T113" s="1">
        <f t="shared" ca="1" si="5"/>
        <v>87</v>
      </c>
      <c r="U113" s="1" t="s">
        <v>34</v>
      </c>
      <c r="V113" s="1" t="s">
        <v>34</v>
      </c>
      <c r="W113" s="1" t="s">
        <v>34</v>
      </c>
      <c r="X113" s="1" t="s">
        <v>2546</v>
      </c>
      <c r="Y113" s="1">
        <v>6.5</v>
      </c>
    </row>
    <row r="114" spans="1:25" x14ac:dyDescent="0.3">
      <c r="A114" s="1" t="s">
        <v>275</v>
      </c>
      <c r="B114" s="1" t="s">
        <v>172</v>
      </c>
      <c r="C114" s="1" t="s">
        <v>173</v>
      </c>
      <c r="D114" s="1" t="s">
        <v>132</v>
      </c>
      <c r="E114" s="1" t="s">
        <v>40</v>
      </c>
      <c r="F114" s="1" t="s">
        <v>30</v>
      </c>
      <c r="G114" s="2">
        <v>68.11</v>
      </c>
      <c r="H114" s="1">
        <v>2</v>
      </c>
      <c r="I114" s="1">
        <v>93</v>
      </c>
      <c r="J114" s="1">
        <v>57</v>
      </c>
      <c r="K114" s="1">
        <v>117</v>
      </c>
      <c r="L114" s="1">
        <v>110</v>
      </c>
      <c r="M114" s="1" t="s">
        <v>31</v>
      </c>
      <c r="N114" s="1" t="s">
        <v>42</v>
      </c>
      <c r="O114" s="1" t="s">
        <v>247</v>
      </c>
      <c r="P114" s="2">
        <v>47.68</v>
      </c>
      <c r="Q114" s="1" t="str">
        <f t="shared" si="3"/>
        <v>NO</v>
      </c>
      <c r="R114" s="2">
        <f t="shared" si="4"/>
        <v>68.11</v>
      </c>
      <c r="S114" s="2">
        <f>J114*G114</f>
        <v>3882.27</v>
      </c>
      <c r="T114" s="1">
        <f t="shared" ca="1" si="5"/>
        <v>125</v>
      </c>
      <c r="U114" s="1" t="s">
        <v>34</v>
      </c>
      <c r="V114" s="1" t="s">
        <v>34</v>
      </c>
      <c r="W114" s="1" t="s">
        <v>34</v>
      </c>
      <c r="X114" s="1" t="s">
        <v>2548</v>
      </c>
      <c r="Y114" s="1">
        <v>7</v>
      </c>
    </row>
    <row r="115" spans="1:25" x14ac:dyDescent="0.3">
      <c r="A115" s="1" t="s">
        <v>276</v>
      </c>
      <c r="B115" s="1" t="s">
        <v>83</v>
      </c>
      <c r="C115" s="1" t="s">
        <v>84</v>
      </c>
      <c r="D115" s="1" t="s">
        <v>85</v>
      </c>
      <c r="E115" s="1" t="s">
        <v>29</v>
      </c>
      <c r="F115" s="1" t="s">
        <v>48</v>
      </c>
      <c r="G115" s="2">
        <v>339.54</v>
      </c>
      <c r="H115" s="1">
        <v>21</v>
      </c>
      <c r="I115" s="1">
        <v>217</v>
      </c>
      <c r="J115" s="1">
        <v>179</v>
      </c>
      <c r="K115" s="1">
        <v>48</v>
      </c>
      <c r="L115" s="1">
        <v>131</v>
      </c>
      <c r="M115" s="1" t="s">
        <v>31</v>
      </c>
      <c r="N115" s="1" t="s">
        <v>42</v>
      </c>
      <c r="O115" s="1" t="s">
        <v>203</v>
      </c>
      <c r="P115" s="2">
        <v>237.68</v>
      </c>
      <c r="Q115" s="1" t="str">
        <f t="shared" si="3"/>
        <v>YES</v>
      </c>
      <c r="R115" s="2">
        <f t="shared" si="4"/>
        <v>305.58600000000001</v>
      </c>
      <c r="S115" s="2">
        <f>J115*G115</f>
        <v>60777.66</v>
      </c>
      <c r="T115" s="1">
        <f t="shared" ca="1" si="5"/>
        <v>102</v>
      </c>
      <c r="U115" s="1" t="s">
        <v>34</v>
      </c>
      <c r="V115" s="1" t="s">
        <v>34</v>
      </c>
      <c r="W115" s="1" t="s">
        <v>34</v>
      </c>
      <c r="X115" s="1" t="s">
        <v>2612</v>
      </c>
      <c r="Y115" s="1">
        <v>7.5</v>
      </c>
    </row>
    <row r="116" spans="1:25" x14ac:dyDescent="0.3">
      <c r="A116" s="1" t="s">
        <v>277</v>
      </c>
      <c r="B116" s="1" t="s">
        <v>52</v>
      </c>
      <c r="C116" s="1" t="s">
        <v>53</v>
      </c>
      <c r="D116" s="1" t="s">
        <v>47</v>
      </c>
      <c r="E116" s="1" t="s">
        <v>40</v>
      </c>
      <c r="F116" s="1" t="s">
        <v>30</v>
      </c>
      <c r="G116" s="2">
        <v>94.76</v>
      </c>
      <c r="H116" s="1">
        <v>19</v>
      </c>
      <c r="I116" s="1">
        <v>273</v>
      </c>
      <c r="J116" s="1">
        <v>234</v>
      </c>
      <c r="K116" s="1">
        <v>102</v>
      </c>
      <c r="L116" s="1">
        <v>67</v>
      </c>
      <c r="M116" s="1" t="s">
        <v>31</v>
      </c>
      <c r="N116" s="1" t="s">
        <v>60</v>
      </c>
      <c r="O116" s="1" t="s">
        <v>79</v>
      </c>
      <c r="P116" s="2">
        <v>66.33</v>
      </c>
      <c r="Q116" s="1" t="str">
        <f t="shared" si="3"/>
        <v>YES</v>
      </c>
      <c r="R116" s="2">
        <f t="shared" si="4"/>
        <v>85.284000000000006</v>
      </c>
      <c r="S116" s="2">
        <f>J116*G116</f>
        <v>22173.84</v>
      </c>
      <c r="T116" s="1">
        <f t="shared" ca="1" si="5"/>
        <v>93</v>
      </c>
      <c r="U116" s="1" t="s">
        <v>34</v>
      </c>
      <c r="V116" s="1" t="s">
        <v>34</v>
      </c>
      <c r="W116" s="1" t="s">
        <v>34</v>
      </c>
      <c r="X116" s="1" t="s">
        <v>2613</v>
      </c>
      <c r="Y116" s="1">
        <v>8</v>
      </c>
    </row>
    <row r="117" spans="1:25" x14ac:dyDescent="0.3">
      <c r="A117" s="1" t="s">
        <v>278</v>
      </c>
      <c r="B117" s="1" t="s">
        <v>126</v>
      </c>
      <c r="C117" s="1" t="s">
        <v>127</v>
      </c>
      <c r="D117" s="1" t="s">
        <v>85</v>
      </c>
      <c r="E117" s="1" t="s">
        <v>29</v>
      </c>
      <c r="F117" s="1" t="s">
        <v>48</v>
      </c>
      <c r="G117" s="2">
        <v>378.25</v>
      </c>
      <c r="H117" s="1">
        <v>13</v>
      </c>
      <c r="I117" s="1">
        <v>91</v>
      </c>
      <c r="J117" s="1">
        <v>77</v>
      </c>
      <c r="K117" s="1">
        <v>76</v>
      </c>
      <c r="L117" s="1">
        <v>142</v>
      </c>
      <c r="M117" s="1" t="s">
        <v>31</v>
      </c>
      <c r="N117" s="1" t="s">
        <v>32</v>
      </c>
      <c r="O117" s="1" t="s">
        <v>195</v>
      </c>
      <c r="P117" s="2">
        <v>264.77</v>
      </c>
      <c r="Q117" s="1" t="str">
        <f t="shared" si="3"/>
        <v>YES</v>
      </c>
      <c r="R117" s="2">
        <f t="shared" si="4"/>
        <v>340.42500000000001</v>
      </c>
      <c r="S117" s="2">
        <f>J117*G117</f>
        <v>29125.25</v>
      </c>
      <c r="T117" s="1">
        <f t="shared" ca="1" si="5"/>
        <v>63</v>
      </c>
      <c r="U117" s="1" t="s">
        <v>34</v>
      </c>
      <c r="V117" s="1" t="s">
        <v>34</v>
      </c>
      <c r="W117" s="1" t="s">
        <v>34</v>
      </c>
      <c r="X117" s="1" t="s">
        <v>2614</v>
      </c>
      <c r="Y117" s="1">
        <v>8.5</v>
      </c>
    </row>
    <row r="118" spans="1:25" x14ac:dyDescent="0.3">
      <c r="A118" s="1" t="s">
        <v>279</v>
      </c>
      <c r="B118" s="1" t="s">
        <v>102</v>
      </c>
      <c r="C118" s="1" t="s">
        <v>103</v>
      </c>
      <c r="D118" s="1" t="s">
        <v>104</v>
      </c>
      <c r="E118" s="1" t="s">
        <v>40</v>
      </c>
      <c r="F118" s="1" t="s">
        <v>54</v>
      </c>
      <c r="G118" s="2">
        <v>361.5</v>
      </c>
      <c r="H118" s="1">
        <v>11</v>
      </c>
      <c r="I118" s="1">
        <v>264</v>
      </c>
      <c r="J118" s="1">
        <v>256</v>
      </c>
      <c r="K118" s="1">
        <v>63</v>
      </c>
      <c r="L118" s="1">
        <v>135</v>
      </c>
      <c r="M118" s="1" t="s">
        <v>49</v>
      </c>
      <c r="N118" s="1" t="s">
        <v>60</v>
      </c>
      <c r="O118" s="1" t="s">
        <v>280</v>
      </c>
      <c r="P118" s="2">
        <v>253.05</v>
      </c>
      <c r="Q118" s="1" t="str">
        <f t="shared" si="3"/>
        <v>YES</v>
      </c>
      <c r="R118" s="2">
        <f t="shared" si="4"/>
        <v>325.35000000000002</v>
      </c>
      <c r="S118" s="2">
        <f>J118*G118</f>
        <v>92544</v>
      </c>
      <c r="T118" s="1">
        <f t="shared" ca="1" si="5"/>
        <v>108</v>
      </c>
      <c r="U118" s="1" t="s">
        <v>34</v>
      </c>
      <c r="V118" s="1" t="s">
        <v>34</v>
      </c>
      <c r="W118" s="1" t="s">
        <v>34</v>
      </c>
      <c r="X118" s="1" t="s">
        <v>2615</v>
      </c>
      <c r="Y118" s="1">
        <v>9</v>
      </c>
    </row>
    <row r="119" spans="1:25" x14ac:dyDescent="0.3">
      <c r="A119" s="1" t="s">
        <v>281</v>
      </c>
      <c r="B119" s="1" t="s">
        <v>172</v>
      </c>
      <c r="C119" s="1" t="s">
        <v>173</v>
      </c>
      <c r="D119" s="1" t="s">
        <v>132</v>
      </c>
      <c r="E119" s="1" t="s">
        <v>74</v>
      </c>
      <c r="F119" s="1" t="s">
        <v>54</v>
      </c>
      <c r="G119" s="2">
        <v>386.73</v>
      </c>
      <c r="H119" s="1">
        <v>22</v>
      </c>
      <c r="I119" s="1">
        <v>288</v>
      </c>
      <c r="J119" s="1">
        <v>273</v>
      </c>
      <c r="K119" s="1">
        <v>61</v>
      </c>
      <c r="L119" s="1">
        <v>61</v>
      </c>
      <c r="M119" s="1" t="s">
        <v>41</v>
      </c>
      <c r="N119" s="1" t="s">
        <v>60</v>
      </c>
      <c r="O119" s="1" t="s">
        <v>195</v>
      </c>
      <c r="P119" s="2">
        <v>270.70999999999998</v>
      </c>
      <c r="Q119" s="1" t="str">
        <f t="shared" si="3"/>
        <v>YES</v>
      </c>
      <c r="R119" s="2">
        <f t="shared" si="4"/>
        <v>348.05700000000002</v>
      </c>
      <c r="S119" s="2">
        <f>J119*G119</f>
        <v>105577.29000000001</v>
      </c>
      <c r="T119" s="1">
        <f t="shared" ca="1" si="5"/>
        <v>63</v>
      </c>
      <c r="U119" s="1" t="s">
        <v>34</v>
      </c>
      <c r="V119" s="1" t="s">
        <v>34</v>
      </c>
      <c r="W119" s="1" t="s">
        <v>34</v>
      </c>
      <c r="X119" s="1" t="s">
        <v>2616</v>
      </c>
      <c r="Y119" s="1">
        <v>9.5</v>
      </c>
    </row>
    <row r="120" spans="1:25" x14ac:dyDescent="0.3">
      <c r="A120" s="1" t="s">
        <v>282</v>
      </c>
      <c r="B120" s="1" t="s">
        <v>111</v>
      </c>
      <c r="C120" s="1" t="s">
        <v>112</v>
      </c>
      <c r="D120" s="1" t="s">
        <v>97</v>
      </c>
      <c r="E120" s="1" t="s">
        <v>74</v>
      </c>
      <c r="F120" s="1" t="s">
        <v>30</v>
      </c>
      <c r="G120" s="2">
        <v>495.59</v>
      </c>
      <c r="H120" s="1">
        <v>9</v>
      </c>
      <c r="I120" s="1">
        <v>253</v>
      </c>
      <c r="J120" s="1">
        <v>250</v>
      </c>
      <c r="K120" s="1">
        <v>76</v>
      </c>
      <c r="L120" s="1">
        <v>79</v>
      </c>
      <c r="M120" s="1" t="s">
        <v>31</v>
      </c>
      <c r="N120" s="1" t="s">
        <v>42</v>
      </c>
      <c r="O120" s="1" t="s">
        <v>207</v>
      </c>
      <c r="P120" s="2">
        <v>346.91</v>
      </c>
      <c r="Q120" s="1" t="str">
        <f t="shared" si="3"/>
        <v>YES</v>
      </c>
      <c r="R120" s="2">
        <f t="shared" si="4"/>
        <v>446.03100000000001</v>
      </c>
      <c r="S120" s="2">
        <f>J120*G120</f>
        <v>123897.5</v>
      </c>
      <c r="T120" s="1">
        <f t="shared" ca="1" si="5"/>
        <v>98</v>
      </c>
      <c r="U120" s="1" t="s">
        <v>34</v>
      </c>
      <c r="V120" s="1" t="s">
        <v>34</v>
      </c>
      <c r="W120" s="1" t="s">
        <v>34</v>
      </c>
      <c r="X120" s="1" t="s">
        <v>2617</v>
      </c>
      <c r="Y120" s="1">
        <v>5</v>
      </c>
    </row>
    <row r="121" spans="1:25" x14ac:dyDescent="0.3">
      <c r="A121" s="1" t="s">
        <v>283</v>
      </c>
      <c r="B121" s="1" t="s">
        <v>37</v>
      </c>
      <c r="C121" s="1" t="s">
        <v>38</v>
      </c>
      <c r="D121" s="1" t="s">
        <v>39</v>
      </c>
      <c r="E121" s="1" t="s">
        <v>29</v>
      </c>
      <c r="F121" s="1" t="s">
        <v>48</v>
      </c>
      <c r="G121" s="2">
        <v>373.9</v>
      </c>
      <c r="H121" s="1">
        <v>22</v>
      </c>
      <c r="I121" s="1">
        <v>168</v>
      </c>
      <c r="J121" s="1">
        <v>148</v>
      </c>
      <c r="K121" s="1">
        <v>95</v>
      </c>
      <c r="L121" s="1">
        <v>61</v>
      </c>
      <c r="M121" s="1" t="s">
        <v>31</v>
      </c>
      <c r="N121" s="1" t="s">
        <v>32</v>
      </c>
      <c r="O121" s="1" t="s">
        <v>284</v>
      </c>
      <c r="P121" s="2">
        <v>261.73</v>
      </c>
      <c r="Q121" s="1" t="str">
        <f t="shared" si="3"/>
        <v>YES</v>
      </c>
      <c r="R121" s="2">
        <f t="shared" si="4"/>
        <v>336.51</v>
      </c>
      <c r="S121" s="2">
        <f>J121*G121</f>
        <v>55337.2</v>
      </c>
      <c r="T121" s="1">
        <f t="shared" ca="1" si="5"/>
        <v>119</v>
      </c>
      <c r="U121" s="1" t="s">
        <v>34</v>
      </c>
      <c r="V121" s="1" t="s">
        <v>34</v>
      </c>
      <c r="W121" s="1" t="s">
        <v>34</v>
      </c>
      <c r="X121" s="1" t="s">
        <v>2618</v>
      </c>
      <c r="Y121" s="1">
        <v>5.5</v>
      </c>
    </row>
    <row r="122" spans="1:25" x14ac:dyDescent="0.3">
      <c r="A122" s="1" t="s">
        <v>285</v>
      </c>
      <c r="B122" s="1" t="s">
        <v>172</v>
      </c>
      <c r="C122" s="1" t="s">
        <v>173</v>
      </c>
      <c r="D122" s="1" t="s">
        <v>132</v>
      </c>
      <c r="E122" s="1" t="s">
        <v>40</v>
      </c>
      <c r="F122" s="1" t="s">
        <v>30</v>
      </c>
      <c r="G122" s="2">
        <v>269.70999999999998</v>
      </c>
      <c r="H122" s="1">
        <v>15</v>
      </c>
      <c r="I122" s="1">
        <v>143</v>
      </c>
      <c r="J122" s="1">
        <v>139</v>
      </c>
      <c r="K122" s="1">
        <v>89</v>
      </c>
      <c r="L122" s="1">
        <v>65</v>
      </c>
      <c r="M122" s="1" t="s">
        <v>31</v>
      </c>
      <c r="N122" s="1" t="s">
        <v>60</v>
      </c>
      <c r="O122" s="1" t="s">
        <v>153</v>
      </c>
      <c r="P122" s="2">
        <v>188.8</v>
      </c>
      <c r="Q122" s="1" t="str">
        <f t="shared" si="3"/>
        <v>YES</v>
      </c>
      <c r="R122" s="2">
        <f t="shared" si="4"/>
        <v>242.73899999999998</v>
      </c>
      <c r="S122" s="2">
        <f>J122*G122</f>
        <v>37489.689999999995</v>
      </c>
      <c r="T122" s="1">
        <f t="shared" ca="1" si="5"/>
        <v>135</v>
      </c>
      <c r="U122" s="1" t="s">
        <v>34</v>
      </c>
      <c r="V122" s="1" t="s">
        <v>34</v>
      </c>
      <c r="W122" s="1" t="s">
        <v>34</v>
      </c>
      <c r="X122" s="1" t="s">
        <v>2619</v>
      </c>
      <c r="Y122" s="1">
        <v>6</v>
      </c>
    </row>
    <row r="123" spans="1:25" x14ac:dyDescent="0.3">
      <c r="A123" s="1" t="s">
        <v>286</v>
      </c>
      <c r="B123" s="1" t="s">
        <v>123</v>
      </c>
      <c r="C123" s="1" t="s">
        <v>124</v>
      </c>
      <c r="D123" s="1" t="s">
        <v>47</v>
      </c>
      <c r="E123" s="1" t="s">
        <v>40</v>
      </c>
      <c r="F123" s="1" t="s">
        <v>30</v>
      </c>
      <c r="G123" s="2">
        <v>273.47000000000003</v>
      </c>
      <c r="H123" s="1">
        <v>21</v>
      </c>
      <c r="I123" s="1">
        <v>256</v>
      </c>
      <c r="J123" s="1">
        <v>230</v>
      </c>
      <c r="K123" s="1">
        <v>71</v>
      </c>
      <c r="L123" s="1">
        <v>115</v>
      </c>
      <c r="M123" s="1" t="s">
        <v>41</v>
      </c>
      <c r="N123" s="1" t="s">
        <v>32</v>
      </c>
      <c r="O123" s="1" t="s">
        <v>287</v>
      </c>
      <c r="P123" s="2">
        <v>191.43</v>
      </c>
      <c r="Q123" s="1" t="str">
        <f t="shared" si="3"/>
        <v>YES</v>
      </c>
      <c r="R123" s="2">
        <f t="shared" si="4"/>
        <v>246.12300000000002</v>
      </c>
      <c r="S123" s="2">
        <f>J123*G123</f>
        <v>62898.100000000006</v>
      </c>
      <c r="T123" s="1">
        <f t="shared" ca="1" si="5"/>
        <v>143</v>
      </c>
      <c r="U123" s="1" t="s">
        <v>34</v>
      </c>
      <c r="V123" s="1" t="s">
        <v>34</v>
      </c>
      <c r="W123" s="1" t="s">
        <v>34</v>
      </c>
      <c r="X123" s="1" t="s">
        <v>2620</v>
      </c>
      <c r="Y123" s="1">
        <v>6.5</v>
      </c>
    </row>
    <row r="124" spans="1:25" x14ac:dyDescent="0.3">
      <c r="A124" s="1" t="s">
        <v>288</v>
      </c>
      <c r="B124" s="1" t="s">
        <v>192</v>
      </c>
      <c r="C124" s="1" t="s">
        <v>193</v>
      </c>
      <c r="D124" s="1" t="s">
        <v>85</v>
      </c>
      <c r="E124" s="1" t="s">
        <v>29</v>
      </c>
      <c r="F124" s="1" t="s">
        <v>54</v>
      </c>
      <c r="G124" s="2">
        <v>285.20999999999998</v>
      </c>
      <c r="H124" s="1">
        <v>3</v>
      </c>
      <c r="I124" s="1">
        <v>191</v>
      </c>
      <c r="J124" s="1">
        <v>165</v>
      </c>
      <c r="K124" s="1">
        <v>62</v>
      </c>
      <c r="L124" s="1">
        <v>100</v>
      </c>
      <c r="M124" s="1" t="s">
        <v>49</v>
      </c>
      <c r="N124" s="1" t="s">
        <v>42</v>
      </c>
      <c r="O124" s="1" t="s">
        <v>289</v>
      </c>
      <c r="P124" s="2">
        <v>199.65</v>
      </c>
      <c r="Q124" s="1" t="str">
        <f t="shared" si="3"/>
        <v>YES</v>
      </c>
      <c r="R124" s="2">
        <f t="shared" si="4"/>
        <v>256.68899999999996</v>
      </c>
      <c r="S124" s="2">
        <f>J124*G124</f>
        <v>47059.649999999994</v>
      </c>
      <c r="T124" s="1">
        <f t="shared" ca="1" si="5"/>
        <v>92</v>
      </c>
      <c r="U124" s="1" t="s">
        <v>34</v>
      </c>
      <c r="V124" s="1" t="s">
        <v>34</v>
      </c>
      <c r="W124" s="1" t="s">
        <v>34</v>
      </c>
      <c r="X124" s="1" t="s">
        <v>2621</v>
      </c>
      <c r="Y124" s="1">
        <v>7</v>
      </c>
    </row>
    <row r="125" spans="1:25" x14ac:dyDescent="0.3">
      <c r="A125" s="1" t="s">
        <v>290</v>
      </c>
      <c r="B125" s="1" t="s">
        <v>63</v>
      </c>
      <c r="C125" s="1" t="s">
        <v>64</v>
      </c>
      <c r="D125" s="1" t="s">
        <v>28</v>
      </c>
      <c r="E125" s="1" t="s">
        <v>40</v>
      </c>
      <c r="F125" s="1" t="s">
        <v>48</v>
      </c>
      <c r="G125" s="2">
        <v>46.06</v>
      </c>
      <c r="H125" s="1">
        <v>15</v>
      </c>
      <c r="I125" s="1">
        <v>97</v>
      </c>
      <c r="J125" s="1">
        <v>68</v>
      </c>
      <c r="K125" s="1">
        <v>48</v>
      </c>
      <c r="L125" s="1">
        <v>84</v>
      </c>
      <c r="M125" s="1" t="s">
        <v>41</v>
      </c>
      <c r="N125" s="1" t="s">
        <v>32</v>
      </c>
      <c r="O125" s="1" t="s">
        <v>92</v>
      </c>
      <c r="P125" s="2">
        <v>32.24</v>
      </c>
      <c r="Q125" s="1" t="str">
        <f t="shared" si="3"/>
        <v>YES</v>
      </c>
      <c r="R125" s="2">
        <f t="shared" si="4"/>
        <v>41.454000000000001</v>
      </c>
      <c r="S125" s="2">
        <f>J125*G125</f>
        <v>3132.08</v>
      </c>
      <c r="T125" s="1">
        <f t="shared" ca="1" si="5"/>
        <v>64</v>
      </c>
      <c r="U125" s="1" t="s">
        <v>34</v>
      </c>
      <c r="V125" s="1" t="s">
        <v>34</v>
      </c>
      <c r="W125" s="1" t="s">
        <v>34</v>
      </c>
      <c r="X125" s="1" t="s">
        <v>2539</v>
      </c>
      <c r="Y125" s="1">
        <v>7.5</v>
      </c>
    </row>
    <row r="126" spans="1:25" x14ac:dyDescent="0.3">
      <c r="A126" s="1" t="s">
        <v>291</v>
      </c>
      <c r="B126" s="1" t="s">
        <v>189</v>
      </c>
      <c r="C126" s="1" t="s">
        <v>190</v>
      </c>
      <c r="D126" s="1" t="s">
        <v>59</v>
      </c>
      <c r="E126" s="1" t="s">
        <v>74</v>
      </c>
      <c r="F126" s="1" t="s">
        <v>48</v>
      </c>
      <c r="G126" s="2">
        <v>438.7</v>
      </c>
      <c r="H126" s="1">
        <v>3</v>
      </c>
      <c r="I126" s="1">
        <v>296</v>
      </c>
      <c r="J126" s="1">
        <v>282</v>
      </c>
      <c r="K126" s="1">
        <v>58</v>
      </c>
      <c r="L126" s="1">
        <v>129</v>
      </c>
      <c r="M126" s="1" t="s">
        <v>41</v>
      </c>
      <c r="N126" s="1" t="s">
        <v>32</v>
      </c>
      <c r="O126" s="1" t="s">
        <v>292</v>
      </c>
      <c r="P126" s="2">
        <v>307.08999999999997</v>
      </c>
      <c r="Q126" s="1" t="str">
        <f t="shared" si="3"/>
        <v>YES</v>
      </c>
      <c r="R126" s="2">
        <f t="shared" si="4"/>
        <v>394.83</v>
      </c>
      <c r="S126" s="2">
        <f>J126*G126</f>
        <v>123713.4</v>
      </c>
      <c r="T126" s="1">
        <f t="shared" ca="1" si="5"/>
        <v>83</v>
      </c>
      <c r="U126" s="1" t="s">
        <v>34</v>
      </c>
      <c r="V126" s="1" t="s">
        <v>34</v>
      </c>
      <c r="W126" s="1" t="s">
        <v>34</v>
      </c>
      <c r="X126" s="1" t="s">
        <v>2622</v>
      </c>
      <c r="Y126" s="1">
        <v>8</v>
      </c>
    </row>
    <row r="127" spans="1:25" x14ac:dyDescent="0.3">
      <c r="A127" s="1" t="s">
        <v>293</v>
      </c>
      <c r="B127" s="1" t="s">
        <v>102</v>
      </c>
      <c r="C127" s="1" t="s">
        <v>103</v>
      </c>
      <c r="D127" s="1" t="s">
        <v>104</v>
      </c>
      <c r="E127" s="1" t="s">
        <v>40</v>
      </c>
      <c r="F127" s="1" t="s">
        <v>48</v>
      </c>
      <c r="G127" s="2">
        <v>455.92</v>
      </c>
      <c r="H127" s="1">
        <v>19</v>
      </c>
      <c r="I127" s="1">
        <v>195</v>
      </c>
      <c r="J127" s="1">
        <v>186</v>
      </c>
      <c r="K127" s="1">
        <v>53</v>
      </c>
      <c r="L127" s="1">
        <v>67</v>
      </c>
      <c r="M127" s="1" t="s">
        <v>41</v>
      </c>
      <c r="N127" s="1" t="s">
        <v>32</v>
      </c>
      <c r="O127" s="1" t="s">
        <v>67</v>
      </c>
      <c r="P127" s="2">
        <v>319.14</v>
      </c>
      <c r="Q127" s="1" t="str">
        <f t="shared" si="3"/>
        <v>YES</v>
      </c>
      <c r="R127" s="2">
        <f t="shared" si="4"/>
        <v>410.32800000000003</v>
      </c>
      <c r="S127" s="2">
        <f>J127*G127</f>
        <v>84801.12000000001</v>
      </c>
      <c r="T127" s="1">
        <f t="shared" ca="1" si="5"/>
        <v>97</v>
      </c>
      <c r="U127" s="1" t="s">
        <v>34</v>
      </c>
      <c r="V127" s="1" t="s">
        <v>34</v>
      </c>
      <c r="W127" s="1" t="s">
        <v>34</v>
      </c>
      <c r="X127" s="1" t="s">
        <v>2623</v>
      </c>
      <c r="Y127" s="1">
        <v>8.5</v>
      </c>
    </row>
    <row r="128" spans="1:25" x14ac:dyDescent="0.3">
      <c r="A128" s="1" t="s">
        <v>294</v>
      </c>
      <c r="B128" s="1" t="s">
        <v>123</v>
      </c>
      <c r="C128" s="1" t="s">
        <v>124</v>
      </c>
      <c r="D128" s="1" t="s">
        <v>47</v>
      </c>
      <c r="E128" s="1" t="s">
        <v>29</v>
      </c>
      <c r="F128" s="1" t="s">
        <v>30</v>
      </c>
      <c r="G128" s="2">
        <v>396.83</v>
      </c>
      <c r="H128" s="1">
        <v>7</v>
      </c>
      <c r="I128" s="1">
        <v>219</v>
      </c>
      <c r="J128" s="1">
        <v>181</v>
      </c>
      <c r="K128" s="1">
        <v>78</v>
      </c>
      <c r="L128" s="1">
        <v>51</v>
      </c>
      <c r="M128" s="1" t="s">
        <v>31</v>
      </c>
      <c r="N128" s="1" t="s">
        <v>42</v>
      </c>
      <c r="O128" s="1" t="s">
        <v>227</v>
      </c>
      <c r="P128" s="2">
        <v>277.77999999999997</v>
      </c>
      <c r="Q128" s="1" t="str">
        <f t="shared" si="3"/>
        <v>YES</v>
      </c>
      <c r="R128" s="2">
        <f t="shared" si="4"/>
        <v>357.14699999999999</v>
      </c>
      <c r="S128" s="2">
        <f>J128*G128</f>
        <v>71826.23</v>
      </c>
      <c r="T128" s="1">
        <f t="shared" ca="1" si="5"/>
        <v>132</v>
      </c>
      <c r="U128" s="1" t="s">
        <v>34</v>
      </c>
      <c r="V128" s="1" t="s">
        <v>34</v>
      </c>
      <c r="W128" s="1" t="s">
        <v>34</v>
      </c>
      <c r="X128" s="1" t="s">
        <v>2624</v>
      </c>
      <c r="Y128" s="1">
        <v>9</v>
      </c>
    </row>
    <row r="129" spans="1:25" x14ac:dyDescent="0.3">
      <c r="A129" s="1" t="s">
        <v>295</v>
      </c>
      <c r="B129" s="1" t="s">
        <v>83</v>
      </c>
      <c r="C129" s="1" t="s">
        <v>84</v>
      </c>
      <c r="D129" s="1" t="s">
        <v>85</v>
      </c>
      <c r="E129" s="1" t="s">
        <v>74</v>
      </c>
      <c r="F129" s="1" t="s">
        <v>48</v>
      </c>
      <c r="G129" s="2">
        <v>52.5</v>
      </c>
      <c r="H129" s="1">
        <v>11</v>
      </c>
      <c r="I129" s="1">
        <v>81</v>
      </c>
      <c r="J129" s="1">
        <v>81</v>
      </c>
      <c r="K129" s="1">
        <v>88</v>
      </c>
      <c r="L129" s="1">
        <v>92</v>
      </c>
      <c r="M129" s="1" t="s">
        <v>49</v>
      </c>
      <c r="N129" s="1" t="s">
        <v>32</v>
      </c>
      <c r="O129" s="1" t="s">
        <v>195</v>
      </c>
      <c r="P129" s="2">
        <v>36.75</v>
      </c>
      <c r="Q129" s="1" t="str">
        <f t="shared" si="3"/>
        <v>NO</v>
      </c>
      <c r="R129" s="2">
        <f t="shared" si="4"/>
        <v>52.5</v>
      </c>
      <c r="S129" s="2">
        <f>J129*G129</f>
        <v>4252.5</v>
      </c>
      <c r="T129" s="1">
        <f t="shared" ca="1" si="5"/>
        <v>63</v>
      </c>
      <c r="U129" s="1" t="s">
        <v>34</v>
      </c>
      <c r="V129" s="1" t="s">
        <v>34</v>
      </c>
      <c r="W129" s="1" t="s">
        <v>34</v>
      </c>
      <c r="X129" s="1" t="s">
        <v>2607</v>
      </c>
      <c r="Y129" s="1">
        <v>9.5</v>
      </c>
    </row>
    <row r="130" spans="1:25" x14ac:dyDescent="0.3">
      <c r="A130" s="1" t="s">
        <v>296</v>
      </c>
      <c r="B130" s="1" t="s">
        <v>189</v>
      </c>
      <c r="C130" s="1" t="s">
        <v>190</v>
      </c>
      <c r="D130" s="1" t="s">
        <v>59</v>
      </c>
      <c r="E130" s="1" t="s">
        <v>74</v>
      </c>
      <c r="F130" s="1" t="s">
        <v>54</v>
      </c>
      <c r="G130" s="2">
        <v>251.25</v>
      </c>
      <c r="H130" s="1">
        <v>12</v>
      </c>
      <c r="I130" s="1">
        <v>293</v>
      </c>
      <c r="J130" s="1">
        <v>256</v>
      </c>
      <c r="K130" s="1">
        <v>119</v>
      </c>
      <c r="L130" s="1">
        <v>131</v>
      </c>
      <c r="M130" s="1" t="s">
        <v>31</v>
      </c>
      <c r="N130" s="1" t="s">
        <v>60</v>
      </c>
      <c r="O130" s="1" t="s">
        <v>150</v>
      </c>
      <c r="P130" s="2">
        <v>175.88</v>
      </c>
      <c r="Q130" s="1" t="str">
        <f t="shared" ref="Q130:Q193" si="6">IF(J130&gt;K130,"YES","NO")</f>
        <v>YES</v>
      </c>
      <c r="R130" s="2">
        <f t="shared" ref="R130:R193" si="7">IF(Q130="YES",G130*0.9,G130)</f>
        <v>226.125</v>
      </c>
      <c r="S130" s="2">
        <f>J130*G130</f>
        <v>64320</v>
      </c>
      <c r="T130" s="1">
        <f t="shared" ref="T130:T193" ca="1" si="8">TODAY()-DATE(MID(O130,7,4),MID(O130,4,2),LEFT(O130,2))</f>
        <v>116</v>
      </c>
      <c r="U130" s="1" t="s">
        <v>34</v>
      </c>
      <c r="V130" s="1" t="s">
        <v>34</v>
      </c>
      <c r="W130" s="1" t="s">
        <v>34</v>
      </c>
      <c r="X130" s="1" t="s">
        <v>2625</v>
      </c>
      <c r="Y130" s="1">
        <v>5</v>
      </c>
    </row>
    <row r="131" spans="1:25" x14ac:dyDescent="0.3">
      <c r="A131" s="1" t="s">
        <v>297</v>
      </c>
      <c r="B131" s="1" t="s">
        <v>172</v>
      </c>
      <c r="C131" s="1" t="s">
        <v>173</v>
      </c>
      <c r="D131" s="1" t="s">
        <v>132</v>
      </c>
      <c r="E131" s="1" t="s">
        <v>40</v>
      </c>
      <c r="F131" s="1" t="s">
        <v>30</v>
      </c>
      <c r="G131" s="2">
        <v>443.79</v>
      </c>
      <c r="H131" s="1">
        <v>21</v>
      </c>
      <c r="I131" s="1">
        <v>162</v>
      </c>
      <c r="J131" s="1">
        <v>129</v>
      </c>
      <c r="K131" s="1">
        <v>53</v>
      </c>
      <c r="L131" s="1">
        <v>144</v>
      </c>
      <c r="M131" s="1" t="s">
        <v>41</v>
      </c>
      <c r="N131" s="1" t="s">
        <v>60</v>
      </c>
      <c r="O131" s="1" t="s">
        <v>220</v>
      </c>
      <c r="P131" s="2">
        <v>310.64999999999998</v>
      </c>
      <c r="Q131" s="1" t="str">
        <f t="shared" si="6"/>
        <v>YES</v>
      </c>
      <c r="R131" s="2">
        <f t="shared" si="7"/>
        <v>399.411</v>
      </c>
      <c r="S131" s="2">
        <f>J131*G131</f>
        <v>57248.91</v>
      </c>
      <c r="T131" s="1">
        <f t="shared" ca="1" si="8"/>
        <v>106</v>
      </c>
      <c r="U131" s="1" t="s">
        <v>34</v>
      </c>
      <c r="V131" s="1" t="s">
        <v>34</v>
      </c>
      <c r="W131" s="1" t="s">
        <v>34</v>
      </c>
      <c r="X131" s="1" t="s">
        <v>2545</v>
      </c>
      <c r="Y131" s="1">
        <v>5.5</v>
      </c>
    </row>
    <row r="132" spans="1:25" x14ac:dyDescent="0.3">
      <c r="A132" s="1" t="s">
        <v>298</v>
      </c>
      <c r="B132" s="1" t="s">
        <v>299</v>
      </c>
      <c r="C132" s="1" t="s">
        <v>300</v>
      </c>
      <c r="D132" s="1" t="s">
        <v>39</v>
      </c>
      <c r="E132" s="1" t="s">
        <v>40</v>
      </c>
      <c r="F132" s="1" t="s">
        <v>54</v>
      </c>
      <c r="G132" s="2">
        <v>106.33</v>
      </c>
      <c r="H132" s="1">
        <v>16</v>
      </c>
      <c r="I132" s="1">
        <v>152</v>
      </c>
      <c r="J132" s="1">
        <v>149</v>
      </c>
      <c r="K132" s="1">
        <v>98</v>
      </c>
      <c r="L132" s="1">
        <v>98</v>
      </c>
      <c r="M132" s="1" t="s">
        <v>41</v>
      </c>
      <c r="N132" s="1" t="s">
        <v>42</v>
      </c>
      <c r="O132" s="1" t="s">
        <v>217</v>
      </c>
      <c r="P132" s="2">
        <v>74.430000000000007</v>
      </c>
      <c r="Q132" s="1" t="str">
        <f t="shared" si="6"/>
        <v>YES</v>
      </c>
      <c r="R132" s="2">
        <f t="shared" si="7"/>
        <v>95.697000000000003</v>
      </c>
      <c r="S132" s="2">
        <f>J132*G132</f>
        <v>15843.17</v>
      </c>
      <c r="T132" s="1">
        <f t="shared" ca="1" si="8"/>
        <v>100</v>
      </c>
      <c r="U132" s="1" t="s">
        <v>34</v>
      </c>
      <c r="V132" s="1" t="s">
        <v>34</v>
      </c>
      <c r="W132" s="1" t="s">
        <v>34</v>
      </c>
      <c r="X132" s="1" t="s">
        <v>2626</v>
      </c>
      <c r="Y132" s="1">
        <v>6</v>
      </c>
    </row>
    <row r="133" spans="1:25" x14ac:dyDescent="0.3">
      <c r="A133" s="1" t="s">
        <v>301</v>
      </c>
      <c r="B133" s="1" t="s">
        <v>166</v>
      </c>
      <c r="C133" s="1" t="s">
        <v>167</v>
      </c>
      <c r="D133" s="1" t="s">
        <v>59</v>
      </c>
      <c r="E133" s="1" t="s">
        <v>74</v>
      </c>
      <c r="F133" s="1" t="s">
        <v>30</v>
      </c>
      <c r="G133" s="2">
        <v>195.97</v>
      </c>
      <c r="H133" s="1">
        <v>1</v>
      </c>
      <c r="I133" s="1">
        <v>299</v>
      </c>
      <c r="J133" s="1">
        <v>286</v>
      </c>
      <c r="K133" s="1">
        <v>113</v>
      </c>
      <c r="L133" s="1">
        <v>69</v>
      </c>
      <c r="M133" s="1" t="s">
        <v>49</v>
      </c>
      <c r="N133" s="1" t="s">
        <v>32</v>
      </c>
      <c r="O133" s="1" t="s">
        <v>302</v>
      </c>
      <c r="P133" s="2">
        <v>137.18</v>
      </c>
      <c r="Q133" s="1" t="str">
        <f t="shared" si="6"/>
        <v>YES</v>
      </c>
      <c r="R133" s="2">
        <f t="shared" si="7"/>
        <v>176.37299999999999</v>
      </c>
      <c r="S133" s="2">
        <f>J133*G133</f>
        <v>56047.42</v>
      </c>
      <c r="T133" s="1">
        <f t="shared" ca="1" si="8"/>
        <v>133</v>
      </c>
      <c r="U133" s="1" t="s">
        <v>34</v>
      </c>
      <c r="V133" s="1" t="s">
        <v>34</v>
      </c>
      <c r="W133" s="1" t="s">
        <v>34</v>
      </c>
      <c r="X133" s="1" t="s">
        <v>2627</v>
      </c>
      <c r="Y133" s="1">
        <v>6.5</v>
      </c>
    </row>
    <row r="134" spans="1:25" x14ac:dyDescent="0.3">
      <c r="A134" s="1" t="s">
        <v>303</v>
      </c>
      <c r="B134" s="1" t="s">
        <v>130</v>
      </c>
      <c r="C134" s="1" t="s">
        <v>131</v>
      </c>
      <c r="D134" s="1" t="s">
        <v>132</v>
      </c>
      <c r="E134" s="1" t="s">
        <v>74</v>
      </c>
      <c r="F134" s="1" t="s">
        <v>54</v>
      </c>
      <c r="G134" s="2">
        <v>106.3</v>
      </c>
      <c r="H134" s="1">
        <v>9</v>
      </c>
      <c r="I134" s="1">
        <v>127</v>
      </c>
      <c r="J134" s="1">
        <v>122</v>
      </c>
      <c r="K134" s="1">
        <v>88</v>
      </c>
      <c r="L134" s="1">
        <v>130</v>
      </c>
      <c r="M134" s="1" t="s">
        <v>49</v>
      </c>
      <c r="N134" s="1" t="s">
        <v>60</v>
      </c>
      <c r="O134" s="1" t="s">
        <v>61</v>
      </c>
      <c r="P134" s="2">
        <v>74.41</v>
      </c>
      <c r="Q134" s="1" t="str">
        <f t="shared" si="6"/>
        <v>YES</v>
      </c>
      <c r="R134" s="2">
        <f t="shared" si="7"/>
        <v>95.67</v>
      </c>
      <c r="S134" s="2">
        <f>J134*G134</f>
        <v>12968.6</v>
      </c>
      <c r="T134" s="1">
        <f t="shared" ca="1" si="8"/>
        <v>73</v>
      </c>
      <c r="U134" s="1" t="s">
        <v>34</v>
      </c>
      <c r="V134" s="1" t="s">
        <v>34</v>
      </c>
      <c r="W134" s="1" t="s">
        <v>34</v>
      </c>
      <c r="X134" s="1" t="s">
        <v>2627</v>
      </c>
      <c r="Y134" s="1">
        <v>7</v>
      </c>
    </row>
    <row r="135" spans="1:25" x14ac:dyDescent="0.3">
      <c r="A135" s="1" t="s">
        <v>304</v>
      </c>
      <c r="B135" s="1" t="s">
        <v>83</v>
      </c>
      <c r="C135" s="1" t="s">
        <v>84</v>
      </c>
      <c r="D135" s="1" t="s">
        <v>85</v>
      </c>
      <c r="E135" s="1" t="s">
        <v>40</v>
      </c>
      <c r="F135" s="1" t="s">
        <v>30</v>
      </c>
      <c r="G135" s="2">
        <v>173.18</v>
      </c>
      <c r="H135" s="1">
        <v>7</v>
      </c>
      <c r="I135" s="1">
        <v>82</v>
      </c>
      <c r="J135" s="1">
        <v>71</v>
      </c>
      <c r="K135" s="1">
        <v>105</v>
      </c>
      <c r="L135" s="1">
        <v>122</v>
      </c>
      <c r="M135" s="1" t="s">
        <v>41</v>
      </c>
      <c r="N135" s="1" t="s">
        <v>42</v>
      </c>
      <c r="O135" s="1" t="s">
        <v>150</v>
      </c>
      <c r="P135" s="2">
        <v>121.23</v>
      </c>
      <c r="Q135" s="1" t="str">
        <f t="shared" si="6"/>
        <v>NO</v>
      </c>
      <c r="R135" s="2">
        <f t="shared" si="7"/>
        <v>173.18</v>
      </c>
      <c r="S135" s="2">
        <f>J135*G135</f>
        <v>12295.78</v>
      </c>
      <c r="T135" s="1">
        <f t="shared" ca="1" si="8"/>
        <v>116</v>
      </c>
      <c r="U135" s="1" t="s">
        <v>34</v>
      </c>
      <c r="V135" s="1" t="s">
        <v>34</v>
      </c>
      <c r="W135" s="1" t="s">
        <v>34</v>
      </c>
      <c r="X135" s="1" t="s">
        <v>2628</v>
      </c>
      <c r="Y135" s="1">
        <v>7.5</v>
      </c>
    </row>
    <row r="136" spans="1:25" x14ac:dyDescent="0.3">
      <c r="A136" s="1" t="s">
        <v>305</v>
      </c>
      <c r="B136" s="1" t="s">
        <v>172</v>
      </c>
      <c r="C136" s="1" t="s">
        <v>173</v>
      </c>
      <c r="D136" s="1" t="s">
        <v>132</v>
      </c>
      <c r="E136" s="1" t="s">
        <v>29</v>
      </c>
      <c r="F136" s="1" t="s">
        <v>30</v>
      </c>
      <c r="G136" s="2">
        <v>404</v>
      </c>
      <c r="H136" s="1">
        <v>23</v>
      </c>
      <c r="I136" s="1">
        <v>163</v>
      </c>
      <c r="J136" s="1">
        <v>143</v>
      </c>
      <c r="K136" s="1">
        <v>119</v>
      </c>
      <c r="L136" s="1">
        <v>144</v>
      </c>
      <c r="M136" s="1" t="s">
        <v>41</v>
      </c>
      <c r="N136" s="1" t="s">
        <v>60</v>
      </c>
      <c r="O136" s="1" t="s">
        <v>209</v>
      </c>
      <c r="P136" s="2">
        <v>282.8</v>
      </c>
      <c r="Q136" s="1" t="str">
        <f t="shared" si="6"/>
        <v>YES</v>
      </c>
      <c r="R136" s="2">
        <f t="shared" si="7"/>
        <v>363.6</v>
      </c>
      <c r="S136" s="2">
        <f>J136*G136</f>
        <v>57772</v>
      </c>
      <c r="T136" s="1">
        <f t="shared" ca="1" si="8"/>
        <v>127</v>
      </c>
      <c r="U136" s="1" t="s">
        <v>34</v>
      </c>
      <c r="V136" s="1" t="s">
        <v>34</v>
      </c>
      <c r="W136" s="1" t="s">
        <v>34</v>
      </c>
      <c r="X136" s="1" t="s">
        <v>2629</v>
      </c>
      <c r="Y136" s="1">
        <v>8</v>
      </c>
    </row>
    <row r="137" spans="1:25" x14ac:dyDescent="0.3">
      <c r="A137" s="1" t="s">
        <v>306</v>
      </c>
      <c r="B137" s="1" t="s">
        <v>52</v>
      </c>
      <c r="C137" s="1" t="s">
        <v>53</v>
      </c>
      <c r="D137" s="1" t="s">
        <v>47</v>
      </c>
      <c r="E137" s="1" t="s">
        <v>29</v>
      </c>
      <c r="F137" s="1" t="s">
        <v>54</v>
      </c>
      <c r="G137" s="2">
        <v>344.75</v>
      </c>
      <c r="H137" s="1">
        <v>17</v>
      </c>
      <c r="I137" s="1">
        <v>212</v>
      </c>
      <c r="J137" s="1">
        <v>201</v>
      </c>
      <c r="K137" s="1">
        <v>49</v>
      </c>
      <c r="L137" s="1">
        <v>125</v>
      </c>
      <c r="M137" s="1" t="s">
        <v>41</v>
      </c>
      <c r="N137" s="1" t="s">
        <v>60</v>
      </c>
      <c r="O137" s="1" t="s">
        <v>240</v>
      </c>
      <c r="P137" s="2">
        <v>241.32</v>
      </c>
      <c r="Q137" s="1" t="str">
        <f t="shared" si="6"/>
        <v>YES</v>
      </c>
      <c r="R137" s="2">
        <f t="shared" si="7"/>
        <v>310.27500000000003</v>
      </c>
      <c r="S137" s="2">
        <f>J137*G137</f>
        <v>69294.75</v>
      </c>
      <c r="T137" s="1">
        <f t="shared" ca="1" si="8"/>
        <v>111</v>
      </c>
      <c r="U137" s="1" t="s">
        <v>34</v>
      </c>
      <c r="V137" s="1" t="s">
        <v>34</v>
      </c>
      <c r="W137" s="1" t="s">
        <v>34</v>
      </c>
      <c r="X137" s="1" t="s">
        <v>2630</v>
      </c>
      <c r="Y137" s="1">
        <v>8.5</v>
      </c>
    </row>
    <row r="138" spans="1:25" x14ac:dyDescent="0.3">
      <c r="A138" s="1" t="s">
        <v>307</v>
      </c>
      <c r="B138" s="1" t="s">
        <v>52</v>
      </c>
      <c r="C138" s="1" t="s">
        <v>53</v>
      </c>
      <c r="D138" s="1" t="s">
        <v>47</v>
      </c>
      <c r="E138" s="1" t="s">
        <v>74</v>
      </c>
      <c r="F138" s="1" t="s">
        <v>48</v>
      </c>
      <c r="G138" s="2">
        <v>392.33</v>
      </c>
      <c r="H138" s="1">
        <v>18</v>
      </c>
      <c r="I138" s="1">
        <v>242</v>
      </c>
      <c r="J138" s="1">
        <v>226</v>
      </c>
      <c r="K138" s="1">
        <v>100</v>
      </c>
      <c r="L138" s="1">
        <v>149</v>
      </c>
      <c r="M138" s="1" t="s">
        <v>31</v>
      </c>
      <c r="N138" s="1" t="s">
        <v>42</v>
      </c>
      <c r="O138" s="1" t="s">
        <v>205</v>
      </c>
      <c r="P138" s="2">
        <v>274.63</v>
      </c>
      <c r="Q138" s="1" t="str">
        <f t="shared" si="6"/>
        <v>YES</v>
      </c>
      <c r="R138" s="2">
        <f t="shared" si="7"/>
        <v>353.09699999999998</v>
      </c>
      <c r="S138" s="2">
        <f>J138*G138</f>
        <v>88666.58</v>
      </c>
      <c r="T138" s="1">
        <f t="shared" ca="1" si="8"/>
        <v>74</v>
      </c>
      <c r="U138" s="1" t="s">
        <v>34</v>
      </c>
      <c r="V138" s="1" t="s">
        <v>34</v>
      </c>
      <c r="W138" s="1" t="s">
        <v>34</v>
      </c>
      <c r="X138" s="1" t="s">
        <v>2618</v>
      </c>
      <c r="Y138" s="1">
        <v>9</v>
      </c>
    </row>
    <row r="139" spans="1:25" x14ac:dyDescent="0.3">
      <c r="A139" s="1" t="s">
        <v>308</v>
      </c>
      <c r="B139" s="1" t="s">
        <v>237</v>
      </c>
      <c r="C139" s="1" t="s">
        <v>238</v>
      </c>
      <c r="D139" s="1" t="s">
        <v>85</v>
      </c>
      <c r="E139" s="1" t="s">
        <v>29</v>
      </c>
      <c r="F139" s="1" t="s">
        <v>54</v>
      </c>
      <c r="G139" s="2">
        <v>347.21</v>
      </c>
      <c r="H139" s="1">
        <v>12</v>
      </c>
      <c r="I139" s="1">
        <v>281</v>
      </c>
      <c r="J139" s="1">
        <v>281</v>
      </c>
      <c r="K139" s="1">
        <v>64</v>
      </c>
      <c r="L139" s="1">
        <v>79</v>
      </c>
      <c r="M139" s="1" t="s">
        <v>49</v>
      </c>
      <c r="N139" s="1" t="s">
        <v>42</v>
      </c>
      <c r="O139" s="1" t="s">
        <v>309</v>
      </c>
      <c r="P139" s="2">
        <v>243.05</v>
      </c>
      <c r="Q139" s="1" t="str">
        <f t="shared" si="6"/>
        <v>YES</v>
      </c>
      <c r="R139" s="2">
        <f t="shared" si="7"/>
        <v>312.48899999999998</v>
      </c>
      <c r="S139" s="2">
        <f>J139*G139</f>
        <v>97566.01</v>
      </c>
      <c r="T139" s="1">
        <f t="shared" ca="1" si="8"/>
        <v>67</v>
      </c>
      <c r="U139" s="1" t="s">
        <v>34</v>
      </c>
      <c r="V139" s="1" t="s">
        <v>34</v>
      </c>
      <c r="W139" s="1" t="s">
        <v>34</v>
      </c>
      <c r="X139" s="1" t="s">
        <v>2631</v>
      </c>
      <c r="Y139" s="1">
        <v>9.5</v>
      </c>
    </row>
    <row r="140" spans="1:25" x14ac:dyDescent="0.3">
      <c r="A140" s="1" t="s">
        <v>310</v>
      </c>
      <c r="B140" s="1" t="s">
        <v>95</v>
      </c>
      <c r="C140" s="1" t="s">
        <v>96</v>
      </c>
      <c r="D140" s="1" t="s">
        <v>97</v>
      </c>
      <c r="E140" s="1" t="s">
        <v>29</v>
      </c>
      <c r="F140" s="1" t="s">
        <v>54</v>
      </c>
      <c r="G140" s="2">
        <v>205.43</v>
      </c>
      <c r="H140" s="1">
        <v>6</v>
      </c>
      <c r="I140" s="1">
        <v>190</v>
      </c>
      <c r="J140" s="1">
        <v>184</v>
      </c>
      <c r="K140" s="1">
        <v>108</v>
      </c>
      <c r="L140" s="1">
        <v>140</v>
      </c>
      <c r="M140" s="1" t="s">
        <v>31</v>
      </c>
      <c r="N140" s="1" t="s">
        <v>32</v>
      </c>
      <c r="O140" s="1" t="s">
        <v>311</v>
      </c>
      <c r="P140" s="2">
        <v>143.80000000000001</v>
      </c>
      <c r="Q140" s="1" t="str">
        <f t="shared" si="6"/>
        <v>YES</v>
      </c>
      <c r="R140" s="2">
        <f t="shared" si="7"/>
        <v>184.887</v>
      </c>
      <c r="S140" s="2">
        <f>J140*G140</f>
        <v>37799.120000000003</v>
      </c>
      <c r="T140" s="1">
        <f t="shared" ca="1" si="8"/>
        <v>80</v>
      </c>
      <c r="U140" s="1" t="s">
        <v>34</v>
      </c>
      <c r="V140" s="1" t="s">
        <v>34</v>
      </c>
      <c r="W140" s="1" t="s">
        <v>34</v>
      </c>
      <c r="X140" s="1" t="s">
        <v>2598</v>
      </c>
      <c r="Y140" s="1">
        <v>5</v>
      </c>
    </row>
    <row r="141" spans="1:25" x14ac:dyDescent="0.3">
      <c r="A141" s="1" t="s">
        <v>312</v>
      </c>
      <c r="B141" s="1" t="s">
        <v>118</v>
      </c>
      <c r="C141" s="1" t="s">
        <v>119</v>
      </c>
      <c r="D141" s="1" t="s">
        <v>97</v>
      </c>
      <c r="E141" s="1" t="s">
        <v>74</v>
      </c>
      <c r="F141" s="1" t="s">
        <v>54</v>
      </c>
      <c r="G141" s="2">
        <v>67.88</v>
      </c>
      <c r="H141" s="1">
        <v>6</v>
      </c>
      <c r="I141" s="1">
        <v>96</v>
      </c>
      <c r="J141" s="1">
        <v>86</v>
      </c>
      <c r="K141" s="1">
        <v>60</v>
      </c>
      <c r="L141" s="1">
        <v>83</v>
      </c>
      <c r="M141" s="1" t="s">
        <v>41</v>
      </c>
      <c r="N141" s="1" t="s">
        <v>32</v>
      </c>
      <c r="O141" s="1" t="s">
        <v>224</v>
      </c>
      <c r="P141" s="2">
        <v>47.52</v>
      </c>
      <c r="Q141" s="1" t="str">
        <f t="shared" si="6"/>
        <v>YES</v>
      </c>
      <c r="R141" s="2">
        <f t="shared" si="7"/>
        <v>61.091999999999999</v>
      </c>
      <c r="S141" s="2">
        <f>J141*G141</f>
        <v>5837.6799999999994</v>
      </c>
      <c r="T141" s="1">
        <f t="shared" ca="1" si="8"/>
        <v>140</v>
      </c>
      <c r="U141" s="1" t="s">
        <v>34</v>
      </c>
      <c r="V141" s="1" t="s">
        <v>34</v>
      </c>
      <c r="W141" s="1" t="s">
        <v>34</v>
      </c>
      <c r="X141" s="1" t="s">
        <v>2632</v>
      </c>
      <c r="Y141" s="1">
        <v>5.5</v>
      </c>
    </row>
    <row r="142" spans="1:25" x14ac:dyDescent="0.3">
      <c r="A142" s="1" t="s">
        <v>313</v>
      </c>
      <c r="B142" s="1" t="s">
        <v>172</v>
      </c>
      <c r="C142" s="1" t="s">
        <v>173</v>
      </c>
      <c r="D142" s="1" t="s">
        <v>132</v>
      </c>
      <c r="E142" s="1" t="s">
        <v>74</v>
      </c>
      <c r="F142" s="1" t="s">
        <v>48</v>
      </c>
      <c r="G142" s="2">
        <v>445.29</v>
      </c>
      <c r="H142" s="1">
        <v>16</v>
      </c>
      <c r="I142" s="1">
        <v>205</v>
      </c>
      <c r="J142" s="1">
        <v>190</v>
      </c>
      <c r="K142" s="1">
        <v>80</v>
      </c>
      <c r="L142" s="1">
        <v>90</v>
      </c>
      <c r="M142" s="1" t="s">
        <v>41</v>
      </c>
      <c r="N142" s="1" t="s">
        <v>42</v>
      </c>
      <c r="O142" s="1" t="s">
        <v>292</v>
      </c>
      <c r="P142" s="2">
        <v>311.7</v>
      </c>
      <c r="Q142" s="1" t="str">
        <f t="shared" si="6"/>
        <v>YES</v>
      </c>
      <c r="R142" s="2">
        <f t="shared" si="7"/>
        <v>400.76100000000002</v>
      </c>
      <c r="S142" s="2">
        <f>J142*G142</f>
        <v>84605.1</v>
      </c>
      <c r="T142" s="1">
        <f t="shared" ca="1" si="8"/>
        <v>83</v>
      </c>
      <c r="U142" s="1" t="s">
        <v>34</v>
      </c>
      <c r="V142" s="1" t="s">
        <v>34</v>
      </c>
      <c r="W142" s="1" t="s">
        <v>34</v>
      </c>
      <c r="X142" s="1" t="s">
        <v>2581</v>
      </c>
      <c r="Y142" s="1">
        <v>6</v>
      </c>
    </row>
    <row r="143" spans="1:25" x14ac:dyDescent="0.3">
      <c r="A143" s="1" t="s">
        <v>314</v>
      </c>
      <c r="B143" s="1" t="s">
        <v>299</v>
      </c>
      <c r="C143" s="1" t="s">
        <v>300</v>
      </c>
      <c r="D143" s="1" t="s">
        <v>39</v>
      </c>
      <c r="E143" s="1" t="s">
        <v>40</v>
      </c>
      <c r="F143" s="1" t="s">
        <v>30</v>
      </c>
      <c r="G143" s="2">
        <v>289.89</v>
      </c>
      <c r="H143" s="1">
        <v>12</v>
      </c>
      <c r="I143" s="1">
        <v>119</v>
      </c>
      <c r="J143" s="1">
        <v>119</v>
      </c>
      <c r="K143" s="1">
        <v>82</v>
      </c>
      <c r="L143" s="1">
        <v>118</v>
      </c>
      <c r="M143" s="1" t="s">
        <v>31</v>
      </c>
      <c r="N143" s="1" t="s">
        <v>42</v>
      </c>
      <c r="O143" s="1" t="s">
        <v>98</v>
      </c>
      <c r="P143" s="2">
        <v>202.92</v>
      </c>
      <c r="Q143" s="1" t="str">
        <f t="shared" si="6"/>
        <v>YES</v>
      </c>
      <c r="R143" s="2">
        <f t="shared" si="7"/>
        <v>260.90100000000001</v>
      </c>
      <c r="S143" s="2">
        <f>J143*G143</f>
        <v>34496.909999999996</v>
      </c>
      <c r="T143" s="1">
        <f t="shared" ca="1" si="8"/>
        <v>96</v>
      </c>
      <c r="U143" s="1" t="s">
        <v>34</v>
      </c>
      <c r="V143" s="1" t="s">
        <v>34</v>
      </c>
      <c r="W143" s="1" t="s">
        <v>34</v>
      </c>
      <c r="X143" s="1" t="s">
        <v>2550</v>
      </c>
      <c r="Y143" s="1">
        <v>6.5</v>
      </c>
    </row>
    <row r="144" spans="1:25" x14ac:dyDescent="0.3">
      <c r="A144" s="1" t="s">
        <v>315</v>
      </c>
      <c r="B144" s="1" t="s">
        <v>69</v>
      </c>
      <c r="C144" s="1" t="s">
        <v>70</v>
      </c>
      <c r="D144" s="1" t="s">
        <v>59</v>
      </c>
      <c r="E144" s="1" t="s">
        <v>74</v>
      </c>
      <c r="F144" s="1" t="s">
        <v>48</v>
      </c>
      <c r="G144" s="2">
        <v>403.23</v>
      </c>
      <c r="H144" s="1">
        <v>2</v>
      </c>
      <c r="I144" s="1">
        <v>194</v>
      </c>
      <c r="J144" s="1">
        <v>169</v>
      </c>
      <c r="K144" s="1">
        <v>63</v>
      </c>
      <c r="L144" s="1">
        <v>103</v>
      </c>
      <c r="M144" s="1" t="s">
        <v>41</v>
      </c>
      <c r="N144" s="1" t="s">
        <v>42</v>
      </c>
      <c r="O144" s="1" t="s">
        <v>240</v>
      </c>
      <c r="P144" s="2">
        <v>282.26</v>
      </c>
      <c r="Q144" s="1" t="str">
        <f t="shared" si="6"/>
        <v>YES</v>
      </c>
      <c r="R144" s="2">
        <f t="shared" si="7"/>
        <v>362.90700000000004</v>
      </c>
      <c r="S144" s="2">
        <f>J144*G144</f>
        <v>68145.87000000001</v>
      </c>
      <c r="T144" s="1">
        <f t="shared" ca="1" si="8"/>
        <v>111</v>
      </c>
      <c r="U144" s="1" t="s">
        <v>34</v>
      </c>
      <c r="V144" s="1" t="s">
        <v>34</v>
      </c>
      <c r="W144" s="1" t="s">
        <v>34</v>
      </c>
      <c r="X144" s="1" t="s">
        <v>2633</v>
      </c>
      <c r="Y144" s="1">
        <v>7</v>
      </c>
    </row>
    <row r="145" spans="1:25" x14ac:dyDescent="0.3">
      <c r="A145" s="1" t="s">
        <v>316</v>
      </c>
      <c r="B145" s="1" t="s">
        <v>52</v>
      </c>
      <c r="C145" s="1" t="s">
        <v>53</v>
      </c>
      <c r="D145" s="1" t="s">
        <v>47</v>
      </c>
      <c r="E145" s="1" t="s">
        <v>40</v>
      </c>
      <c r="F145" s="1" t="s">
        <v>30</v>
      </c>
      <c r="G145" s="2">
        <v>114.38</v>
      </c>
      <c r="H145" s="1">
        <v>1</v>
      </c>
      <c r="I145" s="1">
        <v>291</v>
      </c>
      <c r="J145" s="1">
        <v>257</v>
      </c>
      <c r="K145" s="1">
        <v>118</v>
      </c>
      <c r="L145" s="1">
        <v>69</v>
      </c>
      <c r="M145" s="1" t="s">
        <v>41</v>
      </c>
      <c r="N145" s="1" t="s">
        <v>60</v>
      </c>
      <c r="O145" s="1" t="s">
        <v>240</v>
      </c>
      <c r="P145" s="2">
        <v>80.069999999999993</v>
      </c>
      <c r="Q145" s="1" t="str">
        <f t="shared" si="6"/>
        <v>YES</v>
      </c>
      <c r="R145" s="2">
        <f t="shared" si="7"/>
        <v>102.94199999999999</v>
      </c>
      <c r="S145" s="2">
        <f>J145*G145</f>
        <v>29395.66</v>
      </c>
      <c r="T145" s="1">
        <f t="shared" ca="1" si="8"/>
        <v>111</v>
      </c>
      <c r="U145" s="1" t="s">
        <v>34</v>
      </c>
      <c r="V145" s="1" t="s">
        <v>34</v>
      </c>
      <c r="W145" s="1" t="s">
        <v>34</v>
      </c>
      <c r="X145" s="1" t="s">
        <v>2634</v>
      </c>
      <c r="Y145" s="1">
        <v>7.5</v>
      </c>
    </row>
    <row r="146" spans="1:25" x14ac:dyDescent="0.3">
      <c r="A146" s="1" t="s">
        <v>317</v>
      </c>
      <c r="B146" s="1" t="s">
        <v>77</v>
      </c>
      <c r="C146" s="1" t="s">
        <v>78</v>
      </c>
      <c r="D146" s="1" t="s">
        <v>47</v>
      </c>
      <c r="E146" s="1" t="s">
        <v>74</v>
      </c>
      <c r="F146" s="1" t="s">
        <v>54</v>
      </c>
      <c r="G146" s="2">
        <v>360.73</v>
      </c>
      <c r="H146" s="1">
        <v>12</v>
      </c>
      <c r="I146" s="1">
        <v>286</v>
      </c>
      <c r="J146" s="1">
        <v>258</v>
      </c>
      <c r="K146" s="1">
        <v>89</v>
      </c>
      <c r="L146" s="1">
        <v>58</v>
      </c>
      <c r="M146" s="1" t="s">
        <v>31</v>
      </c>
      <c r="N146" s="1" t="s">
        <v>42</v>
      </c>
      <c r="O146" s="1" t="s">
        <v>302</v>
      </c>
      <c r="P146" s="2">
        <v>252.51</v>
      </c>
      <c r="Q146" s="1" t="str">
        <f t="shared" si="6"/>
        <v>YES</v>
      </c>
      <c r="R146" s="2">
        <f t="shared" si="7"/>
        <v>324.65700000000004</v>
      </c>
      <c r="S146" s="2">
        <f>J146*G146</f>
        <v>93068.340000000011</v>
      </c>
      <c r="T146" s="1">
        <f t="shared" ca="1" si="8"/>
        <v>133</v>
      </c>
      <c r="U146" s="1" t="s">
        <v>34</v>
      </c>
      <c r="V146" s="1" t="s">
        <v>34</v>
      </c>
      <c r="W146" s="1" t="s">
        <v>34</v>
      </c>
      <c r="X146" s="1" t="s">
        <v>2635</v>
      </c>
      <c r="Y146" s="1">
        <v>8</v>
      </c>
    </row>
    <row r="147" spans="1:25" x14ac:dyDescent="0.3">
      <c r="A147" s="1" t="s">
        <v>318</v>
      </c>
      <c r="B147" s="1" t="s">
        <v>126</v>
      </c>
      <c r="C147" s="1" t="s">
        <v>127</v>
      </c>
      <c r="D147" s="1" t="s">
        <v>85</v>
      </c>
      <c r="E147" s="1" t="s">
        <v>74</v>
      </c>
      <c r="F147" s="1" t="s">
        <v>54</v>
      </c>
      <c r="G147" s="2">
        <v>89.69</v>
      </c>
      <c r="H147" s="1">
        <v>18</v>
      </c>
      <c r="I147" s="1">
        <v>231</v>
      </c>
      <c r="J147" s="1">
        <v>204</v>
      </c>
      <c r="K147" s="1">
        <v>111</v>
      </c>
      <c r="L147" s="1">
        <v>95</v>
      </c>
      <c r="M147" s="1" t="s">
        <v>31</v>
      </c>
      <c r="N147" s="1" t="s">
        <v>42</v>
      </c>
      <c r="O147" s="1" t="s">
        <v>157</v>
      </c>
      <c r="P147" s="2">
        <v>62.78</v>
      </c>
      <c r="Q147" s="1" t="str">
        <f t="shared" si="6"/>
        <v>YES</v>
      </c>
      <c r="R147" s="2">
        <f t="shared" si="7"/>
        <v>80.721000000000004</v>
      </c>
      <c r="S147" s="2">
        <f>J147*G147</f>
        <v>18296.759999999998</v>
      </c>
      <c r="T147" s="1">
        <f t="shared" ca="1" si="8"/>
        <v>103</v>
      </c>
      <c r="U147" s="1" t="s">
        <v>34</v>
      </c>
      <c r="V147" s="1" t="s">
        <v>34</v>
      </c>
      <c r="W147" s="1" t="s">
        <v>34</v>
      </c>
      <c r="X147" s="1" t="s">
        <v>2584</v>
      </c>
      <c r="Y147" s="1">
        <v>8.5</v>
      </c>
    </row>
    <row r="148" spans="1:25" x14ac:dyDescent="0.3">
      <c r="A148" s="1" t="s">
        <v>319</v>
      </c>
      <c r="B148" s="1" t="s">
        <v>130</v>
      </c>
      <c r="C148" s="1" t="s">
        <v>131</v>
      </c>
      <c r="D148" s="1" t="s">
        <v>132</v>
      </c>
      <c r="E148" s="1" t="s">
        <v>29</v>
      </c>
      <c r="F148" s="1" t="s">
        <v>48</v>
      </c>
      <c r="G148" s="2">
        <v>373.65</v>
      </c>
      <c r="H148" s="1">
        <v>23</v>
      </c>
      <c r="I148" s="1">
        <v>184</v>
      </c>
      <c r="J148" s="1">
        <v>184</v>
      </c>
      <c r="K148" s="1">
        <v>66</v>
      </c>
      <c r="L148" s="1">
        <v>139</v>
      </c>
      <c r="M148" s="1" t="s">
        <v>49</v>
      </c>
      <c r="N148" s="1" t="s">
        <v>60</v>
      </c>
      <c r="O148" s="1" t="s">
        <v>205</v>
      </c>
      <c r="P148" s="2">
        <v>261.55</v>
      </c>
      <c r="Q148" s="1" t="str">
        <f t="shared" si="6"/>
        <v>YES</v>
      </c>
      <c r="R148" s="2">
        <f t="shared" si="7"/>
        <v>336.28499999999997</v>
      </c>
      <c r="S148" s="2">
        <f>J148*G148</f>
        <v>68751.599999999991</v>
      </c>
      <c r="T148" s="1">
        <f t="shared" ca="1" si="8"/>
        <v>74</v>
      </c>
      <c r="U148" s="1" t="s">
        <v>34</v>
      </c>
      <c r="V148" s="1" t="s">
        <v>34</v>
      </c>
      <c r="W148" s="1" t="s">
        <v>34</v>
      </c>
      <c r="X148" s="1" t="s">
        <v>2636</v>
      </c>
      <c r="Y148" s="1">
        <v>9</v>
      </c>
    </row>
    <row r="149" spans="1:25" x14ac:dyDescent="0.3">
      <c r="A149" s="1" t="s">
        <v>320</v>
      </c>
      <c r="B149" s="1" t="s">
        <v>299</v>
      </c>
      <c r="C149" s="1" t="s">
        <v>300</v>
      </c>
      <c r="D149" s="1" t="s">
        <v>39</v>
      </c>
      <c r="E149" s="1" t="s">
        <v>40</v>
      </c>
      <c r="F149" s="1" t="s">
        <v>54</v>
      </c>
      <c r="G149" s="2">
        <v>425.62</v>
      </c>
      <c r="H149" s="1">
        <v>25</v>
      </c>
      <c r="I149" s="1">
        <v>191</v>
      </c>
      <c r="J149" s="1">
        <v>168</v>
      </c>
      <c r="K149" s="1">
        <v>108</v>
      </c>
      <c r="L149" s="1">
        <v>60</v>
      </c>
      <c r="M149" s="1" t="s">
        <v>49</v>
      </c>
      <c r="N149" s="1" t="s">
        <v>60</v>
      </c>
      <c r="O149" s="1" t="s">
        <v>153</v>
      </c>
      <c r="P149" s="2">
        <v>297.93</v>
      </c>
      <c r="Q149" s="1" t="str">
        <f t="shared" si="6"/>
        <v>YES</v>
      </c>
      <c r="R149" s="2">
        <f t="shared" si="7"/>
        <v>383.05799999999999</v>
      </c>
      <c r="S149" s="2">
        <f>J149*G149</f>
        <v>71504.160000000003</v>
      </c>
      <c r="T149" s="1">
        <f t="shared" ca="1" si="8"/>
        <v>135</v>
      </c>
      <c r="U149" s="1" t="s">
        <v>34</v>
      </c>
      <c r="V149" s="1" t="s">
        <v>34</v>
      </c>
      <c r="W149" s="1" t="s">
        <v>34</v>
      </c>
      <c r="X149" s="1" t="s">
        <v>2637</v>
      </c>
      <c r="Y149" s="1">
        <v>9.5</v>
      </c>
    </row>
    <row r="150" spans="1:25" x14ac:dyDescent="0.3">
      <c r="A150" s="1" t="s">
        <v>321</v>
      </c>
      <c r="B150" s="1" t="s">
        <v>299</v>
      </c>
      <c r="C150" s="1" t="s">
        <v>300</v>
      </c>
      <c r="D150" s="1" t="s">
        <v>39</v>
      </c>
      <c r="E150" s="1" t="s">
        <v>29</v>
      </c>
      <c r="F150" s="1" t="s">
        <v>54</v>
      </c>
      <c r="G150" s="2">
        <v>357.29</v>
      </c>
      <c r="H150" s="1">
        <v>9</v>
      </c>
      <c r="I150" s="1">
        <v>108</v>
      </c>
      <c r="J150" s="1">
        <v>80</v>
      </c>
      <c r="K150" s="1">
        <v>109</v>
      </c>
      <c r="L150" s="1">
        <v>109</v>
      </c>
      <c r="M150" s="1" t="s">
        <v>41</v>
      </c>
      <c r="N150" s="1" t="s">
        <v>60</v>
      </c>
      <c r="O150" s="1" t="s">
        <v>61</v>
      </c>
      <c r="P150" s="2">
        <v>250.1</v>
      </c>
      <c r="Q150" s="1" t="str">
        <f t="shared" si="6"/>
        <v>NO</v>
      </c>
      <c r="R150" s="2">
        <f t="shared" si="7"/>
        <v>357.29</v>
      </c>
      <c r="S150" s="2">
        <f>J150*G150</f>
        <v>28583.200000000001</v>
      </c>
      <c r="T150" s="1">
        <f t="shared" ca="1" si="8"/>
        <v>73</v>
      </c>
      <c r="U150" s="1" t="s">
        <v>34</v>
      </c>
      <c r="V150" s="1" t="s">
        <v>34</v>
      </c>
      <c r="W150" s="1" t="s">
        <v>34</v>
      </c>
      <c r="X150" s="1" t="s">
        <v>2627</v>
      </c>
      <c r="Y150" s="1">
        <v>5</v>
      </c>
    </row>
    <row r="151" spans="1:25" x14ac:dyDescent="0.3">
      <c r="A151" s="1" t="s">
        <v>322</v>
      </c>
      <c r="B151" s="1" t="s">
        <v>192</v>
      </c>
      <c r="C151" s="1" t="s">
        <v>193</v>
      </c>
      <c r="D151" s="1" t="s">
        <v>85</v>
      </c>
      <c r="E151" s="1" t="s">
        <v>74</v>
      </c>
      <c r="F151" s="1" t="s">
        <v>54</v>
      </c>
      <c r="G151" s="2">
        <v>231.74</v>
      </c>
      <c r="H151" s="1">
        <v>4</v>
      </c>
      <c r="I151" s="1">
        <v>94</v>
      </c>
      <c r="J151" s="1">
        <v>83</v>
      </c>
      <c r="K151" s="1">
        <v>82</v>
      </c>
      <c r="L151" s="1">
        <v>87</v>
      </c>
      <c r="M151" s="1" t="s">
        <v>49</v>
      </c>
      <c r="N151" s="1" t="s">
        <v>42</v>
      </c>
      <c r="O151" s="1" t="s">
        <v>284</v>
      </c>
      <c r="P151" s="2">
        <v>162.22</v>
      </c>
      <c r="Q151" s="1" t="str">
        <f t="shared" si="6"/>
        <v>YES</v>
      </c>
      <c r="R151" s="2">
        <f t="shared" si="7"/>
        <v>208.566</v>
      </c>
      <c r="S151" s="2">
        <f>J151*G151</f>
        <v>19234.420000000002</v>
      </c>
      <c r="T151" s="1">
        <f t="shared" ca="1" si="8"/>
        <v>119</v>
      </c>
      <c r="U151" s="1" t="s">
        <v>34</v>
      </c>
      <c r="V151" s="1" t="s">
        <v>34</v>
      </c>
      <c r="W151" s="1" t="s">
        <v>34</v>
      </c>
      <c r="X151" s="1" t="s">
        <v>2638</v>
      </c>
      <c r="Y151" s="1">
        <v>5.5</v>
      </c>
    </row>
    <row r="152" spans="1:25" x14ac:dyDescent="0.3">
      <c r="A152" s="1" t="s">
        <v>323</v>
      </c>
      <c r="B152" s="1" t="s">
        <v>102</v>
      </c>
      <c r="C152" s="1" t="s">
        <v>103</v>
      </c>
      <c r="D152" s="1" t="s">
        <v>104</v>
      </c>
      <c r="E152" s="1" t="s">
        <v>29</v>
      </c>
      <c r="F152" s="1" t="s">
        <v>30</v>
      </c>
      <c r="G152" s="2">
        <v>473.77</v>
      </c>
      <c r="H152" s="1">
        <v>9</v>
      </c>
      <c r="I152" s="1">
        <v>221</v>
      </c>
      <c r="J152" s="1">
        <v>212</v>
      </c>
      <c r="K152" s="1">
        <v>107</v>
      </c>
      <c r="L152" s="1">
        <v>60</v>
      </c>
      <c r="M152" s="1" t="s">
        <v>41</v>
      </c>
      <c r="N152" s="1" t="s">
        <v>42</v>
      </c>
      <c r="O152" s="1" t="s">
        <v>266</v>
      </c>
      <c r="P152" s="2">
        <v>331.64</v>
      </c>
      <c r="Q152" s="1" t="str">
        <f t="shared" si="6"/>
        <v>YES</v>
      </c>
      <c r="R152" s="2">
        <f t="shared" si="7"/>
        <v>426.39299999999997</v>
      </c>
      <c r="S152" s="2">
        <f>J152*G152</f>
        <v>100439.23999999999</v>
      </c>
      <c r="T152" s="1">
        <f t="shared" ca="1" si="8"/>
        <v>139</v>
      </c>
      <c r="U152" s="1" t="s">
        <v>34</v>
      </c>
      <c r="V152" s="1" t="s">
        <v>34</v>
      </c>
      <c r="W152" s="1" t="s">
        <v>34</v>
      </c>
      <c r="X152" s="1" t="s">
        <v>2515</v>
      </c>
      <c r="Y152" s="1">
        <v>6</v>
      </c>
    </row>
    <row r="153" spans="1:25" x14ac:dyDescent="0.3">
      <c r="A153" s="1" t="s">
        <v>324</v>
      </c>
      <c r="B153" s="1" t="s">
        <v>262</v>
      </c>
      <c r="C153" s="1" t="s">
        <v>263</v>
      </c>
      <c r="D153" s="1" t="s">
        <v>104</v>
      </c>
      <c r="E153" s="1" t="s">
        <v>29</v>
      </c>
      <c r="F153" s="1" t="s">
        <v>30</v>
      </c>
      <c r="G153" s="2">
        <v>63.33</v>
      </c>
      <c r="H153" s="1">
        <v>4</v>
      </c>
      <c r="I153" s="1">
        <v>123</v>
      </c>
      <c r="J153" s="1">
        <v>115</v>
      </c>
      <c r="K153" s="1">
        <v>61</v>
      </c>
      <c r="L153" s="1">
        <v>105</v>
      </c>
      <c r="M153" s="1" t="s">
        <v>31</v>
      </c>
      <c r="N153" s="1" t="s">
        <v>60</v>
      </c>
      <c r="O153" s="1" t="s">
        <v>109</v>
      </c>
      <c r="P153" s="2">
        <v>44.33</v>
      </c>
      <c r="Q153" s="1" t="str">
        <f t="shared" si="6"/>
        <v>YES</v>
      </c>
      <c r="R153" s="2">
        <f t="shared" si="7"/>
        <v>56.997</v>
      </c>
      <c r="S153" s="2">
        <f>J153*G153</f>
        <v>7282.95</v>
      </c>
      <c r="T153" s="1">
        <f t="shared" ca="1" si="8"/>
        <v>89</v>
      </c>
      <c r="U153" s="1" t="s">
        <v>34</v>
      </c>
      <c r="V153" s="1" t="s">
        <v>34</v>
      </c>
      <c r="W153" s="1" t="s">
        <v>34</v>
      </c>
      <c r="X153" s="1" t="s">
        <v>2639</v>
      </c>
      <c r="Y153" s="1">
        <v>6.5</v>
      </c>
    </row>
    <row r="154" spans="1:25" x14ac:dyDescent="0.3">
      <c r="A154" s="1" t="s">
        <v>325</v>
      </c>
      <c r="B154" s="1" t="s">
        <v>72</v>
      </c>
      <c r="C154" s="1" t="s">
        <v>73</v>
      </c>
      <c r="D154" s="1" t="s">
        <v>47</v>
      </c>
      <c r="E154" s="1" t="s">
        <v>74</v>
      </c>
      <c r="F154" s="1" t="s">
        <v>48</v>
      </c>
      <c r="G154" s="2">
        <v>444.22</v>
      </c>
      <c r="H154" s="1">
        <v>7</v>
      </c>
      <c r="I154" s="1">
        <v>220</v>
      </c>
      <c r="J154" s="1">
        <v>210</v>
      </c>
      <c r="K154" s="1">
        <v>48</v>
      </c>
      <c r="L154" s="1">
        <v>134</v>
      </c>
      <c r="M154" s="1" t="s">
        <v>49</v>
      </c>
      <c r="N154" s="1" t="s">
        <v>32</v>
      </c>
      <c r="O154" s="1" t="s">
        <v>264</v>
      </c>
      <c r="P154" s="2">
        <v>310.95</v>
      </c>
      <c r="Q154" s="1" t="str">
        <f t="shared" si="6"/>
        <v>YES</v>
      </c>
      <c r="R154" s="2">
        <f t="shared" si="7"/>
        <v>399.79800000000006</v>
      </c>
      <c r="S154" s="2">
        <f>J154*G154</f>
        <v>93286.200000000012</v>
      </c>
      <c r="T154" s="1">
        <f t="shared" ca="1" si="8"/>
        <v>84</v>
      </c>
      <c r="U154" s="1" t="s">
        <v>34</v>
      </c>
      <c r="V154" s="1" t="s">
        <v>34</v>
      </c>
      <c r="W154" s="1" t="s">
        <v>34</v>
      </c>
      <c r="X154" s="1" t="s">
        <v>2570</v>
      </c>
      <c r="Y154" s="1">
        <v>7</v>
      </c>
    </row>
    <row r="155" spans="1:25" x14ac:dyDescent="0.3">
      <c r="A155" s="1" t="s">
        <v>326</v>
      </c>
      <c r="B155" s="1" t="s">
        <v>123</v>
      </c>
      <c r="C155" s="1" t="s">
        <v>124</v>
      </c>
      <c r="D155" s="1" t="s">
        <v>47</v>
      </c>
      <c r="E155" s="1" t="s">
        <v>74</v>
      </c>
      <c r="F155" s="1" t="s">
        <v>48</v>
      </c>
      <c r="G155" s="2">
        <v>370.87</v>
      </c>
      <c r="H155" s="1">
        <v>24</v>
      </c>
      <c r="I155" s="1">
        <v>267</v>
      </c>
      <c r="J155" s="1">
        <v>235</v>
      </c>
      <c r="K155" s="1">
        <v>63</v>
      </c>
      <c r="L155" s="1">
        <v>113</v>
      </c>
      <c r="M155" s="1" t="s">
        <v>49</v>
      </c>
      <c r="N155" s="1" t="s">
        <v>32</v>
      </c>
      <c r="O155" s="1" t="s">
        <v>205</v>
      </c>
      <c r="P155" s="2">
        <v>259.61</v>
      </c>
      <c r="Q155" s="1" t="str">
        <f t="shared" si="6"/>
        <v>YES</v>
      </c>
      <c r="R155" s="2">
        <f t="shared" si="7"/>
        <v>333.78300000000002</v>
      </c>
      <c r="S155" s="2">
        <f>J155*G155</f>
        <v>87154.45</v>
      </c>
      <c r="T155" s="1">
        <f t="shared" ca="1" si="8"/>
        <v>74</v>
      </c>
      <c r="U155" s="1" t="s">
        <v>34</v>
      </c>
      <c r="V155" s="1" t="s">
        <v>34</v>
      </c>
      <c r="W155" s="1" t="s">
        <v>34</v>
      </c>
      <c r="X155" s="1" t="s">
        <v>2640</v>
      </c>
      <c r="Y155" s="1">
        <v>7.5</v>
      </c>
    </row>
    <row r="156" spans="1:25" x14ac:dyDescent="0.3">
      <c r="A156" s="1" t="s">
        <v>327</v>
      </c>
      <c r="B156" s="1" t="s">
        <v>237</v>
      </c>
      <c r="C156" s="1" t="s">
        <v>238</v>
      </c>
      <c r="D156" s="1" t="s">
        <v>85</v>
      </c>
      <c r="E156" s="1" t="s">
        <v>29</v>
      </c>
      <c r="F156" s="1" t="s">
        <v>54</v>
      </c>
      <c r="G156" s="2">
        <v>183.97</v>
      </c>
      <c r="H156" s="1">
        <v>20</v>
      </c>
      <c r="I156" s="1">
        <v>271</v>
      </c>
      <c r="J156" s="1">
        <v>247</v>
      </c>
      <c r="K156" s="1">
        <v>40</v>
      </c>
      <c r="L156" s="1">
        <v>129</v>
      </c>
      <c r="M156" s="1" t="s">
        <v>41</v>
      </c>
      <c r="N156" s="1" t="s">
        <v>32</v>
      </c>
      <c r="O156" s="1" t="s">
        <v>185</v>
      </c>
      <c r="P156" s="2">
        <v>128.78</v>
      </c>
      <c r="Q156" s="1" t="str">
        <f t="shared" si="6"/>
        <v>YES</v>
      </c>
      <c r="R156" s="2">
        <f t="shared" si="7"/>
        <v>165.57300000000001</v>
      </c>
      <c r="S156" s="2">
        <f>J156*G156</f>
        <v>45440.59</v>
      </c>
      <c r="T156" s="1">
        <f t="shared" ca="1" si="8"/>
        <v>104</v>
      </c>
      <c r="U156" s="1" t="s">
        <v>34</v>
      </c>
      <c r="V156" s="1" t="s">
        <v>34</v>
      </c>
      <c r="W156" s="1" t="s">
        <v>34</v>
      </c>
      <c r="X156" s="1" t="s">
        <v>2544</v>
      </c>
      <c r="Y156" s="1">
        <v>8</v>
      </c>
    </row>
    <row r="157" spans="1:25" x14ac:dyDescent="0.3">
      <c r="A157" s="1" t="s">
        <v>328</v>
      </c>
      <c r="B157" s="1" t="s">
        <v>192</v>
      </c>
      <c r="C157" s="1" t="s">
        <v>193</v>
      </c>
      <c r="D157" s="1" t="s">
        <v>85</v>
      </c>
      <c r="E157" s="1" t="s">
        <v>40</v>
      </c>
      <c r="F157" s="1" t="s">
        <v>54</v>
      </c>
      <c r="G157" s="2">
        <v>172.36</v>
      </c>
      <c r="H157" s="1">
        <v>9</v>
      </c>
      <c r="I157" s="1">
        <v>296</v>
      </c>
      <c r="J157" s="1">
        <v>290</v>
      </c>
      <c r="K157" s="1">
        <v>118</v>
      </c>
      <c r="L157" s="1">
        <v>134</v>
      </c>
      <c r="M157" s="1" t="s">
        <v>49</v>
      </c>
      <c r="N157" s="1" t="s">
        <v>60</v>
      </c>
      <c r="O157" s="1" t="s">
        <v>81</v>
      </c>
      <c r="P157" s="2">
        <v>120.65</v>
      </c>
      <c r="Q157" s="1" t="str">
        <f t="shared" si="6"/>
        <v>YES</v>
      </c>
      <c r="R157" s="2">
        <f t="shared" si="7"/>
        <v>155.12400000000002</v>
      </c>
      <c r="S157" s="2">
        <f>J157*G157</f>
        <v>49984.4</v>
      </c>
      <c r="T157" s="1">
        <f t="shared" ca="1" si="8"/>
        <v>81</v>
      </c>
      <c r="U157" s="1" t="s">
        <v>34</v>
      </c>
      <c r="V157" s="1" t="s">
        <v>34</v>
      </c>
      <c r="W157" s="1" t="s">
        <v>34</v>
      </c>
      <c r="X157" s="1" t="s">
        <v>2641</v>
      </c>
      <c r="Y157" s="1">
        <v>8.5</v>
      </c>
    </row>
    <row r="158" spans="1:25" x14ac:dyDescent="0.3">
      <c r="A158" s="1" t="s">
        <v>329</v>
      </c>
      <c r="B158" s="1" t="s">
        <v>166</v>
      </c>
      <c r="C158" s="1" t="s">
        <v>167</v>
      </c>
      <c r="D158" s="1" t="s">
        <v>59</v>
      </c>
      <c r="E158" s="1" t="s">
        <v>40</v>
      </c>
      <c r="F158" s="1" t="s">
        <v>30</v>
      </c>
      <c r="G158" s="2">
        <v>82.55</v>
      </c>
      <c r="H158" s="1">
        <v>21</v>
      </c>
      <c r="I158" s="1">
        <v>148</v>
      </c>
      <c r="J158" s="1">
        <v>109</v>
      </c>
      <c r="K158" s="1">
        <v>48</v>
      </c>
      <c r="L158" s="1">
        <v>122</v>
      </c>
      <c r="M158" s="1" t="s">
        <v>41</v>
      </c>
      <c r="N158" s="1" t="s">
        <v>42</v>
      </c>
      <c r="O158" s="1" t="s">
        <v>183</v>
      </c>
      <c r="P158" s="2">
        <v>57.78</v>
      </c>
      <c r="Q158" s="1" t="str">
        <f t="shared" si="6"/>
        <v>YES</v>
      </c>
      <c r="R158" s="2">
        <f t="shared" si="7"/>
        <v>74.295000000000002</v>
      </c>
      <c r="S158" s="2">
        <f>J158*G158</f>
        <v>8997.9499999999989</v>
      </c>
      <c r="T158" s="1">
        <f t="shared" ca="1" si="8"/>
        <v>115</v>
      </c>
      <c r="U158" s="1" t="s">
        <v>34</v>
      </c>
      <c r="V158" s="1" t="s">
        <v>34</v>
      </c>
      <c r="W158" s="1" t="s">
        <v>34</v>
      </c>
      <c r="X158" s="1" t="s">
        <v>2642</v>
      </c>
      <c r="Y158" s="1">
        <v>9</v>
      </c>
    </row>
    <row r="159" spans="1:25" x14ac:dyDescent="0.3">
      <c r="A159" s="1" t="s">
        <v>330</v>
      </c>
      <c r="B159" s="1" t="s">
        <v>69</v>
      </c>
      <c r="C159" s="1" t="s">
        <v>70</v>
      </c>
      <c r="D159" s="1" t="s">
        <v>59</v>
      </c>
      <c r="E159" s="1" t="s">
        <v>29</v>
      </c>
      <c r="F159" s="1" t="s">
        <v>30</v>
      </c>
      <c r="G159" s="2">
        <v>251.43</v>
      </c>
      <c r="H159" s="1">
        <v>23</v>
      </c>
      <c r="I159" s="1">
        <v>189</v>
      </c>
      <c r="J159" s="1">
        <v>179</v>
      </c>
      <c r="K159" s="1">
        <v>92</v>
      </c>
      <c r="L159" s="1">
        <v>76</v>
      </c>
      <c r="M159" s="1" t="s">
        <v>31</v>
      </c>
      <c r="N159" s="1" t="s">
        <v>42</v>
      </c>
      <c r="O159" s="1" t="s">
        <v>195</v>
      </c>
      <c r="P159" s="2">
        <v>176</v>
      </c>
      <c r="Q159" s="1" t="str">
        <f t="shared" si="6"/>
        <v>YES</v>
      </c>
      <c r="R159" s="2">
        <f t="shared" si="7"/>
        <v>226.28700000000001</v>
      </c>
      <c r="S159" s="2">
        <f>J159*G159</f>
        <v>45005.97</v>
      </c>
      <c r="T159" s="1">
        <f t="shared" ca="1" si="8"/>
        <v>63</v>
      </c>
      <c r="U159" s="1" t="s">
        <v>34</v>
      </c>
      <c r="V159" s="1" t="s">
        <v>34</v>
      </c>
      <c r="W159" s="1" t="s">
        <v>34</v>
      </c>
      <c r="X159" s="1" t="s">
        <v>2524</v>
      </c>
      <c r="Y159" s="1">
        <v>9.5</v>
      </c>
    </row>
    <row r="160" spans="1:25" x14ac:dyDescent="0.3">
      <c r="A160" s="1" t="s">
        <v>331</v>
      </c>
      <c r="B160" s="1" t="s">
        <v>143</v>
      </c>
      <c r="C160" s="1" t="s">
        <v>144</v>
      </c>
      <c r="D160" s="1" t="s">
        <v>47</v>
      </c>
      <c r="E160" s="1" t="s">
        <v>74</v>
      </c>
      <c r="F160" s="1" t="s">
        <v>30</v>
      </c>
      <c r="G160" s="2">
        <v>448.81</v>
      </c>
      <c r="H160" s="1">
        <v>3</v>
      </c>
      <c r="I160" s="1">
        <v>91</v>
      </c>
      <c r="J160" s="1">
        <v>59</v>
      </c>
      <c r="K160" s="1">
        <v>116</v>
      </c>
      <c r="L160" s="1">
        <v>53</v>
      </c>
      <c r="M160" s="1" t="s">
        <v>41</v>
      </c>
      <c r="N160" s="1" t="s">
        <v>32</v>
      </c>
      <c r="O160" s="1" t="s">
        <v>145</v>
      </c>
      <c r="P160" s="2">
        <v>314.17</v>
      </c>
      <c r="Q160" s="1" t="str">
        <f t="shared" si="6"/>
        <v>NO</v>
      </c>
      <c r="R160" s="2">
        <f t="shared" si="7"/>
        <v>448.81</v>
      </c>
      <c r="S160" s="2">
        <f>J160*G160</f>
        <v>26479.79</v>
      </c>
      <c r="T160" s="1">
        <f t="shared" ca="1" si="8"/>
        <v>68</v>
      </c>
      <c r="U160" s="1" t="s">
        <v>34</v>
      </c>
      <c r="V160" s="1" t="s">
        <v>34</v>
      </c>
      <c r="W160" s="1" t="s">
        <v>34</v>
      </c>
      <c r="X160" s="1" t="s">
        <v>2643</v>
      </c>
      <c r="Y160" s="1">
        <v>5</v>
      </c>
    </row>
    <row r="161" spans="1:25" x14ac:dyDescent="0.3">
      <c r="A161" s="1" t="s">
        <v>332</v>
      </c>
      <c r="B161" s="1" t="s">
        <v>111</v>
      </c>
      <c r="C161" s="1" t="s">
        <v>112</v>
      </c>
      <c r="D161" s="1" t="s">
        <v>97</v>
      </c>
      <c r="E161" s="1" t="s">
        <v>29</v>
      </c>
      <c r="F161" s="1" t="s">
        <v>48</v>
      </c>
      <c r="G161" s="2">
        <v>176.39</v>
      </c>
      <c r="H161" s="1">
        <v>25</v>
      </c>
      <c r="I161" s="1">
        <v>294</v>
      </c>
      <c r="J161" s="1">
        <v>274</v>
      </c>
      <c r="K161" s="1">
        <v>52</v>
      </c>
      <c r="L161" s="1">
        <v>129</v>
      </c>
      <c r="M161" s="1" t="s">
        <v>49</v>
      </c>
      <c r="N161" s="1" t="s">
        <v>42</v>
      </c>
      <c r="O161" s="1" t="s">
        <v>333</v>
      </c>
      <c r="P161" s="2">
        <v>123.47</v>
      </c>
      <c r="Q161" s="1" t="str">
        <f t="shared" si="6"/>
        <v>YES</v>
      </c>
      <c r="R161" s="2">
        <f t="shared" si="7"/>
        <v>158.751</v>
      </c>
      <c r="S161" s="2">
        <f>J161*G161</f>
        <v>48330.859999999993</v>
      </c>
      <c r="T161" s="1">
        <f t="shared" ca="1" si="8"/>
        <v>109</v>
      </c>
      <c r="U161" s="1" t="s">
        <v>34</v>
      </c>
      <c r="V161" s="1" t="s">
        <v>34</v>
      </c>
      <c r="W161" s="1" t="s">
        <v>34</v>
      </c>
      <c r="X161" s="1" t="s">
        <v>2644</v>
      </c>
      <c r="Y161" s="1">
        <v>5.5</v>
      </c>
    </row>
    <row r="162" spans="1:25" x14ac:dyDescent="0.3">
      <c r="A162" s="1" t="s">
        <v>334</v>
      </c>
      <c r="B162" s="1" t="s">
        <v>172</v>
      </c>
      <c r="C162" s="1" t="s">
        <v>173</v>
      </c>
      <c r="D162" s="1" t="s">
        <v>132</v>
      </c>
      <c r="E162" s="1" t="s">
        <v>40</v>
      </c>
      <c r="F162" s="1" t="s">
        <v>30</v>
      </c>
      <c r="G162" s="2">
        <v>210.48</v>
      </c>
      <c r="H162" s="1">
        <v>2</v>
      </c>
      <c r="I162" s="1">
        <v>290</v>
      </c>
      <c r="J162" s="1">
        <v>258</v>
      </c>
      <c r="K162" s="1">
        <v>105</v>
      </c>
      <c r="L162" s="1">
        <v>121</v>
      </c>
      <c r="M162" s="1" t="s">
        <v>41</v>
      </c>
      <c r="N162" s="1" t="s">
        <v>32</v>
      </c>
      <c r="O162" s="1" t="s">
        <v>43</v>
      </c>
      <c r="P162" s="2">
        <v>147.34</v>
      </c>
      <c r="Q162" s="1" t="str">
        <f t="shared" si="6"/>
        <v>YES</v>
      </c>
      <c r="R162" s="2">
        <f t="shared" si="7"/>
        <v>189.43199999999999</v>
      </c>
      <c r="S162" s="2">
        <f>J162*G162</f>
        <v>54303.839999999997</v>
      </c>
      <c r="T162" s="1">
        <f t="shared" ca="1" si="8"/>
        <v>117</v>
      </c>
      <c r="U162" s="1" t="s">
        <v>34</v>
      </c>
      <c r="V162" s="1" t="s">
        <v>34</v>
      </c>
      <c r="W162" s="1" t="s">
        <v>34</v>
      </c>
      <c r="X162" s="1" t="s">
        <v>2645</v>
      </c>
      <c r="Y162" s="1">
        <v>6</v>
      </c>
    </row>
    <row r="163" spans="1:25" x14ac:dyDescent="0.3">
      <c r="A163" s="1" t="s">
        <v>335</v>
      </c>
      <c r="B163" s="1" t="s">
        <v>166</v>
      </c>
      <c r="C163" s="1" t="s">
        <v>167</v>
      </c>
      <c r="D163" s="1" t="s">
        <v>59</v>
      </c>
      <c r="E163" s="1" t="s">
        <v>74</v>
      </c>
      <c r="F163" s="1" t="s">
        <v>54</v>
      </c>
      <c r="G163" s="2">
        <v>77.09</v>
      </c>
      <c r="H163" s="1">
        <v>23</v>
      </c>
      <c r="I163" s="1">
        <v>200</v>
      </c>
      <c r="J163" s="1">
        <v>181</v>
      </c>
      <c r="K163" s="1">
        <v>54</v>
      </c>
      <c r="L163" s="1">
        <v>105</v>
      </c>
      <c r="M163" s="1" t="s">
        <v>41</v>
      </c>
      <c r="N163" s="1" t="s">
        <v>42</v>
      </c>
      <c r="O163" s="1" t="s">
        <v>336</v>
      </c>
      <c r="P163" s="2">
        <v>53.96</v>
      </c>
      <c r="Q163" s="1" t="str">
        <f t="shared" si="6"/>
        <v>YES</v>
      </c>
      <c r="R163" s="2">
        <f t="shared" si="7"/>
        <v>69.381</v>
      </c>
      <c r="S163" s="2">
        <f>J163*G163</f>
        <v>13953.29</v>
      </c>
      <c r="T163" s="1">
        <f t="shared" ca="1" si="8"/>
        <v>131</v>
      </c>
      <c r="U163" s="1" t="s">
        <v>34</v>
      </c>
      <c r="V163" s="1" t="s">
        <v>34</v>
      </c>
      <c r="W163" s="1" t="s">
        <v>34</v>
      </c>
      <c r="X163" s="1" t="s">
        <v>2589</v>
      </c>
      <c r="Y163" s="1">
        <v>6.5</v>
      </c>
    </row>
    <row r="164" spans="1:25" x14ac:dyDescent="0.3">
      <c r="A164" s="1" t="s">
        <v>337</v>
      </c>
      <c r="B164" s="1" t="s">
        <v>102</v>
      </c>
      <c r="C164" s="1" t="s">
        <v>103</v>
      </c>
      <c r="D164" s="1" t="s">
        <v>104</v>
      </c>
      <c r="E164" s="1" t="s">
        <v>74</v>
      </c>
      <c r="F164" s="1" t="s">
        <v>30</v>
      </c>
      <c r="G164" s="2">
        <v>376.51</v>
      </c>
      <c r="H164" s="1">
        <v>16</v>
      </c>
      <c r="I164" s="1">
        <v>216</v>
      </c>
      <c r="J164" s="1">
        <v>192</v>
      </c>
      <c r="K164" s="1">
        <v>105</v>
      </c>
      <c r="L164" s="1">
        <v>121</v>
      </c>
      <c r="M164" s="1" t="s">
        <v>49</v>
      </c>
      <c r="N164" s="1" t="s">
        <v>32</v>
      </c>
      <c r="O164" s="1" t="s">
        <v>128</v>
      </c>
      <c r="P164" s="2">
        <v>263.56</v>
      </c>
      <c r="Q164" s="1" t="str">
        <f t="shared" si="6"/>
        <v>YES</v>
      </c>
      <c r="R164" s="2">
        <f t="shared" si="7"/>
        <v>338.85899999999998</v>
      </c>
      <c r="S164" s="2">
        <f>J164*G164</f>
        <v>72289.919999999998</v>
      </c>
      <c r="T164" s="1">
        <f t="shared" ca="1" si="8"/>
        <v>77</v>
      </c>
      <c r="U164" s="1" t="s">
        <v>34</v>
      </c>
      <c r="V164" s="1" t="s">
        <v>34</v>
      </c>
      <c r="W164" s="1" t="s">
        <v>34</v>
      </c>
      <c r="X164" s="1" t="s">
        <v>2646</v>
      </c>
      <c r="Y164" s="1">
        <v>7</v>
      </c>
    </row>
    <row r="165" spans="1:25" x14ac:dyDescent="0.3">
      <c r="A165" s="1" t="s">
        <v>338</v>
      </c>
      <c r="B165" s="1" t="s">
        <v>123</v>
      </c>
      <c r="C165" s="1" t="s">
        <v>124</v>
      </c>
      <c r="D165" s="1" t="s">
        <v>47</v>
      </c>
      <c r="E165" s="1" t="s">
        <v>74</v>
      </c>
      <c r="F165" s="1" t="s">
        <v>30</v>
      </c>
      <c r="G165" s="2">
        <v>414</v>
      </c>
      <c r="H165" s="1">
        <v>13</v>
      </c>
      <c r="I165" s="1">
        <v>138</v>
      </c>
      <c r="J165" s="1">
        <v>115</v>
      </c>
      <c r="K165" s="1">
        <v>71</v>
      </c>
      <c r="L165" s="1">
        <v>125</v>
      </c>
      <c r="M165" s="1" t="s">
        <v>31</v>
      </c>
      <c r="N165" s="1" t="s">
        <v>42</v>
      </c>
      <c r="O165" s="1" t="s">
        <v>254</v>
      </c>
      <c r="P165" s="2">
        <v>289.8</v>
      </c>
      <c r="Q165" s="1" t="str">
        <f t="shared" si="6"/>
        <v>YES</v>
      </c>
      <c r="R165" s="2">
        <f t="shared" si="7"/>
        <v>372.6</v>
      </c>
      <c r="S165" s="2">
        <f>J165*G165</f>
        <v>47610</v>
      </c>
      <c r="T165" s="1">
        <f t="shared" ca="1" si="8"/>
        <v>145</v>
      </c>
      <c r="U165" s="1" t="s">
        <v>34</v>
      </c>
      <c r="V165" s="1" t="s">
        <v>34</v>
      </c>
      <c r="W165" s="1" t="s">
        <v>34</v>
      </c>
      <c r="X165" s="1" t="s">
        <v>2647</v>
      </c>
      <c r="Y165" s="1">
        <v>7.5</v>
      </c>
    </row>
    <row r="166" spans="1:25" x14ac:dyDescent="0.3">
      <c r="A166" s="1" t="s">
        <v>339</v>
      </c>
      <c r="B166" s="1" t="s">
        <v>126</v>
      </c>
      <c r="C166" s="1" t="s">
        <v>127</v>
      </c>
      <c r="D166" s="1" t="s">
        <v>85</v>
      </c>
      <c r="E166" s="1" t="s">
        <v>74</v>
      </c>
      <c r="F166" s="1" t="s">
        <v>54</v>
      </c>
      <c r="G166" s="2">
        <v>299.81</v>
      </c>
      <c r="H166" s="1">
        <v>8</v>
      </c>
      <c r="I166" s="1">
        <v>203</v>
      </c>
      <c r="J166" s="1">
        <v>182</v>
      </c>
      <c r="K166" s="1">
        <v>79</v>
      </c>
      <c r="L166" s="1">
        <v>147</v>
      </c>
      <c r="M166" s="1" t="s">
        <v>31</v>
      </c>
      <c r="N166" s="1" t="s">
        <v>60</v>
      </c>
      <c r="O166" s="1" t="s">
        <v>340</v>
      </c>
      <c r="P166" s="2">
        <v>209.87</v>
      </c>
      <c r="Q166" s="1" t="str">
        <f t="shared" si="6"/>
        <v>YES</v>
      </c>
      <c r="R166" s="2">
        <f t="shared" si="7"/>
        <v>269.82900000000001</v>
      </c>
      <c r="S166" s="2">
        <f>J166*G166</f>
        <v>54565.42</v>
      </c>
      <c r="T166" s="1">
        <f t="shared" ca="1" si="8"/>
        <v>138</v>
      </c>
      <c r="U166" s="1" t="s">
        <v>34</v>
      </c>
      <c r="V166" s="1" t="s">
        <v>34</v>
      </c>
      <c r="W166" s="1" t="s">
        <v>34</v>
      </c>
      <c r="X166" s="1" t="s">
        <v>2572</v>
      </c>
      <c r="Y166" s="1">
        <v>8</v>
      </c>
    </row>
    <row r="167" spans="1:25" x14ac:dyDescent="0.3">
      <c r="A167" s="1" t="s">
        <v>341</v>
      </c>
      <c r="B167" s="1" t="s">
        <v>172</v>
      </c>
      <c r="C167" s="1" t="s">
        <v>173</v>
      </c>
      <c r="D167" s="1" t="s">
        <v>132</v>
      </c>
      <c r="E167" s="1" t="s">
        <v>74</v>
      </c>
      <c r="F167" s="1" t="s">
        <v>48</v>
      </c>
      <c r="G167" s="2">
        <v>359.14</v>
      </c>
      <c r="H167" s="1">
        <v>14</v>
      </c>
      <c r="I167" s="1">
        <v>125</v>
      </c>
      <c r="J167" s="1">
        <v>108</v>
      </c>
      <c r="K167" s="1">
        <v>113</v>
      </c>
      <c r="L167" s="1">
        <v>53</v>
      </c>
      <c r="M167" s="1" t="s">
        <v>41</v>
      </c>
      <c r="N167" s="1" t="s">
        <v>32</v>
      </c>
      <c r="O167" s="1" t="s">
        <v>88</v>
      </c>
      <c r="P167" s="2">
        <v>251.4</v>
      </c>
      <c r="Q167" s="1" t="str">
        <f t="shared" si="6"/>
        <v>NO</v>
      </c>
      <c r="R167" s="2">
        <f t="shared" si="7"/>
        <v>359.14</v>
      </c>
      <c r="S167" s="2">
        <f>J167*G167</f>
        <v>38787.119999999995</v>
      </c>
      <c r="T167" s="1">
        <f t="shared" ca="1" si="8"/>
        <v>124</v>
      </c>
      <c r="U167" s="1" t="s">
        <v>34</v>
      </c>
      <c r="V167" s="1" t="s">
        <v>34</v>
      </c>
      <c r="W167" s="1" t="s">
        <v>34</v>
      </c>
      <c r="X167" s="1" t="s">
        <v>2648</v>
      </c>
      <c r="Y167" s="1">
        <v>8.5</v>
      </c>
    </row>
    <row r="168" spans="1:25" x14ac:dyDescent="0.3">
      <c r="A168" s="1" t="s">
        <v>342</v>
      </c>
      <c r="B168" s="1" t="s">
        <v>57</v>
      </c>
      <c r="C168" s="1" t="s">
        <v>58</v>
      </c>
      <c r="D168" s="1" t="s">
        <v>59</v>
      </c>
      <c r="E168" s="1" t="s">
        <v>74</v>
      </c>
      <c r="F168" s="1" t="s">
        <v>54</v>
      </c>
      <c r="G168" s="2">
        <v>475.64</v>
      </c>
      <c r="H168" s="1">
        <v>4</v>
      </c>
      <c r="I168" s="1">
        <v>222</v>
      </c>
      <c r="J168" s="1">
        <v>217</v>
      </c>
      <c r="K168" s="1">
        <v>111</v>
      </c>
      <c r="L168" s="1">
        <v>103</v>
      </c>
      <c r="M168" s="1" t="s">
        <v>31</v>
      </c>
      <c r="N168" s="1" t="s">
        <v>42</v>
      </c>
      <c r="O168" s="1" t="s">
        <v>145</v>
      </c>
      <c r="P168" s="2">
        <v>332.95</v>
      </c>
      <c r="Q168" s="1" t="str">
        <f t="shared" si="6"/>
        <v>YES</v>
      </c>
      <c r="R168" s="2">
        <f t="shared" si="7"/>
        <v>428.07600000000002</v>
      </c>
      <c r="S168" s="2">
        <f>J168*G168</f>
        <v>103213.87999999999</v>
      </c>
      <c r="T168" s="1">
        <f t="shared" ca="1" si="8"/>
        <v>68</v>
      </c>
      <c r="U168" s="1" t="s">
        <v>34</v>
      </c>
      <c r="V168" s="1" t="s">
        <v>34</v>
      </c>
      <c r="W168" s="1" t="s">
        <v>34</v>
      </c>
      <c r="X168" s="1" t="s">
        <v>2624</v>
      </c>
      <c r="Y168" s="1">
        <v>9</v>
      </c>
    </row>
    <row r="169" spans="1:25" x14ac:dyDescent="0.3">
      <c r="A169" s="1" t="s">
        <v>343</v>
      </c>
      <c r="B169" s="1" t="s">
        <v>111</v>
      </c>
      <c r="C169" s="1" t="s">
        <v>112</v>
      </c>
      <c r="D169" s="1" t="s">
        <v>97</v>
      </c>
      <c r="E169" s="1" t="s">
        <v>40</v>
      </c>
      <c r="F169" s="1" t="s">
        <v>30</v>
      </c>
      <c r="G169" s="2">
        <v>41.83</v>
      </c>
      <c r="H169" s="1">
        <v>12</v>
      </c>
      <c r="I169" s="1">
        <v>228</v>
      </c>
      <c r="J169" s="1">
        <v>200</v>
      </c>
      <c r="K169" s="1">
        <v>46</v>
      </c>
      <c r="L169" s="1">
        <v>125</v>
      </c>
      <c r="M169" s="1" t="s">
        <v>49</v>
      </c>
      <c r="N169" s="1" t="s">
        <v>60</v>
      </c>
      <c r="O169" s="1" t="s">
        <v>212</v>
      </c>
      <c r="P169" s="2">
        <v>29.28</v>
      </c>
      <c r="Q169" s="1" t="str">
        <f t="shared" si="6"/>
        <v>YES</v>
      </c>
      <c r="R169" s="2">
        <f t="shared" si="7"/>
        <v>37.646999999999998</v>
      </c>
      <c r="S169" s="2">
        <f>J169*G169</f>
        <v>8366</v>
      </c>
      <c r="T169" s="1">
        <f t="shared" ca="1" si="8"/>
        <v>78</v>
      </c>
      <c r="U169" s="1" t="s">
        <v>34</v>
      </c>
      <c r="V169" s="1" t="s">
        <v>34</v>
      </c>
      <c r="W169" s="1" t="s">
        <v>34</v>
      </c>
      <c r="X169" s="1" t="s">
        <v>2649</v>
      </c>
      <c r="Y169" s="1">
        <v>9.5</v>
      </c>
    </row>
    <row r="170" spans="1:25" x14ac:dyDescent="0.3">
      <c r="A170" s="1" t="s">
        <v>344</v>
      </c>
      <c r="B170" s="1" t="s">
        <v>123</v>
      </c>
      <c r="C170" s="1" t="s">
        <v>124</v>
      </c>
      <c r="D170" s="1" t="s">
        <v>47</v>
      </c>
      <c r="E170" s="1" t="s">
        <v>74</v>
      </c>
      <c r="F170" s="1" t="s">
        <v>30</v>
      </c>
      <c r="G170" s="2">
        <v>359.99</v>
      </c>
      <c r="H170" s="1">
        <v>11</v>
      </c>
      <c r="I170" s="1">
        <v>236</v>
      </c>
      <c r="J170" s="1">
        <v>229</v>
      </c>
      <c r="K170" s="1">
        <v>105</v>
      </c>
      <c r="L170" s="1">
        <v>66</v>
      </c>
      <c r="M170" s="1" t="s">
        <v>31</v>
      </c>
      <c r="N170" s="1" t="s">
        <v>42</v>
      </c>
      <c r="O170" s="1" t="s">
        <v>35</v>
      </c>
      <c r="P170" s="2">
        <v>251.99</v>
      </c>
      <c r="Q170" s="1" t="str">
        <f t="shared" si="6"/>
        <v>YES</v>
      </c>
      <c r="R170" s="2">
        <f t="shared" si="7"/>
        <v>323.99100000000004</v>
      </c>
      <c r="S170" s="2">
        <f>J170*G170</f>
        <v>82437.710000000006</v>
      </c>
      <c r="T170" s="1">
        <f t="shared" ca="1" si="8"/>
        <v>85</v>
      </c>
      <c r="U170" s="1" t="s">
        <v>34</v>
      </c>
      <c r="V170" s="1" t="s">
        <v>34</v>
      </c>
      <c r="W170" s="1" t="s">
        <v>34</v>
      </c>
      <c r="X170" s="1" t="s">
        <v>2650</v>
      </c>
      <c r="Y170" s="1">
        <v>5</v>
      </c>
    </row>
    <row r="171" spans="1:25" x14ac:dyDescent="0.3">
      <c r="A171" s="1" t="s">
        <v>345</v>
      </c>
      <c r="B171" s="1" t="s">
        <v>37</v>
      </c>
      <c r="C171" s="1" t="s">
        <v>38</v>
      </c>
      <c r="D171" s="1" t="s">
        <v>39</v>
      </c>
      <c r="E171" s="1" t="s">
        <v>40</v>
      </c>
      <c r="F171" s="1" t="s">
        <v>54</v>
      </c>
      <c r="G171" s="2">
        <v>320.47000000000003</v>
      </c>
      <c r="H171" s="1">
        <v>19</v>
      </c>
      <c r="I171" s="1">
        <v>226</v>
      </c>
      <c r="J171" s="1">
        <v>212</v>
      </c>
      <c r="K171" s="1">
        <v>118</v>
      </c>
      <c r="L171" s="1">
        <v>133</v>
      </c>
      <c r="M171" s="1" t="s">
        <v>49</v>
      </c>
      <c r="N171" s="1" t="s">
        <v>60</v>
      </c>
      <c r="O171" s="1" t="s">
        <v>105</v>
      </c>
      <c r="P171" s="2">
        <v>224.33</v>
      </c>
      <c r="Q171" s="1" t="str">
        <f t="shared" si="6"/>
        <v>YES</v>
      </c>
      <c r="R171" s="2">
        <f t="shared" si="7"/>
        <v>288.42300000000006</v>
      </c>
      <c r="S171" s="2">
        <f>J171*G171</f>
        <v>67939.64</v>
      </c>
      <c r="T171" s="1">
        <f t="shared" ca="1" si="8"/>
        <v>144</v>
      </c>
      <c r="U171" s="1" t="s">
        <v>34</v>
      </c>
      <c r="V171" s="1" t="s">
        <v>34</v>
      </c>
      <c r="W171" s="1" t="s">
        <v>34</v>
      </c>
      <c r="X171" s="1" t="s">
        <v>2651</v>
      </c>
      <c r="Y171" s="1">
        <v>5.5</v>
      </c>
    </row>
    <row r="172" spans="1:25" x14ac:dyDescent="0.3">
      <c r="A172" s="1" t="s">
        <v>346</v>
      </c>
      <c r="B172" s="1" t="s">
        <v>189</v>
      </c>
      <c r="C172" s="1" t="s">
        <v>190</v>
      </c>
      <c r="D172" s="1" t="s">
        <v>59</v>
      </c>
      <c r="E172" s="1" t="s">
        <v>74</v>
      </c>
      <c r="F172" s="1" t="s">
        <v>54</v>
      </c>
      <c r="G172" s="2">
        <v>65.87</v>
      </c>
      <c r="H172" s="1">
        <v>3</v>
      </c>
      <c r="I172" s="1">
        <v>113</v>
      </c>
      <c r="J172" s="1">
        <v>107</v>
      </c>
      <c r="K172" s="1">
        <v>90</v>
      </c>
      <c r="L172" s="1">
        <v>76</v>
      </c>
      <c r="M172" s="1" t="s">
        <v>41</v>
      </c>
      <c r="N172" s="1" t="s">
        <v>60</v>
      </c>
      <c r="O172" s="1" t="s">
        <v>347</v>
      </c>
      <c r="P172" s="2">
        <v>46.11</v>
      </c>
      <c r="Q172" s="1" t="str">
        <f t="shared" si="6"/>
        <v>YES</v>
      </c>
      <c r="R172" s="2">
        <f t="shared" si="7"/>
        <v>59.283000000000008</v>
      </c>
      <c r="S172" s="2">
        <f>J172*G172</f>
        <v>7048.09</v>
      </c>
      <c r="T172" s="1">
        <f t="shared" ca="1" si="8"/>
        <v>79</v>
      </c>
      <c r="U172" s="1" t="s">
        <v>34</v>
      </c>
      <c r="V172" s="1" t="s">
        <v>34</v>
      </c>
      <c r="W172" s="1" t="s">
        <v>34</v>
      </c>
      <c r="X172" s="1" t="s">
        <v>2524</v>
      </c>
      <c r="Y172" s="1">
        <v>6</v>
      </c>
    </row>
    <row r="173" spans="1:25" x14ac:dyDescent="0.3">
      <c r="A173" s="1" t="s">
        <v>348</v>
      </c>
      <c r="B173" s="1" t="s">
        <v>95</v>
      </c>
      <c r="C173" s="1" t="s">
        <v>96</v>
      </c>
      <c r="D173" s="1" t="s">
        <v>97</v>
      </c>
      <c r="E173" s="1" t="s">
        <v>74</v>
      </c>
      <c r="F173" s="1" t="s">
        <v>48</v>
      </c>
      <c r="G173" s="2">
        <v>201.17</v>
      </c>
      <c r="H173" s="1">
        <v>5</v>
      </c>
      <c r="I173" s="1">
        <v>276</v>
      </c>
      <c r="J173" s="1">
        <v>273</v>
      </c>
      <c r="K173" s="1">
        <v>53</v>
      </c>
      <c r="L173" s="1">
        <v>128</v>
      </c>
      <c r="M173" s="1" t="s">
        <v>41</v>
      </c>
      <c r="N173" s="1" t="s">
        <v>42</v>
      </c>
      <c r="O173" s="1" t="s">
        <v>113</v>
      </c>
      <c r="P173" s="2">
        <v>140.82</v>
      </c>
      <c r="Q173" s="1" t="str">
        <f t="shared" si="6"/>
        <v>YES</v>
      </c>
      <c r="R173" s="2">
        <f t="shared" si="7"/>
        <v>181.053</v>
      </c>
      <c r="S173" s="2">
        <f>J173*G173</f>
        <v>54919.409999999996</v>
      </c>
      <c r="T173" s="1">
        <f t="shared" ca="1" si="8"/>
        <v>82</v>
      </c>
      <c r="U173" s="1" t="s">
        <v>34</v>
      </c>
      <c r="V173" s="1" t="s">
        <v>34</v>
      </c>
      <c r="W173" s="1" t="s">
        <v>34</v>
      </c>
      <c r="X173" s="1" t="s">
        <v>2652</v>
      </c>
      <c r="Y173" s="1">
        <v>6.5</v>
      </c>
    </row>
    <row r="174" spans="1:25" x14ac:dyDescent="0.3">
      <c r="A174" s="1" t="s">
        <v>349</v>
      </c>
      <c r="B174" s="1" t="s">
        <v>83</v>
      </c>
      <c r="C174" s="1" t="s">
        <v>84</v>
      </c>
      <c r="D174" s="1" t="s">
        <v>85</v>
      </c>
      <c r="E174" s="1" t="s">
        <v>74</v>
      </c>
      <c r="F174" s="1" t="s">
        <v>30</v>
      </c>
      <c r="G174" s="2">
        <v>215.99</v>
      </c>
      <c r="H174" s="1">
        <v>0</v>
      </c>
      <c r="I174" s="1">
        <v>296</v>
      </c>
      <c r="J174" s="1">
        <v>273</v>
      </c>
      <c r="K174" s="1">
        <v>52</v>
      </c>
      <c r="L174" s="1">
        <v>54</v>
      </c>
      <c r="M174" s="1" t="s">
        <v>49</v>
      </c>
      <c r="N174" s="1" t="s">
        <v>42</v>
      </c>
      <c r="O174" s="1" t="s">
        <v>164</v>
      </c>
      <c r="P174" s="2">
        <v>151.19</v>
      </c>
      <c r="Q174" s="1" t="str">
        <f t="shared" si="6"/>
        <v>YES</v>
      </c>
      <c r="R174" s="2">
        <f t="shared" si="7"/>
        <v>194.39100000000002</v>
      </c>
      <c r="S174" s="2">
        <f>J174*G174</f>
        <v>58965.270000000004</v>
      </c>
      <c r="T174" s="1">
        <f t="shared" ca="1" si="8"/>
        <v>126</v>
      </c>
      <c r="U174" s="1" t="s">
        <v>34</v>
      </c>
      <c r="V174" s="1" t="s">
        <v>34</v>
      </c>
      <c r="W174" s="1" t="s">
        <v>34</v>
      </c>
      <c r="X174" s="1" t="s">
        <v>2653</v>
      </c>
      <c r="Y174" s="1">
        <v>7</v>
      </c>
    </row>
    <row r="175" spans="1:25" x14ac:dyDescent="0.3">
      <c r="A175" s="1" t="s">
        <v>350</v>
      </c>
      <c r="B175" s="1" t="s">
        <v>172</v>
      </c>
      <c r="C175" s="1" t="s">
        <v>173</v>
      </c>
      <c r="D175" s="1" t="s">
        <v>132</v>
      </c>
      <c r="E175" s="1" t="s">
        <v>29</v>
      </c>
      <c r="F175" s="1" t="s">
        <v>54</v>
      </c>
      <c r="G175" s="2">
        <v>339.06</v>
      </c>
      <c r="H175" s="1">
        <v>9</v>
      </c>
      <c r="I175" s="1">
        <v>125</v>
      </c>
      <c r="J175" s="1">
        <v>121</v>
      </c>
      <c r="K175" s="1">
        <v>103</v>
      </c>
      <c r="L175" s="1">
        <v>122</v>
      </c>
      <c r="M175" s="1" t="s">
        <v>49</v>
      </c>
      <c r="N175" s="1" t="s">
        <v>60</v>
      </c>
      <c r="O175" s="1" t="s">
        <v>340</v>
      </c>
      <c r="P175" s="2">
        <v>237.34</v>
      </c>
      <c r="Q175" s="1" t="str">
        <f t="shared" si="6"/>
        <v>YES</v>
      </c>
      <c r="R175" s="2">
        <f t="shared" si="7"/>
        <v>305.154</v>
      </c>
      <c r="S175" s="2">
        <f>J175*G175</f>
        <v>41026.26</v>
      </c>
      <c r="T175" s="1">
        <f t="shared" ca="1" si="8"/>
        <v>138</v>
      </c>
      <c r="U175" s="1" t="s">
        <v>34</v>
      </c>
      <c r="V175" s="1" t="s">
        <v>34</v>
      </c>
      <c r="W175" s="1" t="s">
        <v>34</v>
      </c>
      <c r="X175" s="1" t="s">
        <v>2618</v>
      </c>
      <c r="Y175" s="1">
        <v>7.5</v>
      </c>
    </row>
    <row r="176" spans="1:25" x14ac:dyDescent="0.3">
      <c r="A176" s="1" t="s">
        <v>351</v>
      </c>
      <c r="B176" s="1" t="s">
        <v>83</v>
      </c>
      <c r="C176" s="1" t="s">
        <v>84</v>
      </c>
      <c r="D176" s="1" t="s">
        <v>85</v>
      </c>
      <c r="E176" s="1" t="s">
        <v>29</v>
      </c>
      <c r="F176" s="1" t="s">
        <v>30</v>
      </c>
      <c r="G176" s="2">
        <v>226.42</v>
      </c>
      <c r="H176" s="1">
        <v>4</v>
      </c>
      <c r="I176" s="1">
        <v>298</v>
      </c>
      <c r="J176" s="1">
        <v>280</v>
      </c>
      <c r="K176" s="1">
        <v>88</v>
      </c>
      <c r="L176" s="1">
        <v>95</v>
      </c>
      <c r="M176" s="1" t="s">
        <v>49</v>
      </c>
      <c r="N176" s="1" t="s">
        <v>60</v>
      </c>
      <c r="O176" s="1" t="s">
        <v>336</v>
      </c>
      <c r="P176" s="2">
        <v>158.49</v>
      </c>
      <c r="Q176" s="1" t="str">
        <f t="shared" si="6"/>
        <v>YES</v>
      </c>
      <c r="R176" s="2">
        <f t="shared" si="7"/>
        <v>203.77799999999999</v>
      </c>
      <c r="S176" s="2">
        <f>J176*G176</f>
        <v>63397.599999999999</v>
      </c>
      <c r="T176" s="1">
        <f t="shared" ca="1" si="8"/>
        <v>131</v>
      </c>
      <c r="U176" s="1" t="s">
        <v>34</v>
      </c>
      <c r="V176" s="1" t="s">
        <v>34</v>
      </c>
      <c r="W176" s="1" t="s">
        <v>34</v>
      </c>
      <c r="X176" s="1" t="s">
        <v>2617</v>
      </c>
      <c r="Y176" s="1">
        <v>8</v>
      </c>
    </row>
    <row r="177" spans="1:25" x14ac:dyDescent="0.3">
      <c r="A177" s="1" t="s">
        <v>352</v>
      </c>
      <c r="B177" s="1" t="s">
        <v>118</v>
      </c>
      <c r="C177" s="1" t="s">
        <v>119</v>
      </c>
      <c r="D177" s="1" t="s">
        <v>97</v>
      </c>
      <c r="E177" s="1" t="s">
        <v>74</v>
      </c>
      <c r="F177" s="1" t="s">
        <v>48</v>
      </c>
      <c r="G177" s="2">
        <v>362.1</v>
      </c>
      <c r="H177" s="1">
        <v>1</v>
      </c>
      <c r="I177" s="1">
        <v>155</v>
      </c>
      <c r="J177" s="1">
        <v>139</v>
      </c>
      <c r="K177" s="1">
        <v>102</v>
      </c>
      <c r="L177" s="1">
        <v>132</v>
      </c>
      <c r="M177" s="1" t="s">
        <v>31</v>
      </c>
      <c r="N177" s="1" t="s">
        <v>42</v>
      </c>
      <c r="O177" s="1" t="s">
        <v>170</v>
      </c>
      <c r="P177" s="2">
        <v>253.47</v>
      </c>
      <c r="Q177" s="1" t="str">
        <f t="shared" si="6"/>
        <v>YES</v>
      </c>
      <c r="R177" s="2">
        <f t="shared" si="7"/>
        <v>325.89000000000004</v>
      </c>
      <c r="S177" s="2">
        <f>J177*G177</f>
        <v>50331.9</v>
      </c>
      <c r="T177" s="1">
        <f t="shared" ca="1" si="8"/>
        <v>95</v>
      </c>
      <c r="U177" s="1" t="s">
        <v>34</v>
      </c>
      <c r="V177" s="1" t="s">
        <v>34</v>
      </c>
      <c r="W177" s="1" t="s">
        <v>34</v>
      </c>
      <c r="X177" s="1" t="s">
        <v>2654</v>
      </c>
      <c r="Y177" s="1">
        <v>8.5</v>
      </c>
    </row>
    <row r="178" spans="1:25" x14ac:dyDescent="0.3">
      <c r="A178" s="1" t="s">
        <v>353</v>
      </c>
      <c r="B178" s="1" t="s">
        <v>107</v>
      </c>
      <c r="C178" s="1" t="s">
        <v>108</v>
      </c>
      <c r="D178" s="1" t="s">
        <v>39</v>
      </c>
      <c r="E178" s="1" t="s">
        <v>29</v>
      </c>
      <c r="F178" s="1" t="s">
        <v>30</v>
      </c>
      <c r="G178" s="2">
        <v>494.99</v>
      </c>
      <c r="H178" s="1">
        <v>19</v>
      </c>
      <c r="I178" s="1">
        <v>149</v>
      </c>
      <c r="J178" s="1">
        <v>145</v>
      </c>
      <c r="K178" s="1">
        <v>98</v>
      </c>
      <c r="L178" s="1">
        <v>83</v>
      </c>
      <c r="M178" s="1" t="s">
        <v>41</v>
      </c>
      <c r="N178" s="1" t="s">
        <v>42</v>
      </c>
      <c r="O178" s="1" t="s">
        <v>150</v>
      </c>
      <c r="P178" s="2">
        <v>346.49</v>
      </c>
      <c r="Q178" s="1" t="str">
        <f t="shared" si="6"/>
        <v>YES</v>
      </c>
      <c r="R178" s="2">
        <f t="shared" si="7"/>
        <v>445.49100000000004</v>
      </c>
      <c r="S178" s="2">
        <f>J178*G178</f>
        <v>71773.55</v>
      </c>
      <c r="T178" s="1">
        <f t="shared" ca="1" si="8"/>
        <v>116</v>
      </c>
      <c r="U178" s="1" t="s">
        <v>34</v>
      </c>
      <c r="V178" s="1" t="s">
        <v>34</v>
      </c>
      <c r="W178" s="1" t="s">
        <v>34</v>
      </c>
      <c r="X178" s="1" t="s">
        <v>2655</v>
      </c>
      <c r="Y178" s="1">
        <v>9</v>
      </c>
    </row>
    <row r="179" spans="1:25" x14ac:dyDescent="0.3">
      <c r="A179" s="1" t="s">
        <v>354</v>
      </c>
      <c r="B179" s="1" t="s">
        <v>102</v>
      </c>
      <c r="C179" s="1" t="s">
        <v>103</v>
      </c>
      <c r="D179" s="1" t="s">
        <v>104</v>
      </c>
      <c r="E179" s="1" t="s">
        <v>74</v>
      </c>
      <c r="F179" s="1" t="s">
        <v>48</v>
      </c>
      <c r="G179" s="2">
        <v>400.36</v>
      </c>
      <c r="H179" s="1">
        <v>0</v>
      </c>
      <c r="I179" s="1">
        <v>165</v>
      </c>
      <c r="J179" s="1">
        <v>137</v>
      </c>
      <c r="K179" s="1">
        <v>50</v>
      </c>
      <c r="L179" s="1">
        <v>101</v>
      </c>
      <c r="M179" s="1" t="s">
        <v>41</v>
      </c>
      <c r="N179" s="1" t="s">
        <v>32</v>
      </c>
      <c r="O179" s="1" t="s">
        <v>185</v>
      </c>
      <c r="P179" s="2">
        <v>280.25</v>
      </c>
      <c r="Q179" s="1" t="str">
        <f t="shared" si="6"/>
        <v>YES</v>
      </c>
      <c r="R179" s="2">
        <f t="shared" si="7"/>
        <v>360.32400000000001</v>
      </c>
      <c r="S179" s="2">
        <f>J179*G179</f>
        <v>54849.32</v>
      </c>
      <c r="T179" s="1">
        <f t="shared" ca="1" si="8"/>
        <v>104</v>
      </c>
      <c r="U179" s="1" t="s">
        <v>34</v>
      </c>
      <c r="V179" s="1" t="s">
        <v>34</v>
      </c>
      <c r="W179" s="1" t="s">
        <v>34</v>
      </c>
      <c r="X179" s="1" t="s">
        <v>2656</v>
      </c>
      <c r="Y179" s="1">
        <v>9.5</v>
      </c>
    </row>
    <row r="180" spans="1:25" x14ac:dyDescent="0.3">
      <c r="A180" s="1" t="s">
        <v>355</v>
      </c>
      <c r="B180" s="1" t="s">
        <v>111</v>
      </c>
      <c r="C180" s="1" t="s">
        <v>112</v>
      </c>
      <c r="D180" s="1" t="s">
        <v>97</v>
      </c>
      <c r="E180" s="1" t="s">
        <v>29</v>
      </c>
      <c r="F180" s="1" t="s">
        <v>54</v>
      </c>
      <c r="G180" s="2">
        <v>189.5</v>
      </c>
      <c r="H180" s="1">
        <v>18</v>
      </c>
      <c r="I180" s="1">
        <v>157</v>
      </c>
      <c r="J180" s="1">
        <v>150</v>
      </c>
      <c r="K180" s="1">
        <v>94</v>
      </c>
      <c r="L180" s="1">
        <v>105</v>
      </c>
      <c r="M180" s="1" t="s">
        <v>41</v>
      </c>
      <c r="N180" s="1" t="s">
        <v>60</v>
      </c>
      <c r="O180" s="1" t="s">
        <v>116</v>
      </c>
      <c r="P180" s="2">
        <v>132.65</v>
      </c>
      <c r="Q180" s="1" t="str">
        <f t="shared" si="6"/>
        <v>YES</v>
      </c>
      <c r="R180" s="2">
        <f t="shared" si="7"/>
        <v>170.55</v>
      </c>
      <c r="S180" s="2">
        <f>J180*G180</f>
        <v>28425</v>
      </c>
      <c r="T180" s="1">
        <f t="shared" ca="1" si="8"/>
        <v>87</v>
      </c>
      <c r="U180" s="1" t="s">
        <v>34</v>
      </c>
      <c r="V180" s="1" t="s">
        <v>34</v>
      </c>
      <c r="W180" s="1" t="s">
        <v>34</v>
      </c>
      <c r="X180" s="1" t="s">
        <v>2607</v>
      </c>
      <c r="Y180" s="1">
        <v>5</v>
      </c>
    </row>
    <row r="181" spans="1:25" x14ac:dyDescent="0.3">
      <c r="A181" s="1" t="s">
        <v>356</v>
      </c>
      <c r="B181" s="1" t="s">
        <v>83</v>
      </c>
      <c r="C181" s="1" t="s">
        <v>84</v>
      </c>
      <c r="D181" s="1" t="s">
        <v>85</v>
      </c>
      <c r="E181" s="1" t="s">
        <v>40</v>
      </c>
      <c r="F181" s="1" t="s">
        <v>48</v>
      </c>
      <c r="G181" s="2">
        <v>362.06</v>
      </c>
      <c r="H181" s="1">
        <v>2</v>
      </c>
      <c r="I181" s="1">
        <v>121</v>
      </c>
      <c r="J181" s="1">
        <v>98</v>
      </c>
      <c r="K181" s="1">
        <v>82</v>
      </c>
      <c r="L181" s="1">
        <v>59</v>
      </c>
      <c r="M181" s="1" t="s">
        <v>31</v>
      </c>
      <c r="N181" s="1" t="s">
        <v>60</v>
      </c>
      <c r="O181" s="1" t="s">
        <v>81</v>
      </c>
      <c r="P181" s="2">
        <v>253.44</v>
      </c>
      <c r="Q181" s="1" t="str">
        <f t="shared" si="6"/>
        <v>YES</v>
      </c>
      <c r="R181" s="2">
        <f t="shared" si="7"/>
        <v>325.85399999999998</v>
      </c>
      <c r="S181" s="2">
        <f>J181*G181</f>
        <v>35481.879999999997</v>
      </c>
      <c r="T181" s="1">
        <f t="shared" ca="1" si="8"/>
        <v>81</v>
      </c>
      <c r="U181" s="1" t="s">
        <v>34</v>
      </c>
      <c r="V181" s="1" t="s">
        <v>34</v>
      </c>
      <c r="W181" s="1" t="s">
        <v>34</v>
      </c>
      <c r="X181" s="1" t="s">
        <v>2657</v>
      </c>
      <c r="Y181" s="1">
        <v>5.5</v>
      </c>
    </row>
    <row r="182" spans="1:25" x14ac:dyDescent="0.3">
      <c r="A182" s="1" t="s">
        <v>357</v>
      </c>
      <c r="B182" s="1" t="s">
        <v>143</v>
      </c>
      <c r="C182" s="1" t="s">
        <v>144</v>
      </c>
      <c r="D182" s="1" t="s">
        <v>47</v>
      </c>
      <c r="E182" s="1" t="s">
        <v>74</v>
      </c>
      <c r="F182" s="1" t="s">
        <v>48</v>
      </c>
      <c r="G182" s="2">
        <v>308.02</v>
      </c>
      <c r="H182" s="1">
        <v>0</v>
      </c>
      <c r="I182" s="1">
        <v>158</v>
      </c>
      <c r="J182" s="1">
        <v>144</v>
      </c>
      <c r="K182" s="1">
        <v>117</v>
      </c>
      <c r="L182" s="1">
        <v>86</v>
      </c>
      <c r="M182" s="1" t="s">
        <v>49</v>
      </c>
      <c r="N182" s="1" t="s">
        <v>32</v>
      </c>
      <c r="O182" s="1" t="s">
        <v>35</v>
      </c>
      <c r="P182" s="2">
        <v>215.61</v>
      </c>
      <c r="Q182" s="1" t="str">
        <f t="shared" si="6"/>
        <v>YES</v>
      </c>
      <c r="R182" s="2">
        <f t="shared" si="7"/>
        <v>277.21800000000002</v>
      </c>
      <c r="S182" s="2">
        <f>J182*G182</f>
        <v>44354.879999999997</v>
      </c>
      <c r="T182" s="1">
        <f t="shared" ca="1" si="8"/>
        <v>85</v>
      </c>
      <c r="U182" s="1" t="s">
        <v>34</v>
      </c>
      <c r="V182" s="1" t="s">
        <v>34</v>
      </c>
      <c r="W182" s="1" t="s">
        <v>34</v>
      </c>
      <c r="X182" s="1" t="s">
        <v>2555</v>
      </c>
      <c r="Y182" s="1">
        <v>6</v>
      </c>
    </row>
    <row r="183" spans="1:25" x14ac:dyDescent="0.3">
      <c r="A183" s="1" t="s">
        <v>358</v>
      </c>
      <c r="B183" s="1" t="s">
        <v>189</v>
      </c>
      <c r="C183" s="1" t="s">
        <v>190</v>
      </c>
      <c r="D183" s="1" t="s">
        <v>59</v>
      </c>
      <c r="E183" s="1" t="s">
        <v>74</v>
      </c>
      <c r="F183" s="1" t="s">
        <v>48</v>
      </c>
      <c r="G183" s="2">
        <v>141.44999999999999</v>
      </c>
      <c r="H183" s="1">
        <v>7</v>
      </c>
      <c r="I183" s="1">
        <v>146</v>
      </c>
      <c r="J183" s="1">
        <v>119</v>
      </c>
      <c r="K183" s="1">
        <v>60</v>
      </c>
      <c r="L183" s="1">
        <v>109</v>
      </c>
      <c r="M183" s="1" t="s">
        <v>49</v>
      </c>
      <c r="N183" s="1" t="s">
        <v>42</v>
      </c>
      <c r="O183" s="1" t="s">
        <v>100</v>
      </c>
      <c r="P183" s="2">
        <v>99.01</v>
      </c>
      <c r="Q183" s="1" t="str">
        <f t="shared" si="6"/>
        <v>YES</v>
      </c>
      <c r="R183" s="2">
        <f t="shared" si="7"/>
        <v>127.30499999999999</v>
      </c>
      <c r="S183" s="2">
        <f>J183*G183</f>
        <v>16832.55</v>
      </c>
      <c r="T183" s="1">
        <f t="shared" ca="1" si="8"/>
        <v>137</v>
      </c>
      <c r="U183" s="1" t="s">
        <v>34</v>
      </c>
      <c r="V183" s="1" t="s">
        <v>34</v>
      </c>
      <c r="W183" s="1" t="s">
        <v>34</v>
      </c>
      <c r="X183" s="1" t="s">
        <v>2658</v>
      </c>
      <c r="Y183" s="1">
        <v>6.5</v>
      </c>
    </row>
    <row r="184" spans="1:25" x14ac:dyDescent="0.3">
      <c r="A184" s="1" t="s">
        <v>359</v>
      </c>
      <c r="B184" s="1" t="s">
        <v>299</v>
      </c>
      <c r="C184" s="1" t="s">
        <v>300</v>
      </c>
      <c r="D184" s="1" t="s">
        <v>39</v>
      </c>
      <c r="E184" s="1" t="s">
        <v>40</v>
      </c>
      <c r="F184" s="1" t="s">
        <v>48</v>
      </c>
      <c r="G184" s="2">
        <v>345.68</v>
      </c>
      <c r="H184" s="1">
        <v>1</v>
      </c>
      <c r="I184" s="1">
        <v>116</v>
      </c>
      <c r="J184" s="1">
        <v>88</v>
      </c>
      <c r="K184" s="1">
        <v>72</v>
      </c>
      <c r="L184" s="1">
        <v>58</v>
      </c>
      <c r="M184" s="1" t="s">
        <v>31</v>
      </c>
      <c r="N184" s="1" t="s">
        <v>42</v>
      </c>
      <c r="O184" s="1" t="s">
        <v>336</v>
      </c>
      <c r="P184" s="2">
        <v>241.98</v>
      </c>
      <c r="Q184" s="1" t="str">
        <f t="shared" si="6"/>
        <v>YES</v>
      </c>
      <c r="R184" s="2">
        <f t="shared" si="7"/>
        <v>311.11200000000002</v>
      </c>
      <c r="S184" s="2">
        <f>J184*G184</f>
        <v>30419.84</v>
      </c>
      <c r="T184" s="1">
        <f t="shared" ca="1" si="8"/>
        <v>131</v>
      </c>
      <c r="U184" s="1" t="s">
        <v>34</v>
      </c>
      <c r="V184" s="1" t="s">
        <v>34</v>
      </c>
      <c r="W184" s="1" t="s">
        <v>34</v>
      </c>
      <c r="X184" s="1" t="s">
        <v>2659</v>
      </c>
      <c r="Y184" s="1">
        <v>7</v>
      </c>
    </row>
    <row r="185" spans="1:25" x14ac:dyDescent="0.3">
      <c r="A185" s="1" t="s">
        <v>360</v>
      </c>
      <c r="B185" s="1" t="s">
        <v>192</v>
      </c>
      <c r="C185" s="1" t="s">
        <v>193</v>
      </c>
      <c r="D185" s="1" t="s">
        <v>85</v>
      </c>
      <c r="E185" s="1" t="s">
        <v>29</v>
      </c>
      <c r="F185" s="1" t="s">
        <v>54</v>
      </c>
      <c r="G185" s="2">
        <v>381.27</v>
      </c>
      <c r="H185" s="1">
        <v>23</v>
      </c>
      <c r="I185" s="1">
        <v>240</v>
      </c>
      <c r="J185" s="1">
        <v>214</v>
      </c>
      <c r="K185" s="1">
        <v>71</v>
      </c>
      <c r="L185" s="1">
        <v>112</v>
      </c>
      <c r="M185" s="1" t="s">
        <v>31</v>
      </c>
      <c r="N185" s="1" t="s">
        <v>60</v>
      </c>
      <c r="O185" s="1" t="s">
        <v>361</v>
      </c>
      <c r="P185" s="2">
        <v>266.89</v>
      </c>
      <c r="Q185" s="1" t="str">
        <f t="shared" si="6"/>
        <v>YES</v>
      </c>
      <c r="R185" s="2">
        <f t="shared" si="7"/>
        <v>343.14299999999997</v>
      </c>
      <c r="S185" s="2">
        <f>J185*G185</f>
        <v>81591.78</v>
      </c>
      <c r="T185" s="1">
        <f t="shared" ca="1" si="8"/>
        <v>99</v>
      </c>
      <c r="U185" s="1" t="s">
        <v>34</v>
      </c>
      <c r="V185" s="1" t="s">
        <v>34</v>
      </c>
      <c r="W185" s="1" t="s">
        <v>34</v>
      </c>
      <c r="X185" s="1" t="s">
        <v>2519</v>
      </c>
      <c r="Y185" s="1">
        <v>7.5</v>
      </c>
    </row>
    <row r="186" spans="1:25" x14ac:dyDescent="0.3">
      <c r="A186" s="1" t="s">
        <v>362</v>
      </c>
      <c r="B186" s="1" t="s">
        <v>130</v>
      </c>
      <c r="C186" s="1" t="s">
        <v>131</v>
      </c>
      <c r="D186" s="1" t="s">
        <v>132</v>
      </c>
      <c r="E186" s="1" t="s">
        <v>40</v>
      </c>
      <c r="F186" s="1" t="s">
        <v>54</v>
      </c>
      <c r="G186" s="2">
        <v>138.41999999999999</v>
      </c>
      <c r="H186" s="1">
        <v>23</v>
      </c>
      <c r="I186" s="1">
        <v>81</v>
      </c>
      <c r="J186" s="1">
        <v>57</v>
      </c>
      <c r="K186" s="1">
        <v>58</v>
      </c>
      <c r="L186" s="1">
        <v>83</v>
      </c>
      <c r="M186" s="1" t="s">
        <v>41</v>
      </c>
      <c r="N186" s="1" t="s">
        <v>42</v>
      </c>
      <c r="O186" s="1" t="s">
        <v>81</v>
      </c>
      <c r="P186" s="2">
        <v>96.89</v>
      </c>
      <c r="Q186" s="1" t="str">
        <f t="shared" si="6"/>
        <v>NO</v>
      </c>
      <c r="R186" s="2">
        <f t="shared" si="7"/>
        <v>138.41999999999999</v>
      </c>
      <c r="S186" s="2">
        <f>J186*G186</f>
        <v>7889.94</v>
      </c>
      <c r="T186" s="1">
        <f t="shared" ca="1" si="8"/>
        <v>81</v>
      </c>
      <c r="U186" s="1" t="s">
        <v>34</v>
      </c>
      <c r="V186" s="1" t="s">
        <v>34</v>
      </c>
      <c r="W186" s="1" t="s">
        <v>34</v>
      </c>
      <c r="X186" s="1" t="s">
        <v>2541</v>
      </c>
      <c r="Y186" s="1">
        <v>8</v>
      </c>
    </row>
    <row r="187" spans="1:25" x14ac:dyDescent="0.3">
      <c r="A187" s="1" t="s">
        <v>363</v>
      </c>
      <c r="B187" s="1" t="s">
        <v>77</v>
      </c>
      <c r="C187" s="1" t="s">
        <v>78</v>
      </c>
      <c r="D187" s="1" t="s">
        <v>47</v>
      </c>
      <c r="E187" s="1" t="s">
        <v>74</v>
      </c>
      <c r="F187" s="1" t="s">
        <v>54</v>
      </c>
      <c r="G187" s="2">
        <v>102.49</v>
      </c>
      <c r="H187" s="1">
        <v>9</v>
      </c>
      <c r="I187" s="1">
        <v>297</v>
      </c>
      <c r="J187" s="1">
        <v>284</v>
      </c>
      <c r="K187" s="1">
        <v>100</v>
      </c>
      <c r="L187" s="1">
        <v>149</v>
      </c>
      <c r="M187" s="1" t="s">
        <v>41</v>
      </c>
      <c r="N187" s="1" t="s">
        <v>42</v>
      </c>
      <c r="O187" s="1" t="s">
        <v>139</v>
      </c>
      <c r="P187" s="2">
        <v>71.739999999999995</v>
      </c>
      <c r="Q187" s="1" t="str">
        <f t="shared" si="6"/>
        <v>YES</v>
      </c>
      <c r="R187" s="2">
        <f t="shared" si="7"/>
        <v>92.241</v>
      </c>
      <c r="S187" s="2">
        <f>J187*G187</f>
        <v>29107.16</v>
      </c>
      <c r="T187" s="1">
        <f t="shared" ca="1" si="8"/>
        <v>75</v>
      </c>
      <c r="U187" s="1" t="s">
        <v>34</v>
      </c>
      <c r="V187" s="1" t="s">
        <v>34</v>
      </c>
      <c r="W187" s="1" t="s">
        <v>34</v>
      </c>
      <c r="X187" s="1" t="s">
        <v>2660</v>
      </c>
      <c r="Y187" s="1">
        <v>8.5</v>
      </c>
    </row>
    <row r="188" spans="1:25" x14ac:dyDescent="0.3">
      <c r="A188" s="1" t="s">
        <v>364</v>
      </c>
      <c r="B188" s="1" t="s">
        <v>83</v>
      </c>
      <c r="C188" s="1" t="s">
        <v>84</v>
      </c>
      <c r="D188" s="1" t="s">
        <v>85</v>
      </c>
      <c r="E188" s="1" t="s">
        <v>29</v>
      </c>
      <c r="F188" s="1" t="s">
        <v>30</v>
      </c>
      <c r="G188" s="2">
        <v>119.12</v>
      </c>
      <c r="H188" s="1">
        <v>8</v>
      </c>
      <c r="I188" s="1">
        <v>99</v>
      </c>
      <c r="J188" s="1">
        <v>66</v>
      </c>
      <c r="K188" s="1">
        <v>80</v>
      </c>
      <c r="L188" s="1">
        <v>54</v>
      </c>
      <c r="M188" s="1" t="s">
        <v>49</v>
      </c>
      <c r="N188" s="1" t="s">
        <v>42</v>
      </c>
      <c r="O188" s="1" t="s">
        <v>67</v>
      </c>
      <c r="P188" s="2">
        <v>83.38</v>
      </c>
      <c r="Q188" s="1" t="str">
        <f t="shared" si="6"/>
        <v>NO</v>
      </c>
      <c r="R188" s="2">
        <f t="shared" si="7"/>
        <v>119.12</v>
      </c>
      <c r="S188" s="2">
        <f>J188*G188</f>
        <v>7861.92</v>
      </c>
      <c r="T188" s="1">
        <f t="shared" ca="1" si="8"/>
        <v>97</v>
      </c>
      <c r="U188" s="1" t="s">
        <v>34</v>
      </c>
      <c r="V188" s="1" t="s">
        <v>34</v>
      </c>
      <c r="W188" s="1" t="s">
        <v>34</v>
      </c>
      <c r="X188" s="1" t="s">
        <v>2661</v>
      </c>
      <c r="Y188" s="1">
        <v>9</v>
      </c>
    </row>
    <row r="189" spans="1:25" x14ac:dyDescent="0.3">
      <c r="A189" s="1" t="s">
        <v>365</v>
      </c>
      <c r="B189" s="1" t="s">
        <v>45</v>
      </c>
      <c r="C189" s="1" t="s">
        <v>46</v>
      </c>
      <c r="D189" s="1" t="s">
        <v>47</v>
      </c>
      <c r="E189" s="1" t="s">
        <v>74</v>
      </c>
      <c r="F189" s="1" t="s">
        <v>48</v>
      </c>
      <c r="G189" s="2">
        <v>464.91</v>
      </c>
      <c r="H189" s="1">
        <v>11</v>
      </c>
      <c r="I189" s="1">
        <v>246</v>
      </c>
      <c r="J189" s="1">
        <v>217</v>
      </c>
      <c r="K189" s="1">
        <v>102</v>
      </c>
      <c r="L189" s="1">
        <v>95</v>
      </c>
      <c r="M189" s="1" t="s">
        <v>41</v>
      </c>
      <c r="N189" s="1" t="s">
        <v>60</v>
      </c>
      <c r="O189" s="1" t="s">
        <v>141</v>
      </c>
      <c r="P189" s="2">
        <v>325.44</v>
      </c>
      <c r="Q189" s="1" t="str">
        <f t="shared" si="6"/>
        <v>YES</v>
      </c>
      <c r="R189" s="2">
        <f t="shared" si="7"/>
        <v>418.41900000000004</v>
      </c>
      <c r="S189" s="2">
        <f>J189*G189</f>
        <v>100885.47</v>
      </c>
      <c r="T189" s="1">
        <f t="shared" ca="1" si="8"/>
        <v>118</v>
      </c>
      <c r="U189" s="1" t="s">
        <v>34</v>
      </c>
      <c r="V189" s="1" t="s">
        <v>34</v>
      </c>
      <c r="W189" s="1" t="s">
        <v>34</v>
      </c>
      <c r="X189" s="1" t="s">
        <v>2662</v>
      </c>
      <c r="Y189" s="1">
        <v>9.5</v>
      </c>
    </row>
    <row r="190" spans="1:25" x14ac:dyDescent="0.3">
      <c r="A190" s="1" t="s">
        <v>366</v>
      </c>
      <c r="B190" s="1" t="s">
        <v>107</v>
      </c>
      <c r="C190" s="1" t="s">
        <v>108</v>
      </c>
      <c r="D190" s="1" t="s">
        <v>39</v>
      </c>
      <c r="E190" s="1" t="s">
        <v>40</v>
      </c>
      <c r="F190" s="1" t="s">
        <v>30</v>
      </c>
      <c r="G190" s="2">
        <v>240.8</v>
      </c>
      <c r="H190" s="1">
        <v>7</v>
      </c>
      <c r="I190" s="1">
        <v>295</v>
      </c>
      <c r="J190" s="1">
        <v>260</v>
      </c>
      <c r="K190" s="1">
        <v>87</v>
      </c>
      <c r="L190" s="1">
        <v>133</v>
      </c>
      <c r="M190" s="1" t="s">
        <v>41</v>
      </c>
      <c r="N190" s="1" t="s">
        <v>60</v>
      </c>
      <c r="O190" s="1" t="s">
        <v>195</v>
      </c>
      <c r="P190" s="2">
        <v>168.56</v>
      </c>
      <c r="Q190" s="1" t="str">
        <f t="shared" si="6"/>
        <v>YES</v>
      </c>
      <c r="R190" s="2">
        <f t="shared" si="7"/>
        <v>216.72000000000003</v>
      </c>
      <c r="S190" s="2">
        <f>J190*G190</f>
        <v>62608</v>
      </c>
      <c r="T190" s="1">
        <f t="shared" ca="1" si="8"/>
        <v>63</v>
      </c>
      <c r="U190" s="1" t="s">
        <v>34</v>
      </c>
      <c r="V190" s="1" t="s">
        <v>34</v>
      </c>
      <c r="W190" s="1" t="s">
        <v>34</v>
      </c>
      <c r="X190" s="1" t="s">
        <v>2663</v>
      </c>
      <c r="Y190" s="1">
        <v>5</v>
      </c>
    </row>
    <row r="191" spans="1:25" x14ac:dyDescent="0.3">
      <c r="A191" s="1" t="s">
        <v>367</v>
      </c>
      <c r="B191" s="1" t="s">
        <v>123</v>
      </c>
      <c r="C191" s="1" t="s">
        <v>124</v>
      </c>
      <c r="D191" s="1" t="s">
        <v>47</v>
      </c>
      <c r="E191" s="1" t="s">
        <v>29</v>
      </c>
      <c r="F191" s="1" t="s">
        <v>30</v>
      </c>
      <c r="G191" s="2">
        <v>209.03</v>
      </c>
      <c r="H191" s="1">
        <v>20</v>
      </c>
      <c r="I191" s="1">
        <v>204</v>
      </c>
      <c r="J191" s="1">
        <v>182</v>
      </c>
      <c r="K191" s="1">
        <v>97</v>
      </c>
      <c r="L191" s="1">
        <v>79</v>
      </c>
      <c r="M191" s="1" t="s">
        <v>41</v>
      </c>
      <c r="N191" s="1" t="s">
        <v>42</v>
      </c>
      <c r="O191" s="1" t="s">
        <v>75</v>
      </c>
      <c r="P191" s="2">
        <v>146.32</v>
      </c>
      <c r="Q191" s="1" t="str">
        <f t="shared" si="6"/>
        <v>YES</v>
      </c>
      <c r="R191" s="2">
        <f t="shared" si="7"/>
        <v>188.12700000000001</v>
      </c>
      <c r="S191" s="2">
        <f>J191*G191</f>
        <v>38043.46</v>
      </c>
      <c r="T191" s="1">
        <f t="shared" ca="1" si="8"/>
        <v>123</v>
      </c>
      <c r="U191" s="1" t="s">
        <v>34</v>
      </c>
      <c r="V191" s="1" t="s">
        <v>34</v>
      </c>
      <c r="W191" s="1" t="s">
        <v>34</v>
      </c>
      <c r="X191" s="1" t="s">
        <v>2554</v>
      </c>
      <c r="Y191" s="1">
        <v>5.5</v>
      </c>
    </row>
    <row r="192" spans="1:25" x14ac:dyDescent="0.3">
      <c r="A192" s="1" t="s">
        <v>368</v>
      </c>
      <c r="B192" s="1" t="s">
        <v>111</v>
      </c>
      <c r="C192" s="1" t="s">
        <v>112</v>
      </c>
      <c r="D192" s="1" t="s">
        <v>97</v>
      </c>
      <c r="E192" s="1" t="s">
        <v>74</v>
      </c>
      <c r="F192" s="1" t="s">
        <v>54</v>
      </c>
      <c r="G192" s="2">
        <v>348.35</v>
      </c>
      <c r="H192" s="1">
        <v>19</v>
      </c>
      <c r="I192" s="1">
        <v>156</v>
      </c>
      <c r="J192" s="1">
        <v>125</v>
      </c>
      <c r="K192" s="1">
        <v>100</v>
      </c>
      <c r="L192" s="1">
        <v>90</v>
      </c>
      <c r="M192" s="1" t="s">
        <v>41</v>
      </c>
      <c r="N192" s="1" t="s">
        <v>42</v>
      </c>
      <c r="O192" s="1" t="s">
        <v>229</v>
      </c>
      <c r="P192" s="2">
        <v>243.84</v>
      </c>
      <c r="Q192" s="1" t="str">
        <f t="shared" si="6"/>
        <v>YES</v>
      </c>
      <c r="R192" s="2">
        <f t="shared" si="7"/>
        <v>313.51500000000004</v>
      </c>
      <c r="S192" s="2">
        <f>J192*G192</f>
        <v>43543.75</v>
      </c>
      <c r="T192" s="1">
        <f t="shared" ca="1" si="8"/>
        <v>128</v>
      </c>
      <c r="U192" s="1" t="s">
        <v>34</v>
      </c>
      <c r="V192" s="1" t="s">
        <v>34</v>
      </c>
      <c r="W192" s="1" t="s">
        <v>34</v>
      </c>
      <c r="X192" s="1" t="s">
        <v>2664</v>
      </c>
      <c r="Y192" s="1">
        <v>6</v>
      </c>
    </row>
    <row r="193" spans="1:25" x14ac:dyDescent="0.3">
      <c r="A193" s="1" t="s">
        <v>369</v>
      </c>
      <c r="B193" s="1" t="s">
        <v>118</v>
      </c>
      <c r="C193" s="1" t="s">
        <v>119</v>
      </c>
      <c r="D193" s="1" t="s">
        <v>97</v>
      </c>
      <c r="E193" s="1" t="s">
        <v>29</v>
      </c>
      <c r="F193" s="1" t="s">
        <v>30</v>
      </c>
      <c r="G193" s="2">
        <v>476.06</v>
      </c>
      <c r="H193" s="1">
        <v>1</v>
      </c>
      <c r="I193" s="1">
        <v>235</v>
      </c>
      <c r="J193" s="1">
        <v>235</v>
      </c>
      <c r="K193" s="1">
        <v>92</v>
      </c>
      <c r="L193" s="1">
        <v>102</v>
      </c>
      <c r="M193" s="1" t="s">
        <v>49</v>
      </c>
      <c r="N193" s="1" t="s">
        <v>42</v>
      </c>
      <c r="O193" s="1" t="s">
        <v>240</v>
      </c>
      <c r="P193" s="2">
        <v>333.24</v>
      </c>
      <c r="Q193" s="1" t="str">
        <f t="shared" si="6"/>
        <v>YES</v>
      </c>
      <c r="R193" s="2">
        <f t="shared" si="7"/>
        <v>428.45400000000001</v>
      </c>
      <c r="S193" s="2">
        <f>J193*G193</f>
        <v>111874.1</v>
      </c>
      <c r="T193" s="1">
        <f t="shared" ca="1" si="8"/>
        <v>111</v>
      </c>
      <c r="U193" s="1" t="s">
        <v>34</v>
      </c>
      <c r="V193" s="1" t="s">
        <v>34</v>
      </c>
      <c r="W193" s="1" t="s">
        <v>34</v>
      </c>
      <c r="X193" s="1" t="s">
        <v>2529</v>
      </c>
      <c r="Y193" s="1">
        <v>6.5</v>
      </c>
    </row>
    <row r="194" spans="1:25" x14ac:dyDescent="0.3">
      <c r="A194" s="1" t="s">
        <v>370</v>
      </c>
      <c r="B194" s="1" t="s">
        <v>107</v>
      </c>
      <c r="C194" s="1" t="s">
        <v>108</v>
      </c>
      <c r="D194" s="1" t="s">
        <v>39</v>
      </c>
      <c r="E194" s="1" t="s">
        <v>29</v>
      </c>
      <c r="F194" s="1" t="s">
        <v>30</v>
      </c>
      <c r="G194" s="2">
        <v>43.07</v>
      </c>
      <c r="H194" s="1">
        <v>8</v>
      </c>
      <c r="I194" s="1">
        <v>291</v>
      </c>
      <c r="J194" s="1">
        <v>264</v>
      </c>
      <c r="K194" s="1">
        <v>110</v>
      </c>
      <c r="L194" s="1">
        <v>52</v>
      </c>
      <c r="M194" s="1" t="s">
        <v>31</v>
      </c>
      <c r="N194" s="1" t="s">
        <v>32</v>
      </c>
      <c r="O194" s="1" t="s">
        <v>178</v>
      </c>
      <c r="P194" s="2">
        <v>30.15</v>
      </c>
      <c r="Q194" s="1" t="str">
        <f t="shared" ref="Q194:Q257" si="9">IF(J194&gt;K194,"YES","NO")</f>
        <v>YES</v>
      </c>
      <c r="R194" s="2">
        <f t="shared" ref="R194:R257" si="10">IF(Q194="YES",G194*0.9,G194)</f>
        <v>38.762999999999998</v>
      </c>
      <c r="S194" s="2">
        <f>J194*G194</f>
        <v>11370.48</v>
      </c>
      <c r="T194" s="1">
        <f t="shared" ref="T194:T257" ca="1" si="11">TODAY()-DATE(MID(O194,7,4),MID(O194,4,2),LEFT(O194,2))</f>
        <v>90</v>
      </c>
      <c r="U194" s="1" t="s">
        <v>34</v>
      </c>
      <c r="V194" s="1" t="s">
        <v>34</v>
      </c>
      <c r="W194" s="1" t="s">
        <v>34</v>
      </c>
      <c r="X194" s="1" t="s">
        <v>2665</v>
      </c>
      <c r="Y194" s="1">
        <v>7</v>
      </c>
    </row>
    <row r="195" spans="1:25" x14ac:dyDescent="0.3">
      <c r="A195" s="1" t="s">
        <v>371</v>
      </c>
      <c r="B195" s="1" t="s">
        <v>118</v>
      </c>
      <c r="C195" s="1" t="s">
        <v>119</v>
      </c>
      <c r="D195" s="1" t="s">
        <v>97</v>
      </c>
      <c r="E195" s="1" t="s">
        <v>74</v>
      </c>
      <c r="F195" s="1" t="s">
        <v>30</v>
      </c>
      <c r="G195" s="2">
        <v>364.06</v>
      </c>
      <c r="H195" s="1">
        <v>22</v>
      </c>
      <c r="I195" s="1">
        <v>110</v>
      </c>
      <c r="J195" s="1">
        <v>75</v>
      </c>
      <c r="K195" s="1">
        <v>67</v>
      </c>
      <c r="L195" s="1">
        <v>131</v>
      </c>
      <c r="M195" s="1" t="s">
        <v>41</v>
      </c>
      <c r="N195" s="1" t="s">
        <v>32</v>
      </c>
      <c r="O195" s="1" t="s">
        <v>361</v>
      </c>
      <c r="P195" s="2">
        <v>254.84</v>
      </c>
      <c r="Q195" s="1" t="str">
        <f t="shared" si="9"/>
        <v>YES</v>
      </c>
      <c r="R195" s="2">
        <f t="shared" si="10"/>
        <v>327.654</v>
      </c>
      <c r="S195" s="2">
        <f>J195*G195</f>
        <v>27304.5</v>
      </c>
      <c r="T195" s="1">
        <f t="shared" ca="1" si="11"/>
        <v>99</v>
      </c>
      <c r="U195" s="1" t="s">
        <v>34</v>
      </c>
      <c r="V195" s="1" t="s">
        <v>34</v>
      </c>
      <c r="W195" s="1" t="s">
        <v>34</v>
      </c>
      <c r="X195" s="1" t="s">
        <v>2548</v>
      </c>
      <c r="Y195" s="1">
        <v>7.5</v>
      </c>
    </row>
    <row r="196" spans="1:25" x14ac:dyDescent="0.3">
      <c r="A196" s="1" t="s">
        <v>372</v>
      </c>
      <c r="B196" s="1" t="s">
        <v>262</v>
      </c>
      <c r="C196" s="1" t="s">
        <v>263</v>
      </c>
      <c r="D196" s="1" t="s">
        <v>104</v>
      </c>
      <c r="E196" s="1" t="s">
        <v>29</v>
      </c>
      <c r="F196" s="1" t="s">
        <v>54</v>
      </c>
      <c r="G196" s="2">
        <v>47.3</v>
      </c>
      <c r="H196" s="1">
        <v>13</v>
      </c>
      <c r="I196" s="1">
        <v>273</v>
      </c>
      <c r="J196" s="1">
        <v>254</v>
      </c>
      <c r="K196" s="1">
        <v>46</v>
      </c>
      <c r="L196" s="1">
        <v>59</v>
      </c>
      <c r="M196" s="1" t="s">
        <v>31</v>
      </c>
      <c r="N196" s="1" t="s">
        <v>32</v>
      </c>
      <c r="O196" s="1" t="s">
        <v>128</v>
      </c>
      <c r="P196" s="2">
        <v>33.11</v>
      </c>
      <c r="Q196" s="1" t="str">
        <f t="shared" si="9"/>
        <v>YES</v>
      </c>
      <c r="R196" s="2">
        <f t="shared" si="10"/>
        <v>42.57</v>
      </c>
      <c r="S196" s="2">
        <f>J196*G196</f>
        <v>12014.199999999999</v>
      </c>
      <c r="T196" s="1">
        <f t="shared" ca="1" si="11"/>
        <v>77</v>
      </c>
      <c r="U196" s="1" t="s">
        <v>34</v>
      </c>
      <c r="V196" s="1" t="s">
        <v>34</v>
      </c>
      <c r="W196" s="1" t="s">
        <v>34</v>
      </c>
      <c r="X196" s="1" t="s">
        <v>2623</v>
      </c>
      <c r="Y196" s="1">
        <v>8</v>
      </c>
    </row>
    <row r="197" spans="1:25" x14ac:dyDescent="0.3">
      <c r="A197" s="1" t="s">
        <v>373</v>
      </c>
      <c r="B197" s="1" t="s">
        <v>83</v>
      </c>
      <c r="C197" s="1" t="s">
        <v>84</v>
      </c>
      <c r="D197" s="1" t="s">
        <v>85</v>
      </c>
      <c r="E197" s="1" t="s">
        <v>29</v>
      </c>
      <c r="F197" s="1" t="s">
        <v>48</v>
      </c>
      <c r="G197" s="2">
        <v>305.14</v>
      </c>
      <c r="H197" s="1">
        <v>17</v>
      </c>
      <c r="I197" s="1">
        <v>80</v>
      </c>
      <c r="J197" s="1">
        <v>70</v>
      </c>
      <c r="K197" s="1">
        <v>89</v>
      </c>
      <c r="L197" s="1">
        <v>111</v>
      </c>
      <c r="M197" s="1" t="s">
        <v>41</v>
      </c>
      <c r="N197" s="1" t="s">
        <v>42</v>
      </c>
      <c r="O197" s="1" t="s">
        <v>240</v>
      </c>
      <c r="P197" s="2">
        <v>213.6</v>
      </c>
      <c r="Q197" s="1" t="str">
        <f t="shared" si="9"/>
        <v>NO</v>
      </c>
      <c r="R197" s="2">
        <f t="shared" si="10"/>
        <v>305.14</v>
      </c>
      <c r="S197" s="2">
        <f>J197*G197</f>
        <v>21359.8</v>
      </c>
      <c r="T197" s="1">
        <f t="shared" ca="1" si="11"/>
        <v>111</v>
      </c>
      <c r="U197" s="1" t="s">
        <v>34</v>
      </c>
      <c r="V197" s="1" t="s">
        <v>34</v>
      </c>
      <c r="W197" s="1" t="s">
        <v>34</v>
      </c>
      <c r="X197" s="1" t="s">
        <v>2598</v>
      </c>
      <c r="Y197" s="1">
        <v>8.5</v>
      </c>
    </row>
    <row r="198" spans="1:25" x14ac:dyDescent="0.3">
      <c r="A198" s="1" t="s">
        <v>374</v>
      </c>
      <c r="B198" s="1" t="s">
        <v>95</v>
      </c>
      <c r="C198" s="1" t="s">
        <v>96</v>
      </c>
      <c r="D198" s="1" t="s">
        <v>97</v>
      </c>
      <c r="E198" s="1" t="s">
        <v>29</v>
      </c>
      <c r="F198" s="1" t="s">
        <v>30</v>
      </c>
      <c r="G198" s="2">
        <v>70.5</v>
      </c>
      <c r="H198" s="1">
        <v>16</v>
      </c>
      <c r="I198" s="1">
        <v>103</v>
      </c>
      <c r="J198" s="1">
        <v>76</v>
      </c>
      <c r="K198" s="1">
        <v>49</v>
      </c>
      <c r="L198" s="1">
        <v>145</v>
      </c>
      <c r="M198" s="1" t="s">
        <v>41</v>
      </c>
      <c r="N198" s="1" t="s">
        <v>42</v>
      </c>
      <c r="O198" s="1" t="s">
        <v>247</v>
      </c>
      <c r="P198" s="2">
        <v>49.35</v>
      </c>
      <c r="Q198" s="1" t="str">
        <f t="shared" si="9"/>
        <v>YES</v>
      </c>
      <c r="R198" s="2">
        <f t="shared" si="10"/>
        <v>63.45</v>
      </c>
      <c r="S198" s="2">
        <f>J198*G198</f>
        <v>5358</v>
      </c>
      <c r="T198" s="1">
        <f t="shared" ca="1" si="11"/>
        <v>125</v>
      </c>
      <c r="U198" s="1" t="s">
        <v>34</v>
      </c>
      <c r="V198" s="1" t="s">
        <v>34</v>
      </c>
      <c r="W198" s="1" t="s">
        <v>34</v>
      </c>
      <c r="X198" s="1" t="s">
        <v>2666</v>
      </c>
      <c r="Y198" s="1">
        <v>9</v>
      </c>
    </row>
    <row r="199" spans="1:25" x14ac:dyDescent="0.3">
      <c r="A199" s="1" t="s">
        <v>375</v>
      </c>
      <c r="B199" s="1" t="s">
        <v>237</v>
      </c>
      <c r="C199" s="1" t="s">
        <v>238</v>
      </c>
      <c r="D199" s="1" t="s">
        <v>85</v>
      </c>
      <c r="E199" s="1" t="s">
        <v>40</v>
      </c>
      <c r="F199" s="1" t="s">
        <v>30</v>
      </c>
      <c r="G199" s="2">
        <v>326.70999999999998</v>
      </c>
      <c r="H199" s="1">
        <v>9</v>
      </c>
      <c r="I199" s="1">
        <v>124</v>
      </c>
      <c r="J199" s="1">
        <v>116</v>
      </c>
      <c r="K199" s="1">
        <v>69</v>
      </c>
      <c r="L199" s="1">
        <v>73</v>
      </c>
      <c r="M199" s="1" t="s">
        <v>49</v>
      </c>
      <c r="N199" s="1" t="s">
        <v>60</v>
      </c>
      <c r="O199" s="1" t="s">
        <v>33</v>
      </c>
      <c r="P199" s="2">
        <v>228.7</v>
      </c>
      <c r="Q199" s="1" t="str">
        <f t="shared" si="9"/>
        <v>YES</v>
      </c>
      <c r="R199" s="2">
        <f t="shared" si="10"/>
        <v>294.03899999999999</v>
      </c>
      <c r="S199" s="2">
        <f>J199*G199</f>
        <v>37898.36</v>
      </c>
      <c r="T199" s="1">
        <f t="shared" ca="1" si="11"/>
        <v>141</v>
      </c>
      <c r="U199" s="1" t="s">
        <v>34</v>
      </c>
      <c r="V199" s="1" t="s">
        <v>34</v>
      </c>
      <c r="W199" s="1" t="s">
        <v>34</v>
      </c>
      <c r="X199" s="1" t="s">
        <v>2667</v>
      </c>
      <c r="Y199" s="1">
        <v>9.5</v>
      </c>
    </row>
    <row r="200" spans="1:25" x14ac:dyDescent="0.3">
      <c r="A200" s="1" t="s">
        <v>376</v>
      </c>
      <c r="B200" s="1" t="s">
        <v>118</v>
      </c>
      <c r="C200" s="1" t="s">
        <v>119</v>
      </c>
      <c r="D200" s="1" t="s">
        <v>97</v>
      </c>
      <c r="E200" s="1" t="s">
        <v>40</v>
      </c>
      <c r="F200" s="1" t="s">
        <v>54</v>
      </c>
      <c r="G200" s="2">
        <v>42.61</v>
      </c>
      <c r="H200" s="1">
        <v>25</v>
      </c>
      <c r="I200" s="1">
        <v>92</v>
      </c>
      <c r="J200" s="1">
        <v>54</v>
      </c>
      <c r="K200" s="1">
        <v>107</v>
      </c>
      <c r="L200" s="1">
        <v>59</v>
      </c>
      <c r="M200" s="1" t="s">
        <v>41</v>
      </c>
      <c r="N200" s="1" t="s">
        <v>60</v>
      </c>
      <c r="O200" s="1" t="s">
        <v>377</v>
      </c>
      <c r="P200" s="2">
        <v>29.83</v>
      </c>
      <c r="Q200" s="1" t="str">
        <f t="shared" si="9"/>
        <v>NO</v>
      </c>
      <c r="R200" s="2">
        <f t="shared" si="10"/>
        <v>42.61</v>
      </c>
      <c r="S200" s="2">
        <f>J200*G200</f>
        <v>2300.94</v>
      </c>
      <c r="T200" s="1">
        <f t="shared" ca="1" si="11"/>
        <v>65</v>
      </c>
      <c r="U200" s="1" t="s">
        <v>34</v>
      </c>
      <c r="V200" s="1" t="s">
        <v>34</v>
      </c>
      <c r="W200" s="1" t="s">
        <v>34</v>
      </c>
      <c r="X200" s="1" t="s">
        <v>2608</v>
      </c>
      <c r="Y200" s="1">
        <v>5</v>
      </c>
    </row>
    <row r="201" spans="1:25" x14ac:dyDescent="0.3">
      <c r="A201" s="1" t="s">
        <v>378</v>
      </c>
      <c r="B201" s="1" t="s">
        <v>72</v>
      </c>
      <c r="C201" s="1" t="s">
        <v>73</v>
      </c>
      <c r="D201" s="1" t="s">
        <v>47</v>
      </c>
      <c r="E201" s="1" t="s">
        <v>29</v>
      </c>
      <c r="F201" s="1" t="s">
        <v>48</v>
      </c>
      <c r="G201" s="2">
        <v>292.01</v>
      </c>
      <c r="H201" s="1">
        <v>24</v>
      </c>
      <c r="I201" s="1">
        <v>258</v>
      </c>
      <c r="J201" s="1">
        <v>242</v>
      </c>
      <c r="K201" s="1">
        <v>104</v>
      </c>
      <c r="L201" s="1">
        <v>93</v>
      </c>
      <c r="M201" s="1" t="s">
        <v>49</v>
      </c>
      <c r="N201" s="1" t="s">
        <v>32</v>
      </c>
      <c r="O201" s="1" t="s">
        <v>205</v>
      </c>
      <c r="P201" s="2">
        <v>204.41</v>
      </c>
      <c r="Q201" s="1" t="str">
        <f t="shared" si="9"/>
        <v>YES</v>
      </c>
      <c r="R201" s="2">
        <f t="shared" si="10"/>
        <v>262.80900000000003</v>
      </c>
      <c r="S201" s="2">
        <f>J201*G201</f>
        <v>70666.42</v>
      </c>
      <c r="T201" s="1">
        <f t="shared" ca="1" si="11"/>
        <v>74</v>
      </c>
      <c r="U201" s="1" t="s">
        <v>34</v>
      </c>
      <c r="V201" s="1" t="s">
        <v>34</v>
      </c>
      <c r="W201" s="1" t="s">
        <v>34</v>
      </c>
      <c r="X201" s="1" t="s">
        <v>2665</v>
      </c>
      <c r="Y201" s="1">
        <v>5.5</v>
      </c>
    </row>
    <row r="202" spans="1:25" x14ac:dyDescent="0.3">
      <c r="A202" s="1" t="s">
        <v>379</v>
      </c>
      <c r="B202" s="1" t="s">
        <v>95</v>
      </c>
      <c r="C202" s="1" t="s">
        <v>96</v>
      </c>
      <c r="D202" s="1" t="s">
        <v>97</v>
      </c>
      <c r="E202" s="1" t="s">
        <v>40</v>
      </c>
      <c r="F202" s="1" t="s">
        <v>54</v>
      </c>
      <c r="G202" s="2">
        <v>281.06</v>
      </c>
      <c r="H202" s="1">
        <v>8</v>
      </c>
      <c r="I202" s="1">
        <v>214</v>
      </c>
      <c r="J202" s="1">
        <v>185</v>
      </c>
      <c r="K202" s="1">
        <v>78</v>
      </c>
      <c r="L202" s="1">
        <v>99</v>
      </c>
      <c r="M202" s="1" t="s">
        <v>31</v>
      </c>
      <c r="N202" s="1" t="s">
        <v>32</v>
      </c>
      <c r="O202" s="1" t="s">
        <v>178</v>
      </c>
      <c r="P202" s="2">
        <v>196.74</v>
      </c>
      <c r="Q202" s="1" t="str">
        <f t="shared" si="9"/>
        <v>YES</v>
      </c>
      <c r="R202" s="2">
        <f t="shared" si="10"/>
        <v>252.95400000000001</v>
      </c>
      <c r="S202" s="2">
        <f>J202*G202</f>
        <v>51996.1</v>
      </c>
      <c r="T202" s="1">
        <f t="shared" ca="1" si="11"/>
        <v>90</v>
      </c>
      <c r="U202" s="1" t="s">
        <v>34</v>
      </c>
      <c r="V202" s="1" t="s">
        <v>34</v>
      </c>
      <c r="W202" s="1" t="s">
        <v>34</v>
      </c>
      <c r="X202" s="1" t="s">
        <v>2569</v>
      </c>
      <c r="Y202" s="1">
        <v>6</v>
      </c>
    </row>
    <row r="203" spans="1:25" x14ac:dyDescent="0.3">
      <c r="A203" s="1" t="s">
        <v>380</v>
      </c>
      <c r="B203" s="1" t="s">
        <v>26</v>
      </c>
      <c r="C203" s="1" t="s">
        <v>27</v>
      </c>
      <c r="D203" s="1" t="s">
        <v>28</v>
      </c>
      <c r="E203" s="1" t="s">
        <v>29</v>
      </c>
      <c r="F203" s="1" t="s">
        <v>54</v>
      </c>
      <c r="G203" s="2">
        <v>459.97</v>
      </c>
      <c r="H203" s="1">
        <v>8</v>
      </c>
      <c r="I203" s="1">
        <v>296</v>
      </c>
      <c r="J203" s="1">
        <v>285</v>
      </c>
      <c r="K203" s="1">
        <v>95</v>
      </c>
      <c r="L203" s="1">
        <v>72</v>
      </c>
      <c r="M203" s="1" t="s">
        <v>41</v>
      </c>
      <c r="N203" s="1" t="s">
        <v>42</v>
      </c>
      <c r="O203" s="1" t="s">
        <v>287</v>
      </c>
      <c r="P203" s="2">
        <v>321.98</v>
      </c>
      <c r="Q203" s="1" t="str">
        <f t="shared" si="9"/>
        <v>YES</v>
      </c>
      <c r="R203" s="2">
        <f t="shared" si="10"/>
        <v>413.97300000000001</v>
      </c>
      <c r="S203" s="2">
        <f>J203*G203</f>
        <v>131091.45000000001</v>
      </c>
      <c r="T203" s="1">
        <f t="shared" ca="1" si="11"/>
        <v>143</v>
      </c>
      <c r="U203" s="1" t="s">
        <v>34</v>
      </c>
      <c r="V203" s="1" t="s">
        <v>34</v>
      </c>
      <c r="W203" s="1" t="s">
        <v>34</v>
      </c>
      <c r="X203" s="1" t="s">
        <v>2668</v>
      </c>
      <c r="Y203" s="1">
        <v>6.5</v>
      </c>
    </row>
    <row r="204" spans="1:25" x14ac:dyDescent="0.3">
      <c r="A204" s="1" t="s">
        <v>381</v>
      </c>
      <c r="B204" s="1" t="s">
        <v>166</v>
      </c>
      <c r="C204" s="1" t="s">
        <v>167</v>
      </c>
      <c r="D204" s="1" t="s">
        <v>59</v>
      </c>
      <c r="E204" s="1" t="s">
        <v>40</v>
      </c>
      <c r="F204" s="1" t="s">
        <v>30</v>
      </c>
      <c r="G204" s="2">
        <v>481.02</v>
      </c>
      <c r="H204" s="1">
        <v>13</v>
      </c>
      <c r="I204" s="1">
        <v>289</v>
      </c>
      <c r="J204" s="1">
        <v>289</v>
      </c>
      <c r="K204" s="1">
        <v>118</v>
      </c>
      <c r="L204" s="1">
        <v>74</v>
      </c>
      <c r="M204" s="1" t="s">
        <v>41</v>
      </c>
      <c r="N204" s="1" t="s">
        <v>60</v>
      </c>
      <c r="O204" s="1" t="s">
        <v>145</v>
      </c>
      <c r="P204" s="2">
        <v>336.71</v>
      </c>
      <c r="Q204" s="1" t="str">
        <f t="shared" si="9"/>
        <v>YES</v>
      </c>
      <c r="R204" s="2">
        <f t="shared" si="10"/>
        <v>432.91800000000001</v>
      </c>
      <c r="S204" s="2">
        <f>J204*G204</f>
        <v>139014.78</v>
      </c>
      <c r="T204" s="1">
        <f t="shared" ca="1" si="11"/>
        <v>68</v>
      </c>
      <c r="U204" s="1" t="s">
        <v>34</v>
      </c>
      <c r="V204" s="1" t="s">
        <v>34</v>
      </c>
      <c r="W204" s="1" t="s">
        <v>34</v>
      </c>
      <c r="X204" s="1" t="s">
        <v>2669</v>
      </c>
      <c r="Y204" s="1">
        <v>7</v>
      </c>
    </row>
    <row r="205" spans="1:25" x14ac:dyDescent="0.3">
      <c r="A205" s="1" t="s">
        <v>382</v>
      </c>
      <c r="B205" s="1" t="s">
        <v>123</v>
      </c>
      <c r="C205" s="1" t="s">
        <v>124</v>
      </c>
      <c r="D205" s="1" t="s">
        <v>47</v>
      </c>
      <c r="E205" s="1" t="s">
        <v>74</v>
      </c>
      <c r="F205" s="1" t="s">
        <v>48</v>
      </c>
      <c r="G205" s="2">
        <v>486.44</v>
      </c>
      <c r="H205" s="1">
        <v>13</v>
      </c>
      <c r="I205" s="1">
        <v>238</v>
      </c>
      <c r="J205" s="1">
        <v>238</v>
      </c>
      <c r="K205" s="1">
        <v>118</v>
      </c>
      <c r="L205" s="1">
        <v>84</v>
      </c>
      <c r="M205" s="1" t="s">
        <v>41</v>
      </c>
      <c r="N205" s="1" t="s">
        <v>32</v>
      </c>
      <c r="O205" s="1" t="s">
        <v>220</v>
      </c>
      <c r="P205" s="2">
        <v>340.51</v>
      </c>
      <c r="Q205" s="1" t="str">
        <f t="shared" si="9"/>
        <v>YES</v>
      </c>
      <c r="R205" s="2">
        <f t="shared" si="10"/>
        <v>437.79599999999999</v>
      </c>
      <c r="S205" s="2">
        <f>J205*G205</f>
        <v>115772.72</v>
      </c>
      <c r="T205" s="1">
        <f t="shared" ca="1" si="11"/>
        <v>106</v>
      </c>
      <c r="U205" s="1" t="s">
        <v>34</v>
      </c>
      <c r="V205" s="1" t="s">
        <v>34</v>
      </c>
      <c r="W205" s="1" t="s">
        <v>34</v>
      </c>
      <c r="X205" s="1" t="s">
        <v>2670</v>
      </c>
      <c r="Y205" s="1">
        <v>7.5</v>
      </c>
    </row>
    <row r="206" spans="1:25" x14ac:dyDescent="0.3">
      <c r="A206" s="1" t="s">
        <v>383</v>
      </c>
      <c r="B206" s="1" t="s">
        <v>77</v>
      </c>
      <c r="C206" s="1" t="s">
        <v>78</v>
      </c>
      <c r="D206" s="1" t="s">
        <v>47</v>
      </c>
      <c r="E206" s="1" t="s">
        <v>74</v>
      </c>
      <c r="F206" s="1" t="s">
        <v>48</v>
      </c>
      <c r="G206" s="2">
        <v>280.89999999999998</v>
      </c>
      <c r="H206" s="1">
        <v>1</v>
      </c>
      <c r="I206" s="1">
        <v>277</v>
      </c>
      <c r="J206" s="1">
        <v>269</v>
      </c>
      <c r="K206" s="1">
        <v>116</v>
      </c>
      <c r="L206" s="1">
        <v>111</v>
      </c>
      <c r="M206" s="1" t="s">
        <v>49</v>
      </c>
      <c r="N206" s="1" t="s">
        <v>60</v>
      </c>
      <c r="O206" s="1" t="s">
        <v>384</v>
      </c>
      <c r="P206" s="2">
        <v>196.63</v>
      </c>
      <c r="Q206" s="1" t="str">
        <f t="shared" si="9"/>
        <v>YES</v>
      </c>
      <c r="R206" s="2">
        <f t="shared" si="10"/>
        <v>252.80999999999997</v>
      </c>
      <c r="S206" s="2">
        <f>J206*G206</f>
        <v>75562.099999999991</v>
      </c>
      <c r="T206" s="1">
        <f t="shared" ca="1" si="11"/>
        <v>147</v>
      </c>
      <c r="U206" s="1" t="s">
        <v>34</v>
      </c>
      <c r="V206" s="1" t="s">
        <v>34</v>
      </c>
      <c r="W206" s="1" t="s">
        <v>34</v>
      </c>
      <c r="X206" s="1" t="s">
        <v>2671</v>
      </c>
      <c r="Y206" s="1">
        <v>8</v>
      </c>
    </row>
    <row r="207" spans="1:25" x14ac:dyDescent="0.3">
      <c r="A207" s="1" t="s">
        <v>385</v>
      </c>
      <c r="B207" s="1" t="s">
        <v>189</v>
      </c>
      <c r="C207" s="1" t="s">
        <v>190</v>
      </c>
      <c r="D207" s="1" t="s">
        <v>59</v>
      </c>
      <c r="E207" s="1" t="s">
        <v>74</v>
      </c>
      <c r="F207" s="1" t="s">
        <v>54</v>
      </c>
      <c r="G207" s="2">
        <v>192.95</v>
      </c>
      <c r="H207" s="1">
        <v>25</v>
      </c>
      <c r="I207" s="1">
        <v>139</v>
      </c>
      <c r="J207" s="1">
        <v>133</v>
      </c>
      <c r="K207" s="1">
        <v>104</v>
      </c>
      <c r="L207" s="1">
        <v>121</v>
      </c>
      <c r="M207" s="1" t="s">
        <v>31</v>
      </c>
      <c r="N207" s="1" t="s">
        <v>42</v>
      </c>
      <c r="O207" s="1" t="s">
        <v>153</v>
      </c>
      <c r="P207" s="2">
        <v>135.06</v>
      </c>
      <c r="Q207" s="1" t="str">
        <f t="shared" si="9"/>
        <v>YES</v>
      </c>
      <c r="R207" s="2">
        <f t="shared" si="10"/>
        <v>173.655</v>
      </c>
      <c r="S207" s="2">
        <f>J207*G207</f>
        <v>25662.35</v>
      </c>
      <c r="T207" s="1">
        <f t="shared" ca="1" si="11"/>
        <v>135</v>
      </c>
      <c r="U207" s="1" t="s">
        <v>34</v>
      </c>
      <c r="V207" s="1" t="s">
        <v>34</v>
      </c>
      <c r="W207" s="1" t="s">
        <v>34</v>
      </c>
      <c r="X207" s="1" t="s">
        <v>2672</v>
      </c>
      <c r="Y207" s="1">
        <v>8.5</v>
      </c>
    </row>
    <row r="208" spans="1:25" x14ac:dyDescent="0.3">
      <c r="A208" s="1" t="s">
        <v>386</v>
      </c>
      <c r="B208" s="1" t="s">
        <v>123</v>
      </c>
      <c r="C208" s="1" t="s">
        <v>124</v>
      </c>
      <c r="D208" s="1" t="s">
        <v>47</v>
      </c>
      <c r="E208" s="1" t="s">
        <v>74</v>
      </c>
      <c r="F208" s="1" t="s">
        <v>54</v>
      </c>
      <c r="G208" s="2">
        <v>42.59</v>
      </c>
      <c r="H208" s="1">
        <v>12</v>
      </c>
      <c r="I208" s="1">
        <v>264</v>
      </c>
      <c r="J208" s="1">
        <v>232</v>
      </c>
      <c r="K208" s="1">
        <v>43</v>
      </c>
      <c r="L208" s="1">
        <v>82</v>
      </c>
      <c r="M208" s="1" t="s">
        <v>31</v>
      </c>
      <c r="N208" s="1" t="s">
        <v>60</v>
      </c>
      <c r="O208" s="1" t="s">
        <v>292</v>
      </c>
      <c r="P208" s="2">
        <v>29.81</v>
      </c>
      <c r="Q208" s="1" t="str">
        <f t="shared" si="9"/>
        <v>YES</v>
      </c>
      <c r="R208" s="2">
        <f t="shared" si="10"/>
        <v>38.331000000000003</v>
      </c>
      <c r="S208" s="2">
        <f>J208*G208</f>
        <v>9880.880000000001</v>
      </c>
      <c r="T208" s="1">
        <f t="shared" ca="1" si="11"/>
        <v>83</v>
      </c>
      <c r="U208" s="1" t="s">
        <v>34</v>
      </c>
      <c r="V208" s="1" t="s">
        <v>34</v>
      </c>
      <c r="W208" s="1" t="s">
        <v>34</v>
      </c>
      <c r="X208" s="1" t="s">
        <v>2632</v>
      </c>
      <c r="Y208" s="1">
        <v>9</v>
      </c>
    </row>
    <row r="209" spans="1:25" x14ac:dyDescent="0.3">
      <c r="A209" s="1" t="s">
        <v>387</v>
      </c>
      <c r="B209" s="1" t="s">
        <v>197</v>
      </c>
      <c r="C209" s="1" t="s">
        <v>198</v>
      </c>
      <c r="D209" s="1" t="s">
        <v>104</v>
      </c>
      <c r="E209" s="1" t="s">
        <v>29</v>
      </c>
      <c r="F209" s="1" t="s">
        <v>54</v>
      </c>
      <c r="G209" s="2">
        <v>395.45</v>
      </c>
      <c r="H209" s="1">
        <v>7</v>
      </c>
      <c r="I209" s="1">
        <v>127</v>
      </c>
      <c r="J209" s="1">
        <v>89</v>
      </c>
      <c r="K209" s="1">
        <v>52</v>
      </c>
      <c r="L209" s="1">
        <v>114</v>
      </c>
      <c r="M209" s="1" t="s">
        <v>49</v>
      </c>
      <c r="N209" s="1" t="s">
        <v>42</v>
      </c>
      <c r="O209" s="1" t="s">
        <v>195</v>
      </c>
      <c r="P209" s="2">
        <v>276.81</v>
      </c>
      <c r="Q209" s="1" t="str">
        <f t="shared" si="9"/>
        <v>YES</v>
      </c>
      <c r="R209" s="2">
        <f t="shared" si="10"/>
        <v>355.90499999999997</v>
      </c>
      <c r="S209" s="2">
        <f>J209*G209</f>
        <v>35195.049999999996</v>
      </c>
      <c r="T209" s="1">
        <f t="shared" ca="1" si="11"/>
        <v>63</v>
      </c>
      <c r="U209" s="1" t="s">
        <v>34</v>
      </c>
      <c r="V209" s="1" t="s">
        <v>34</v>
      </c>
      <c r="W209" s="1" t="s">
        <v>34</v>
      </c>
      <c r="X209" s="1" t="s">
        <v>2673</v>
      </c>
      <c r="Y209" s="1">
        <v>9.5</v>
      </c>
    </row>
    <row r="210" spans="1:25" x14ac:dyDescent="0.3">
      <c r="A210" s="1" t="s">
        <v>388</v>
      </c>
      <c r="B210" s="1" t="s">
        <v>95</v>
      </c>
      <c r="C210" s="1" t="s">
        <v>96</v>
      </c>
      <c r="D210" s="1" t="s">
        <v>97</v>
      </c>
      <c r="E210" s="1" t="s">
        <v>74</v>
      </c>
      <c r="F210" s="1" t="s">
        <v>54</v>
      </c>
      <c r="G210" s="2">
        <v>342.41</v>
      </c>
      <c r="H210" s="1">
        <v>18</v>
      </c>
      <c r="I210" s="1">
        <v>266</v>
      </c>
      <c r="J210" s="1">
        <v>257</v>
      </c>
      <c r="K210" s="1">
        <v>57</v>
      </c>
      <c r="L210" s="1">
        <v>70</v>
      </c>
      <c r="M210" s="1" t="s">
        <v>31</v>
      </c>
      <c r="N210" s="1" t="s">
        <v>32</v>
      </c>
      <c r="O210" s="1" t="s">
        <v>203</v>
      </c>
      <c r="P210" s="2">
        <v>239.69</v>
      </c>
      <c r="Q210" s="1" t="str">
        <f t="shared" si="9"/>
        <v>YES</v>
      </c>
      <c r="R210" s="2">
        <f t="shared" si="10"/>
        <v>308.16900000000004</v>
      </c>
      <c r="S210" s="2">
        <f>J210*G210</f>
        <v>87999.37000000001</v>
      </c>
      <c r="T210" s="1">
        <f t="shared" ca="1" si="11"/>
        <v>102</v>
      </c>
      <c r="U210" s="1" t="s">
        <v>34</v>
      </c>
      <c r="V210" s="1" t="s">
        <v>34</v>
      </c>
      <c r="W210" s="1" t="s">
        <v>34</v>
      </c>
      <c r="X210" s="1" t="s">
        <v>2566</v>
      </c>
      <c r="Y210" s="1">
        <v>5</v>
      </c>
    </row>
    <row r="211" spans="1:25" x14ac:dyDescent="0.3">
      <c r="A211" s="1" t="s">
        <v>389</v>
      </c>
      <c r="B211" s="1" t="s">
        <v>102</v>
      </c>
      <c r="C211" s="1" t="s">
        <v>103</v>
      </c>
      <c r="D211" s="1" t="s">
        <v>104</v>
      </c>
      <c r="E211" s="1" t="s">
        <v>74</v>
      </c>
      <c r="F211" s="1" t="s">
        <v>48</v>
      </c>
      <c r="G211" s="2">
        <v>149.93</v>
      </c>
      <c r="H211" s="1">
        <v>9</v>
      </c>
      <c r="I211" s="1">
        <v>210</v>
      </c>
      <c r="J211" s="1">
        <v>198</v>
      </c>
      <c r="K211" s="1">
        <v>60</v>
      </c>
      <c r="L211" s="1">
        <v>130</v>
      </c>
      <c r="M211" s="1" t="s">
        <v>31</v>
      </c>
      <c r="N211" s="1" t="s">
        <v>60</v>
      </c>
      <c r="O211" s="1" t="s">
        <v>390</v>
      </c>
      <c r="P211" s="2">
        <v>104.95</v>
      </c>
      <c r="Q211" s="1" t="str">
        <f t="shared" si="9"/>
        <v>YES</v>
      </c>
      <c r="R211" s="2">
        <f t="shared" si="10"/>
        <v>134.93700000000001</v>
      </c>
      <c r="S211" s="2">
        <f>J211*G211</f>
        <v>29686.140000000003</v>
      </c>
      <c r="T211" s="1">
        <f t="shared" ca="1" si="11"/>
        <v>120</v>
      </c>
      <c r="U211" s="1" t="s">
        <v>34</v>
      </c>
      <c r="V211" s="1" t="s">
        <v>34</v>
      </c>
      <c r="W211" s="1" t="s">
        <v>34</v>
      </c>
      <c r="X211" s="1" t="s">
        <v>2516</v>
      </c>
      <c r="Y211" s="1">
        <v>5.5</v>
      </c>
    </row>
    <row r="212" spans="1:25" x14ac:dyDescent="0.3">
      <c r="A212" s="1" t="s">
        <v>391</v>
      </c>
      <c r="B212" s="1" t="s">
        <v>123</v>
      </c>
      <c r="C212" s="1" t="s">
        <v>124</v>
      </c>
      <c r="D212" s="1" t="s">
        <v>47</v>
      </c>
      <c r="E212" s="1" t="s">
        <v>40</v>
      </c>
      <c r="F212" s="1" t="s">
        <v>54</v>
      </c>
      <c r="G212" s="2">
        <v>235.92</v>
      </c>
      <c r="H212" s="1">
        <v>8</v>
      </c>
      <c r="I212" s="1">
        <v>114</v>
      </c>
      <c r="J212" s="1">
        <v>105</v>
      </c>
      <c r="K212" s="1">
        <v>55</v>
      </c>
      <c r="L212" s="1">
        <v>85</v>
      </c>
      <c r="M212" s="1" t="s">
        <v>49</v>
      </c>
      <c r="N212" s="1" t="s">
        <v>42</v>
      </c>
      <c r="O212" s="1" t="s">
        <v>145</v>
      </c>
      <c r="P212" s="2">
        <v>165.14</v>
      </c>
      <c r="Q212" s="1" t="str">
        <f t="shared" si="9"/>
        <v>YES</v>
      </c>
      <c r="R212" s="2">
        <f t="shared" si="10"/>
        <v>212.328</v>
      </c>
      <c r="S212" s="2">
        <f>J212*G212</f>
        <v>24771.599999999999</v>
      </c>
      <c r="T212" s="1">
        <f t="shared" ca="1" si="11"/>
        <v>68</v>
      </c>
      <c r="U212" s="1" t="s">
        <v>34</v>
      </c>
      <c r="V212" s="1" t="s">
        <v>34</v>
      </c>
      <c r="W212" s="1" t="s">
        <v>34</v>
      </c>
      <c r="X212" s="1" t="s">
        <v>2619</v>
      </c>
      <c r="Y212" s="1">
        <v>6</v>
      </c>
    </row>
    <row r="213" spans="1:25" x14ac:dyDescent="0.3">
      <c r="A213" s="1" t="s">
        <v>392</v>
      </c>
      <c r="B213" s="1" t="s">
        <v>69</v>
      </c>
      <c r="C213" s="1" t="s">
        <v>70</v>
      </c>
      <c r="D213" s="1" t="s">
        <v>59</v>
      </c>
      <c r="E213" s="1" t="s">
        <v>40</v>
      </c>
      <c r="F213" s="1" t="s">
        <v>54</v>
      </c>
      <c r="G213" s="2">
        <v>224.49</v>
      </c>
      <c r="H213" s="1">
        <v>25</v>
      </c>
      <c r="I213" s="1">
        <v>175</v>
      </c>
      <c r="J213" s="1">
        <v>157</v>
      </c>
      <c r="K213" s="1">
        <v>83</v>
      </c>
      <c r="L213" s="1">
        <v>119</v>
      </c>
      <c r="M213" s="1" t="s">
        <v>41</v>
      </c>
      <c r="N213" s="1" t="s">
        <v>32</v>
      </c>
      <c r="O213" s="1" t="s">
        <v>75</v>
      </c>
      <c r="P213" s="2">
        <v>157.13999999999999</v>
      </c>
      <c r="Q213" s="1" t="str">
        <f t="shared" si="9"/>
        <v>YES</v>
      </c>
      <c r="R213" s="2">
        <f t="shared" si="10"/>
        <v>202.04100000000003</v>
      </c>
      <c r="S213" s="2">
        <f>J213*G213</f>
        <v>35244.93</v>
      </c>
      <c r="T213" s="1">
        <f t="shared" ca="1" si="11"/>
        <v>123</v>
      </c>
      <c r="U213" s="1" t="s">
        <v>34</v>
      </c>
      <c r="V213" s="1" t="s">
        <v>34</v>
      </c>
      <c r="W213" s="1" t="s">
        <v>34</v>
      </c>
      <c r="X213" s="1" t="s">
        <v>2674</v>
      </c>
      <c r="Y213" s="1">
        <v>6.5</v>
      </c>
    </row>
    <row r="214" spans="1:25" x14ac:dyDescent="0.3">
      <c r="A214" s="1" t="s">
        <v>393</v>
      </c>
      <c r="B214" s="1" t="s">
        <v>111</v>
      </c>
      <c r="C214" s="1" t="s">
        <v>112</v>
      </c>
      <c r="D214" s="1" t="s">
        <v>97</v>
      </c>
      <c r="E214" s="1" t="s">
        <v>40</v>
      </c>
      <c r="F214" s="1" t="s">
        <v>48</v>
      </c>
      <c r="G214" s="2">
        <v>52.77</v>
      </c>
      <c r="H214" s="1">
        <v>19</v>
      </c>
      <c r="I214" s="1">
        <v>134</v>
      </c>
      <c r="J214" s="1">
        <v>111</v>
      </c>
      <c r="K214" s="1">
        <v>63</v>
      </c>
      <c r="L214" s="1">
        <v>139</v>
      </c>
      <c r="M214" s="1" t="s">
        <v>31</v>
      </c>
      <c r="N214" s="1" t="s">
        <v>60</v>
      </c>
      <c r="O214" s="1" t="s">
        <v>260</v>
      </c>
      <c r="P214" s="2">
        <v>36.94</v>
      </c>
      <c r="Q214" s="1" t="str">
        <f t="shared" si="9"/>
        <v>YES</v>
      </c>
      <c r="R214" s="2">
        <f t="shared" si="10"/>
        <v>47.493000000000002</v>
      </c>
      <c r="S214" s="2">
        <f>J214*G214</f>
        <v>5857.47</v>
      </c>
      <c r="T214" s="1">
        <f t="shared" ca="1" si="11"/>
        <v>70</v>
      </c>
      <c r="U214" s="1" t="s">
        <v>34</v>
      </c>
      <c r="V214" s="1" t="s">
        <v>34</v>
      </c>
      <c r="W214" s="1" t="s">
        <v>34</v>
      </c>
      <c r="X214" s="1" t="s">
        <v>2580</v>
      </c>
      <c r="Y214" s="1">
        <v>7</v>
      </c>
    </row>
    <row r="215" spans="1:25" x14ac:dyDescent="0.3">
      <c r="A215" s="1" t="s">
        <v>394</v>
      </c>
      <c r="B215" s="1" t="s">
        <v>95</v>
      </c>
      <c r="C215" s="1" t="s">
        <v>96</v>
      </c>
      <c r="D215" s="1" t="s">
        <v>97</v>
      </c>
      <c r="E215" s="1" t="s">
        <v>40</v>
      </c>
      <c r="F215" s="1" t="s">
        <v>54</v>
      </c>
      <c r="G215" s="2">
        <v>412.99</v>
      </c>
      <c r="H215" s="1">
        <v>6</v>
      </c>
      <c r="I215" s="1">
        <v>226</v>
      </c>
      <c r="J215" s="1">
        <v>211</v>
      </c>
      <c r="K215" s="1">
        <v>68</v>
      </c>
      <c r="L215" s="1">
        <v>67</v>
      </c>
      <c r="M215" s="1" t="s">
        <v>49</v>
      </c>
      <c r="N215" s="1" t="s">
        <v>32</v>
      </c>
      <c r="O215" s="1" t="s">
        <v>395</v>
      </c>
      <c r="P215" s="2">
        <v>289.08999999999997</v>
      </c>
      <c r="Q215" s="1" t="str">
        <f t="shared" si="9"/>
        <v>YES</v>
      </c>
      <c r="R215" s="2">
        <f t="shared" si="10"/>
        <v>371.69100000000003</v>
      </c>
      <c r="S215" s="2">
        <f>J215*G215</f>
        <v>87140.89</v>
      </c>
      <c r="T215" s="1">
        <f t="shared" ca="1" si="11"/>
        <v>101</v>
      </c>
      <c r="U215" s="1" t="s">
        <v>34</v>
      </c>
      <c r="V215" s="1" t="s">
        <v>34</v>
      </c>
      <c r="W215" s="1" t="s">
        <v>34</v>
      </c>
      <c r="X215" s="1" t="s">
        <v>2675</v>
      </c>
      <c r="Y215" s="1">
        <v>7.5</v>
      </c>
    </row>
    <row r="216" spans="1:25" x14ac:dyDescent="0.3">
      <c r="A216" s="1" t="s">
        <v>396</v>
      </c>
      <c r="B216" s="1" t="s">
        <v>143</v>
      </c>
      <c r="C216" s="1" t="s">
        <v>144</v>
      </c>
      <c r="D216" s="1" t="s">
        <v>47</v>
      </c>
      <c r="E216" s="1" t="s">
        <v>29</v>
      </c>
      <c r="F216" s="1" t="s">
        <v>48</v>
      </c>
      <c r="G216" s="2">
        <v>269.86</v>
      </c>
      <c r="H216" s="1">
        <v>8</v>
      </c>
      <c r="I216" s="1">
        <v>154</v>
      </c>
      <c r="J216" s="1">
        <v>135</v>
      </c>
      <c r="K216" s="1">
        <v>54</v>
      </c>
      <c r="L216" s="1">
        <v>90</v>
      </c>
      <c r="M216" s="1" t="s">
        <v>41</v>
      </c>
      <c r="N216" s="1" t="s">
        <v>32</v>
      </c>
      <c r="O216" s="1" t="s">
        <v>90</v>
      </c>
      <c r="P216" s="2">
        <v>188.9</v>
      </c>
      <c r="Q216" s="1" t="str">
        <f t="shared" si="9"/>
        <v>YES</v>
      </c>
      <c r="R216" s="2">
        <f t="shared" si="10"/>
        <v>242.87400000000002</v>
      </c>
      <c r="S216" s="2">
        <f>J216*G216</f>
        <v>36431.1</v>
      </c>
      <c r="T216" s="1">
        <f t="shared" ca="1" si="11"/>
        <v>94</v>
      </c>
      <c r="U216" s="1" t="s">
        <v>34</v>
      </c>
      <c r="V216" s="1" t="s">
        <v>34</v>
      </c>
      <c r="W216" s="1" t="s">
        <v>34</v>
      </c>
      <c r="X216" s="1" t="s">
        <v>2530</v>
      </c>
      <c r="Y216" s="1">
        <v>8</v>
      </c>
    </row>
    <row r="217" spans="1:25" x14ac:dyDescent="0.3">
      <c r="A217" s="1" t="s">
        <v>397</v>
      </c>
      <c r="B217" s="1" t="s">
        <v>57</v>
      </c>
      <c r="C217" s="1" t="s">
        <v>58</v>
      </c>
      <c r="D217" s="1" t="s">
        <v>59</v>
      </c>
      <c r="E217" s="1" t="s">
        <v>29</v>
      </c>
      <c r="F217" s="1" t="s">
        <v>48</v>
      </c>
      <c r="G217" s="2">
        <v>326.07</v>
      </c>
      <c r="H217" s="1">
        <v>22</v>
      </c>
      <c r="I217" s="1">
        <v>244</v>
      </c>
      <c r="J217" s="1">
        <v>210</v>
      </c>
      <c r="K217" s="1">
        <v>47</v>
      </c>
      <c r="L217" s="1">
        <v>137</v>
      </c>
      <c r="M217" s="1" t="s">
        <v>49</v>
      </c>
      <c r="N217" s="1" t="s">
        <v>60</v>
      </c>
      <c r="O217" s="1" t="s">
        <v>398</v>
      </c>
      <c r="P217" s="2">
        <v>228.25</v>
      </c>
      <c r="Q217" s="1" t="str">
        <f t="shared" si="9"/>
        <v>YES</v>
      </c>
      <c r="R217" s="2">
        <f t="shared" si="10"/>
        <v>293.46300000000002</v>
      </c>
      <c r="S217" s="2">
        <f>J217*G217</f>
        <v>68474.7</v>
      </c>
      <c r="T217" s="1">
        <f t="shared" ca="1" si="11"/>
        <v>86</v>
      </c>
      <c r="U217" s="1" t="s">
        <v>34</v>
      </c>
      <c r="V217" s="1" t="s">
        <v>34</v>
      </c>
      <c r="W217" s="1" t="s">
        <v>34</v>
      </c>
      <c r="X217" s="1" t="s">
        <v>2676</v>
      </c>
      <c r="Y217" s="1">
        <v>8.5</v>
      </c>
    </row>
    <row r="218" spans="1:25" x14ac:dyDescent="0.3">
      <c r="A218" s="1" t="s">
        <v>399</v>
      </c>
      <c r="B218" s="1" t="s">
        <v>72</v>
      </c>
      <c r="C218" s="1" t="s">
        <v>73</v>
      </c>
      <c r="D218" s="1" t="s">
        <v>47</v>
      </c>
      <c r="E218" s="1" t="s">
        <v>29</v>
      </c>
      <c r="F218" s="1" t="s">
        <v>48</v>
      </c>
      <c r="G218" s="2">
        <v>263.04000000000002</v>
      </c>
      <c r="H218" s="1">
        <v>5</v>
      </c>
      <c r="I218" s="1">
        <v>209</v>
      </c>
      <c r="J218" s="1">
        <v>185</v>
      </c>
      <c r="K218" s="1">
        <v>41</v>
      </c>
      <c r="L218" s="1">
        <v>136</v>
      </c>
      <c r="M218" s="1" t="s">
        <v>31</v>
      </c>
      <c r="N218" s="1" t="s">
        <v>60</v>
      </c>
      <c r="O218" s="1" t="s">
        <v>217</v>
      </c>
      <c r="P218" s="2">
        <v>184.13</v>
      </c>
      <c r="Q218" s="1" t="str">
        <f t="shared" si="9"/>
        <v>YES</v>
      </c>
      <c r="R218" s="2">
        <f t="shared" si="10"/>
        <v>236.73600000000002</v>
      </c>
      <c r="S218" s="2">
        <f>J218*G218</f>
        <v>48662.400000000001</v>
      </c>
      <c r="T218" s="1">
        <f t="shared" ca="1" si="11"/>
        <v>100</v>
      </c>
      <c r="U218" s="1" t="s">
        <v>34</v>
      </c>
      <c r="V218" s="1" t="s">
        <v>34</v>
      </c>
      <c r="W218" s="1" t="s">
        <v>34</v>
      </c>
      <c r="X218" s="1" t="s">
        <v>2621</v>
      </c>
      <c r="Y218" s="1">
        <v>9</v>
      </c>
    </row>
    <row r="219" spans="1:25" x14ac:dyDescent="0.3">
      <c r="A219" s="1" t="s">
        <v>400</v>
      </c>
      <c r="B219" s="1" t="s">
        <v>52</v>
      </c>
      <c r="C219" s="1" t="s">
        <v>53</v>
      </c>
      <c r="D219" s="1" t="s">
        <v>47</v>
      </c>
      <c r="E219" s="1" t="s">
        <v>74</v>
      </c>
      <c r="F219" s="1" t="s">
        <v>54</v>
      </c>
      <c r="G219" s="2">
        <v>164.15</v>
      </c>
      <c r="H219" s="1">
        <v>20</v>
      </c>
      <c r="I219" s="1">
        <v>298</v>
      </c>
      <c r="J219" s="1">
        <v>261</v>
      </c>
      <c r="K219" s="1">
        <v>83</v>
      </c>
      <c r="L219" s="1">
        <v>65</v>
      </c>
      <c r="M219" s="1" t="s">
        <v>41</v>
      </c>
      <c r="N219" s="1" t="s">
        <v>60</v>
      </c>
      <c r="O219" s="1" t="s">
        <v>401</v>
      </c>
      <c r="P219" s="2">
        <v>114.91</v>
      </c>
      <c r="Q219" s="1" t="str">
        <f t="shared" si="9"/>
        <v>YES</v>
      </c>
      <c r="R219" s="2">
        <f t="shared" si="10"/>
        <v>147.73500000000001</v>
      </c>
      <c r="S219" s="2">
        <f>J219*G219</f>
        <v>42843.15</v>
      </c>
      <c r="T219" s="1">
        <f t="shared" ca="1" si="11"/>
        <v>110</v>
      </c>
      <c r="U219" s="1" t="s">
        <v>34</v>
      </c>
      <c r="V219" s="1" t="s">
        <v>34</v>
      </c>
      <c r="W219" s="1" t="s">
        <v>34</v>
      </c>
      <c r="X219" s="1" t="s">
        <v>2677</v>
      </c>
      <c r="Y219" s="1">
        <v>9.5</v>
      </c>
    </row>
    <row r="220" spans="1:25" x14ac:dyDescent="0.3">
      <c r="A220" s="1" t="s">
        <v>402</v>
      </c>
      <c r="B220" s="1" t="s">
        <v>126</v>
      </c>
      <c r="C220" s="1" t="s">
        <v>127</v>
      </c>
      <c r="D220" s="1" t="s">
        <v>85</v>
      </c>
      <c r="E220" s="1" t="s">
        <v>40</v>
      </c>
      <c r="F220" s="1" t="s">
        <v>30</v>
      </c>
      <c r="G220" s="2">
        <v>147.47999999999999</v>
      </c>
      <c r="H220" s="1">
        <v>11</v>
      </c>
      <c r="I220" s="1">
        <v>135</v>
      </c>
      <c r="J220" s="1">
        <v>115</v>
      </c>
      <c r="K220" s="1">
        <v>85</v>
      </c>
      <c r="L220" s="1">
        <v>81</v>
      </c>
      <c r="M220" s="1" t="s">
        <v>49</v>
      </c>
      <c r="N220" s="1" t="s">
        <v>60</v>
      </c>
      <c r="O220" s="1" t="s">
        <v>336</v>
      </c>
      <c r="P220" s="2">
        <v>103.24</v>
      </c>
      <c r="Q220" s="1" t="str">
        <f t="shared" si="9"/>
        <v>YES</v>
      </c>
      <c r="R220" s="2">
        <f t="shared" si="10"/>
        <v>132.732</v>
      </c>
      <c r="S220" s="2">
        <f>J220*G220</f>
        <v>16960.199999999997</v>
      </c>
      <c r="T220" s="1">
        <f t="shared" ca="1" si="11"/>
        <v>131</v>
      </c>
      <c r="U220" s="1" t="s">
        <v>34</v>
      </c>
      <c r="V220" s="1" t="s">
        <v>34</v>
      </c>
      <c r="W220" s="1" t="s">
        <v>34</v>
      </c>
      <c r="X220" s="1" t="s">
        <v>2678</v>
      </c>
      <c r="Y220" s="1">
        <v>5</v>
      </c>
    </row>
    <row r="221" spans="1:25" x14ac:dyDescent="0.3">
      <c r="A221" s="1" t="s">
        <v>403</v>
      </c>
      <c r="B221" s="1" t="s">
        <v>166</v>
      </c>
      <c r="C221" s="1" t="s">
        <v>167</v>
      </c>
      <c r="D221" s="1" t="s">
        <v>59</v>
      </c>
      <c r="E221" s="1" t="s">
        <v>29</v>
      </c>
      <c r="F221" s="1" t="s">
        <v>48</v>
      </c>
      <c r="G221" s="2">
        <v>209.96</v>
      </c>
      <c r="H221" s="1">
        <v>7</v>
      </c>
      <c r="I221" s="1">
        <v>223</v>
      </c>
      <c r="J221" s="1">
        <v>208</v>
      </c>
      <c r="K221" s="1">
        <v>106</v>
      </c>
      <c r="L221" s="1">
        <v>81</v>
      </c>
      <c r="M221" s="1" t="s">
        <v>49</v>
      </c>
      <c r="N221" s="1" t="s">
        <v>32</v>
      </c>
      <c r="O221" s="1" t="s">
        <v>150</v>
      </c>
      <c r="P221" s="2">
        <v>146.97</v>
      </c>
      <c r="Q221" s="1" t="str">
        <f t="shared" si="9"/>
        <v>YES</v>
      </c>
      <c r="R221" s="2">
        <f t="shared" si="10"/>
        <v>188.964</v>
      </c>
      <c r="S221" s="2">
        <f>J221*G221</f>
        <v>43671.68</v>
      </c>
      <c r="T221" s="1">
        <f t="shared" ca="1" si="11"/>
        <v>116</v>
      </c>
      <c r="U221" s="1" t="s">
        <v>34</v>
      </c>
      <c r="V221" s="1" t="s">
        <v>34</v>
      </c>
      <c r="W221" s="1" t="s">
        <v>34</v>
      </c>
      <c r="X221" s="1" t="s">
        <v>2679</v>
      </c>
      <c r="Y221" s="1">
        <v>5.5</v>
      </c>
    </row>
    <row r="222" spans="1:25" x14ac:dyDescent="0.3">
      <c r="A222" s="1" t="s">
        <v>404</v>
      </c>
      <c r="B222" s="1" t="s">
        <v>26</v>
      </c>
      <c r="C222" s="1" t="s">
        <v>27</v>
      </c>
      <c r="D222" s="1" t="s">
        <v>28</v>
      </c>
      <c r="E222" s="1" t="s">
        <v>40</v>
      </c>
      <c r="F222" s="1" t="s">
        <v>48</v>
      </c>
      <c r="G222" s="2">
        <v>303.88</v>
      </c>
      <c r="H222" s="1">
        <v>4</v>
      </c>
      <c r="I222" s="1">
        <v>272</v>
      </c>
      <c r="J222" s="1">
        <v>246</v>
      </c>
      <c r="K222" s="1">
        <v>105</v>
      </c>
      <c r="L222" s="1">
        <v>69</v>
      </c>
      <c r="M222" s="1" t="s">
        <v>41</v>
      </c>
      <c r="N222" s="1" t="s">
        <v>32</v>
      </c>
      <c r="O222" s="1" t="s">
        <v>178</v>
      </c>
      <c r="P222" s="2">
        <v>212.72</v>
      </c>
      <c r="Q222" s="1" t="str">
        <f t="shared" si="9"/>
        <v>YES</v>
      </c>
      <c r="R222" s="2">
        <f t="shared" si="10"/>
        <v>273.49200000000002</v>
      </c>
      <c r="S222" s="2">
        <f>J222*G222</f>
        <v>74754.48</v>
      </c>
      <c r="T222" s="1">
        <f t="shared" ca="1" si="11"/>
        <v>90</v>
      </c>
      <c r="U222" s="1" t="s">
        <v>34</v>
      </c>
      <c r="V222" s="1" t="s">
        <v>34</v>
      </c>
      <c r="W222" s="1" t="s">
        <v>34</v>
      </c>
      <c r="X222" s="1" t="s">
        <v>2680</v>
      </c>
      <c r="Y222" s="1">
        <v>6</v>
      </c>
    </row>
    <row r="223" spans="1:25" x14ac:dyDescent="0.3">
      <c r="A223" s="1" t="s">
        <v>405</v>
      </c>
      <c r="B223" s="1" t="s">
        <v>111</v>
      </c>
      <c r="C223" s="1" t="s">
        <v>112</v>
      </c>
      <c r="D223" s="1" t="s">
        <v>97</v>
      </c>
      <c r="E223" s="1" t="s">
        <v>74</v>
      </c>
      <c r="F223" s="1" t="s">
        <v>30</v>
      </c>
      <c r="G223" s="2">
        <v>237.32</v>
      </c>
      <c r="H223" s="1">
        <v>9</v>
      </c>
      <c r="I223" s="1">
        <v>164</v>
      </c>
      <c r="J223" s="1">
        <v>141</v>
      </c>
      <c r="K223" s="1">
        <v>66</v>
      </c>
      <c r="L223" s="1">
        <v>115</v>
      </c>
      <c r="M223" s="1" t="s">
        <v>31</v>
      </c>
      <c r="N223" s="1" t="s">
        <v>42</v>
      </c>
      <c r="O223" s="1" t="s">
        <v>347</v>
      </c>
      <c r="P223" s="2">
        <v>166.12</v>
      </c>
      <c r="Q223" s="1" t="str">
        <f t="shared" si="9"/>
        <v>YES</v>
      </c>
      <c r="R223" s="2">
        <f t="shared" si="10"/>
        <v>213.58799999999999</v>
      </c>
      <c r="S223" s="2">
        <f>J223*G223</f>
        <v>33462.120000000003</v>
      </c>
      <c r="T223" s="1">
        <f t="shared" ca="1" si="11"/>
        <v>79</v>
      </c>
      <c r="U223" s="1" t="s">
        <v>34</v>
      </c>
      <c r="V223" s="1" t="s">
        <v>34</v>
      </c>
      <c r="W223" s="1" t="s">
        <v>34</v>
      </c>
      <c r="X223" s="1" t="s">
        <v>2598</v>
      </c>
      <c r="Y223" s="1">
        <v>6.5</v>
      </c>
    </row>
    <row r="224" spans="1:25" x14ac:dyDescent="0.3">
      <c r="A224" s="1" t="s">
        <v>406</v>
      </c>
      <c r="B224" s="1" t="s">
        <v>77</v>
      </c>
      <c r="C224" s="1" t="s">
        <v>78</v>
      </c>
      <c r="D224" s="1" t="s">
        <v>47</v>
      </c>
      <c r="E224" s="1" t="s">
        <v>40</v>
      </c>
      <c r="F224" s="1" t="s">
        <v>54</v>
      </c>
      <c r="G224" s="2">
        <v>323.18</v>
      </c>
      <c r="H224" s="1">
        <v>1</v>
      </c>
      <c r="I224" s="1">
        <v>236</v>
      </c>
      <c r="J224" s="1">
        <v>201</v>
      </c>
      <c r="K224" s="1">
        <v>57</v>
      </c>
      <c r="L224" s="1">
        <v>147</v>
      </c>
      <c r="M224" s="1" t="s">
        <v>41</v>
      </c>
      <c r="N224" s="1" t="s">
        <v>42</v>
      </c>
      <c r="O224" s="1" t="s">
        <v>145</v>
      </c>
      <c r="P224" s="2">
        <v>226.23</v>
      </c>
      <c r="Q224" s="1" t="str">
        <f t="shared" si="9"/>
        <v>YES</v>
      </c>
      <c r="R224" s="2">
        <f t="shared" si="10"/>
        <v>290.86200000000002</v>
      </c>
      <c r="S224" s="2">
        <f>J224*G224</f>
        <v>64959.18</v>
      </c>
      <c r="T224" s="1">
        <f t="shared" ca="1" si="11"/>
        <v>68</v>
      </c>
      <c r="U224" s="1" t="s">
        <v>34</v>
      </c>
      <c r="V224" s="1" t="s">
        <v>34</v>
      </c>
      <c r="W224" s="1" t="s">
        <v>34</v>
      </c>
      <c r="X224" s="1" t="s">
        <v>2543</v>
      </c>
      <c r="Y224" s="1">
        <v>7</v>
      </c>
    </row>
    <row r="225" spans="1:25" x14ac:dyDescent="0.3">
      <c r="A225" s="1" t="s">
        <v>407</v>
      </c>
      <c r="B225" s="1" t="s">
        <v>57</v>
      </c>
      <c r="C225" s="1" t="s">
        <v>58</v>
      </c>
      <c r="D225" s="1" t="s">
        <v>59</v>
      </c>
      <c r="E225" s="1" t="s">
        <v>29</v>
      </c>
      <c r="F225" s="1" t="s">
        <v>48</v>
      </c>
      <c r="G225" s="2">
        <v>85.73</v>
      </c>
      <c r="H225" s="1">
        <v>8</v>
      </c>
      <c r="I225" s="1">
        <v>294</v>
      </c>
      <c r="J225" s="1">
        <v>279</v>
      </c>
      <c r="K225" s="1">
        <v>108</v>
      </c>
      <c r="L225" s="1">
        <v>58</v>
      </c>
      <c r="M225" s="1" t="s">
        <v>31</v>
      </c>
      <c r="N225" s="1" t="s">
        <v>60</v>
      </c>
      <c r="O225" s="1" t="s">
        <v>116</v>
      </c>
      <c r="P225" s="2">
        <v>60.01</v>
      </c>
      <c r="Q225" s="1" t="str">
        <f t="shared" si="9"/>
        <v>YES</v>
      </c>
      <c r="R225" s="2">
        <f t="shared" si="10"/>
        <v>77.157000000000011</v>
      </c>
      <c r="S225" s="2">
        <f>J225*G225</f>
        <v>23918.670000000002</v>
      </c>
      <c r="T225" s="1">
        <f t="shared" ca="1" si="11"/>
        <v>87</v>
      </c>
      <c r="U225" s="1" t="s">
        <v>34</v>
      </c>
      <c r="V225" s="1" t="s">
        <v>34</v>
      </c>
      <c r="W225" s="1" t="s">
        <v>34</v>
      </c>
      <c r="X225" s="1" t="s">
        <v>2681</v>
      </c>
      <c r="Y225" s="1">
        <v>7.5</v>
      </c>
    </row>
    <row r="226" spans="1:25" x14ac:dyDescent="0.3">
      <c r="A226" s="1" t="s">
        <v>408</v>
      </c>
      <c r="B226" s="1" t="s">
        <v>63</v>
      </c>
      <c r="C226" s="1" t="s">
        <v>64</v>
      </c>
      <c r="D226" s="1" t="s">
        <v>28</v>
      </c>
      <c r="E226" s="1" t="s">
        <v>40</v>
      </c>
      <c r="F226" s="1" t="s">
        <v>48</v>
      </c>
      <c r="G226" s="2">
        <v>496.68</v>
      </c>
      <c r="H226" s="1">
        <v>3</v>
      </c>
      <c r="I226" s="1">
        <v>141</v>
      </c>
      <c r="J226" s="1">
        <v>139</v>
      </c>
      <c r="K226" s="1">
        <v>61</v>
      </c>
      <c r="L226" s="1">
        <v>81</v>
      </c>
      <c r="M226" s="1" t="s">
        <v>31</v>
      </c>
      <c r="N226" s="1" t="s">
        <v>32</v>
      </c>
      <c r="O226" s="1" t="s">
        <v>229</v>
      </c>
      <c r="P226" s="2">
        <v>347.68</v>
      </c>
      <c r="Q226" s="1" t="str">
        <f t="shared" si="9"/>
        <v>YES</v>
      </c>
      <c r="R226" s="2">
        <f t="shared" si="10"/>
        <v>447.012</v>
      </c>
      <c r="S226" s="2">
        <f>J226*G226</f>
        <v>69038.52</v>
      </c>
      <c r="T226" s="1">
        <f t="shared" ca="1" si="11"/>
        <v>128</v>
      </c>
      <c r="U226" s="1" t="s">
        <v>34</v>
      </c>
      <c r="V226" s="1" t="s">
        <v>34</v>
      </c>
      <c r="W226" s="1" t="s">
        <v>34</v>
      </c>
      <c r="X226" s="1" t="s">
        <v>2682</v>
      </c>
      <c r="Y226" s="1">
        <v>8</v>
      </c>
    </row>
    <row r="227" spans="1:25" x14ac:dyDescent="0.3">
      <c r="A227" s="1" t="s">
        <v>409</v>
      </c>
      <c r="B227" s="1" t="s">
        <v>192</v>
      </c>
      <c r="C227" s="1" t="s">
        <v>193</v>
      </c>
      <c r="D227" s="1" t="s">
        <v>85</v>
      </c>
      <c r="E227" s="1" t="s">
        <v>74</v>
      </c>
      <c r="F227" s="1" t="s">
        <v>48</v>
      </c>
      <c r="G227" s="2">
        <v>161.04</v>
      </c>
      <c r="H227" s="1">
        <v>17</v>
      </c>
      <c r="I227" s="1">
        <v>176</v>
      </c>
      <c r="J227" s="1">
        <v>167</v>
      </c>
      <c r="K227" s="1">
        <v>95</v>
      </c>
      <c r="L227" s="1">
        <v>76</v>
      </c>
      <c r="M227" s="1" t="s">
        <v>31</v>
      </c>
      <c r="N227" s="1" t="s">
        <v>42</v>
      </c>
      <c r="O227" s="1" t="s">
        <v>410</v>
      </c>
      <c r="P227" s="2">
        <v>112.73</v>
      </c>
      <c r="Q227" s="1" t="str">
        <f t="shared" si="9"/>
        <v>YES</v>
      </c>
      <c r="R227" s="2">
        <f t="shared" si="10"/>
        <v>144.93600000000001</v>
      </c>
      <c r="S227" s="2">
        <f>J227*G227</f>
        <v>26893.68</v>
      </c>
      <c r="T227" s="1">
        <f t="shared" ca="1" si="11"/>
        <v>136</v>
      </c>
      <c r="U227" s="1" t="s">
        <v>34</v>
      </c>
      <c r="V227" s="1" t="s">
        <v>34</v>
      </c>
      <c r="W227" s="1" t="s">
        <v>34</v>
      </c>
      <c r="X227" s="1" t="s">
        <v>2683</v>
      </c>
      <c r="Y227" s="1">
        <v>8.5</v>
      </c>
    </row>
    <row r="228" spans="1:25" x14ac:dyDescent="0.3">
      <c r="A228" s="1" t="s">
        <v>411</v>
      </c>
      <c r="B228" s="1" t="s">
        <v>111</v>
      </c>
      <c r="C228" s="1" t="s">
        <v>112</v>
      </c>
      <c r="D228" s="1" t="s">
        <v>97</v>
      </c>
      <c r="E228" s="1" t="s">
        <v>40</v>
      </c>
      <c r="F228" s="1" t="s">
        <v>30</v>
      </c>
      <c r="G228" s="2">
        <v>166.81</v>
      </c>
      <c r="H228" s="1">
        <v>25</v>
      </c>
      <c r="I228" s="1">
        <v>286</v>
      </c>
      <c r="J228" s="1">
        <v>278</v>
      </c>
      <c r="K228" s="1">
        <v>61</v>
      </c>
      <c r="L228" s="1">
        <v>51</v>
      </c>
      <c r="M228" s="1" t="s">
        <v>41</v>
      </c>
      <c r="N228" s="1" t="s">
        <v>60</v>
      </c>
      <c r="O228" s="1" t="s">
        <v>247</v>
      </c>
      <c r="P228" s="2">
        <v>116.77</v>
      </c>
      <c r="Q228" s="1" t="str">
        <f t="shared" si="9"/>
        <v>YES</v>
      </c>
      <c r="R228" s="2">
        <f t="shared" si="10"/>
        <v>150.12900000000002</v>
      </c>
      <c r="S228" s="2">
        <f>J228*G228</f>
        <v>46373.18</v>
      </c>
      <c r="T228" s="1">
        <f t="shared" ca="1" si="11"/>
        <v>125</v>
      </c>
      <c r="U228" s="1" t="s">
        <v>34</v>
      </c>
      <c r="V228" s="1" t="s">
        <v>34</v>
      </c>
      <c r="W228" s="1" t="s">
        <v>34</v>
      </c>
      <c r="X228" s="1" t="s">
        <v>2684</v>
      </c>
      <c r="Y228" s="1">
        <v>9</v>
      </c>
    </row>
    <row r="229" spans="1:25" x14ac:dyDescent="0.3">
      <c r="A229" s="1" t="s">
        <v>412</v>
      </c>
      <c r="B229" s="1" t="s">
        <v>299</v>
      </c>
      <c r="C229" s="1" t="s">
        <v>300</v>
      </c>
      <c r="D229" s="1" t="s">
        <v>39</v>
      </c>
      <c r="E229" s="1" t="s">
        <v>29</v>
      </c>
      <c r="F229" s="1" t="s">
        <v>54</v>
      </c>
      <c r="G229" s="2">
        <v>324.25</v>
      </c>
      <c r="H229" s="1">
        <v>18</v>
      </c>
      <c r="I229" s="1">
        <v>192</v>
      </c>
      <c r="J229" s="1">
        <v>185</v>
      </c>
      <c r="K229" s="1">
        <v>64</v>
      </c>
      <c r="L229" s="1">
        <v>140</v>
      </c>
      <c r="M229" s="1" t="s">
        <v>41</v>
      </c>
      <c r="N229" s="1" t="s">
        <v>42</v>
      </c>
      <c r="O229" s="1" t="s">
        <v>333</v>
      </c>
      <c r="P229" s="2">
        <v>226.97</v>
      </c>
      <c r="Q229" s="1" t="str">
        <f t="shared" si="9"/>
        <v>YES</v>
      </c>
      <c r="R229" s="2">
        <f t="shared" si="10"/>
        <v>291.82499999999999</v>
      </c>
      <c r="S229" s="2">
        <f>J229*G229</f>
        <v>59986.25</v>
      </c>
      <c r="T229" s="1">
        <f t="shared" ca="1" si="11"/>
        <v>109</v>
      </c>
      <c r="U229" s="1" t="s">
        <v>34</v>
      </c>
      <c r="V229" s="1" t="s">
        <v>34</v>
      </c>
      <c r="W229" s="1" t="s">
        <v>34</v>
      </c>
      <c r="X229" s="1" t="s">
        <v>2685</v>
      </c>
      <c r="Y229" s="1">
        <v>9.5</v>
      </c>
    </row>
    <row r="230" spans="1:25" x14ac:dyDescent="0.3">
      <c r="A230" s="1" t="s">
        <v>413</v>
      </c>
      <c r="B230" s="1" t="s">
        <v>83</v>
      </c>
      <c r="C230" s="1" t="s">
        <v>84</v>
      </c>
      <c r="D230" s="1" t="s">
        <v>85</v>
      </c>
      <c r="E230" s="1" t="s">
        <v>40</v>
      </c>
      <c r="F230" s="1" t="s">
        <v>48</v>
      </c>
      <c r="G230" s="2">
        <v>430.7</v>
      </c>
      <c r="H230" s="1">
        <v>15</v>
      </c>
      <c r="I230" s="1">
        <v>237</v>
      </c>
      <c r="J230" s="1">
        <v>237</v>
      </c>
      <c r="K230" s="1">
        <v>80</v>
      </c>
      <c r="L230" s="1">
        <v>103</v>
      </c>
      <c r="M230" s="1" t="s">
        <v>41</v>
      </c>
      <c r="N230" s="1" t="s">
        <v>60</v>
      </c>
      <c r="O230" s="1" t="s">
        <v>220</v>
      </c>
      <c r="P230" s="2">
        <v>301.49</v>
      </c>
      <c r="Q230" s="1" t="str">
        <f t="shared" si="9"/>
        <v>YES</v>
      </c>
      <c r="R230" s="2">
        <f t="shared" si="10"/>
        <v>387.63</v>
      </c>
      <c r="S230" s="2">
        <f>J230*G230</f>
        <v>102075.9</v>
      </c>
      <c r="T230" s="1">
        <f t="shared" ca="1" si="11"/>
        <v>106</v>
      </c>
      <c r="U230" s="1" t="s">
        <v>34</v>
      </c>
      <c r="V230" s="1" t="s">
        <v>34</v>
      </c>
      <c r="W230" s="1" t="s">
        <v>34</v>
      </c>
      <c r="X230" s="1" t="s">
        <v>2646</v>
      </c>
      <c r="Y230" s="1">
        <v>5</v>
      </c>
    </row>
    <row r="231" spans="1:25" x14ac:dyDescent="0.3">
      <c r="A231" s="1" t="s">
        <v>414</v>
      </c>
      <c r="B231" s="1" t="s">
        <v>189</v>
      </c>
      <c r="C231" s="1" t="s">
        <v>190</v>
      </c>
      <c r="D231" s="1" t="s">
        <v>59</v>
      </c>
      <c r="E231" s="1" t="s">
        <v>40</v>
      </c>
      <c r="F231" s="1" t="s">
        <v>54</v>
      </c>
      <c r="G231" s="2">
        <v>194.59</v>
      </c>
      <c r="H231" s="1">
        <v>15</v>
      </c>
      <c r="I231" s="1">
        <v>273</v>
      </c>
      <c r="J231" s="1">
        <v>268</v>
      </c>
      <c r="K231" s="1">
        <v>87</v>
      </c>
      <c r="L231" s="1">
        <v>52</v>
      </c>
      <c r="M231" s="1" t="s">
        <v>41</v>
      </c>
      <c r="N231" s="1" t="s">
        <v>60</v>
      </c>
      <c r="O231" s="1" t="s">
        <v>195</v>
      </c>
      <c r="P231" s="2">
        <v>136.21</v>
      </c>
      <c r="Q231" s="1" t="str">
        <f t="shared" si="9"/>
        <v>YES</v>
      </c>
      <c r="R231" s="2">
        <f t="shared" si="10"/>
        <v>175.131</v>
      </c>
      <c r="S231" s="2">
        <f>J231*G231</f>
        <v>52150.12</v>
      </c>
      <c r="T231" s="1">
        <f t="shared" ca="1" si="11"/>
        <v>63</v>
      </c>
      <c r="U231" s="1" t="s">
        <v>34</v>
      </c>
      <c r="V231" s="1" t="s">
        <v>34</v>
      </c>
      <c r="W231" s="1" t="s">
        <v>34</v>
      </c>
      <c r="X231" s="1" t="s">
        <v>2686</v>
      </c>
      <c r="Y231" s="1">
        <v>5.5</v>
      </c>
    </row>
    <row r="232" spans="1:25" x14ac:dyDescent="0.3">
      <c r="A232" s="1" t="s">
        <v>415</v>
      </c>
      <c r="B232" s="1" t="s">
        <v>111</v>
      </c>
      <c r="C232" s="1" t="s">
        <v>112</v>
      </c>
      <c r="D232" s="1" t="s">
        <v>97</v>
      </c>
      <c r="E232" s="1" t="s">
        <v>40</v>
      </c>
      <c r="F232" s="1" t="s">
        <v>54</v>
      </c>
      <c r="G232" s="2">
        <v>443.9</v>
      </c>
      <c r="H232" s="1">
        <v>9</v>
      </c>
      <c r="I232" s="1">
        <v>235</v>
      </c>
      <c r="J232" s="1">
        <v>228</v>
      </c>
      <c r="K232" s="1">
        <v>69</v>
      </c>
      <c r="L232" s="1">
        <v>84</v>
      </c>
      <c r="M232" s="1" t="s">
        <v>31</v>
      </c>
      <c r="N232" s="1" t="s">
        <v>42</v>
      </c>
      <c r="O232" s="1" t="s">
        <v>195</v>
      </c>
      <c r="P232" s="2">
        <v>310.73</v>
      </c>
      <c r="Q232" s="1" t="str">
        <f t="shared" si="9"/>
        <v>YES</v>
      </c>
      <c r="R232" s="2">
        <f t="shared" si="10"/>
        <v>399.51</v>
      </c>
      <c r="S232" s="2">
        <f>J232*G232</f>
        <v>101209.2</v>
      </c>
      <c r="T232" s="1">
        <f t="shared" ca="1" si="11"/>
        <v>63</v>
      </c>
      <c r="U232" s="1" t="s">
        <v>34</v>
      </c>
      <c r="V232" s="1" t="s">
        <v>34</v>
      </c>
      <c r="W232" s="1" t="s">
        <v>34</v>
      </c>
      <c r="X232" s="1" t="s">
        <v>2687</v>
      </c>
      <c r="Y232" s="1">
        <v>6</v>
      </c>
    </row>
    <row r="233" spans="1:25" x14ac:dyDescent="0.3">
      <c r="A233" s="1" t="s">
        <v>416</v>
      </c>
      <c r="B233" s="1" t="s">
        <v>57</v>
      </c>
      <c r="C233" s="1" t="s">
        <v>58</v>
      </c>
      <c r="D233" s="1" t="s">
        <v>59</v>
      </c>
      <c r="E233" s="1" t="s">
        <v>29</v>
      </c>
      <c r="F233" s="1" t="s">
        <v>54</v>
      </c>
      <c r="G233" s="2">
        <v>450.33</v>
      </c>
      <c r="H233" s="1">
        <v>3</v>
      </c>
      <c r="I233" s="1">
        <v>194</v>
      </c>
      <c r="J233" s="1">
        <v>165</v>
      </c>
      <c r="K233" s="1">
        <v>74</v>
      </c>
      <c r="L233" s="1">
        <v>92</v>
      </c>
      <c r="M233" s="1" t="s">
        <v>41</v>
      </c>
      <c r="N233" s="1" t="s">
        <v>32</v>
      </c>
      <c r="O233" s="1" t="s">
        <v>116</v>
      </c>
      <c r="P233" s="2">
        <v>315.23</v>
      </c>
      <c r="Q233" s="1" t="str">
        <f t="shared" si="9"/>
        <v>YES</v>
      </c>
      <c r="R233" s="2">
        <f t="shared" si="10"/>
        <v>405.29699999999997</v>
      </c>
      <c r="S233" s="2">
        <f>J233*G233</f>
        <v>74304.45</v>
      </c>
      <c r="T233" s="1">
        <f t="shared" ca="1" si="11"/>
        <v>87</v>
      </c>
      <c r="U233" s="1" t="s">
        <v>34</v>
      </c>
      <c r="V233" s="1" t="s">
        <v>34</v>
      </c>
      <c r="W233" s="1" t="s">
        <v>34</v>
      </c>
      <c r="X233" s="1" t="s">
        <v>2688</v>
      </c>
      <c r="Y233" s="1">
        <v>6.5</v>
      </c>
    </row>
    <row r="234" spans="1:25" x14ac:dyDescent="0.3">
      <c r="A234" s="1" t="s">
        <v>417</v>
      </c>
      <c r="B234" s="1" t="s">
        <v>95</v>
      </c>
      <c r="C234" s="1" t="s">
        <v>96</v>
      </c>
      <c r="D234" s="1" t="s">
        <v>97</v>
      </c>
      <c r="E234" s="1" t="s">
        <v>40</v>
      </c>
      <c r="F234" s="1" t="s">
        <v>54</v>
      </c>
      <c r="G234" s="2">
        <v>274.35000000000002</v>
      </c>
      <c r="H234" s="1">
        <v>24</v>
      </c>
      <c r="I234" s="1">
        <v>178</v>
      </c>
      <c r="J234" s="1">
        <v>165</v>
      </c>
      <c r="K234" s="1">
        <v>80</v>
      </c>
      <c r="L234" s="1">
        <v>137</v>
      </c>
      <c r="M234" s="1" t="s">
        <v>41</v>
      </c>
      <c r="N234" s="1" t="s">
        <v>42</v>
      </c>
      <c r="O234" s="1" t="s">
        <v>220</v>
      </c>
      <c r="P234" s="2">
        <v>192.05</v>
      </c>
      <c r="Q234" s="1" t="str">
        <f t="shared" si="9"/>
        <v>YES</v>
      </c>
      <c r="R234" s="2">
        <f t="shared" si="10"/>
        <v>246.91500000000002</v>
      </c>
      <c r="S234" s="2">
        <f>J234*G234</f>
        <v>45267.750000000007</v>
      </c>
      <c r="T234" s="1">
        <f t="shared" ca="1" si="11"/>
        <v>106</v>
      </c>
      <c r="U234" s="1" t="s">
        <v>34</v>
      </c>
      <c r="V234" s="1" t="s">
        <v>34</v>
      </c>
      <c r="W234" s="1" t="s">
        <v>34</v>
      </c>
      <c r="X234" s="1" t="s">
        <v>2689</v>
      </c>
      <c r="Y234" s="1">
        <v>7</v>
      </c>
    </row>
    <row r="235" spans="1:25" x14ac:dyDescent="0.3">
      <c r="A235" s="1" t="s">
        <v>418</v>
      </c>
      <c r="B235" s="1" t="s">
        <v>130</v>
      </c>
      <c r="C235" s="1" t="s">
        <v>131</v>
      </c>
      <c r="D235" s="1" t="s">
        <v>132</v>
      </c>
      <c r="E235" s="1" t="s">
        <v>74</v>
      </c>
      <c r="F235" s="1" t="s">
        <v>54</v>
      </c>
      <c r="G235" s="2">
        <v>254.54</v>
      </c>
      <c r="H235" s="1">
        <v>1</v>
      </c>
      <c r="I235" s="1">
        <v>273</v>
      </c>
      <c r="J235" s="1">
        <v>265</v>
      </c>
      <c r="K235" s="1">
        <v>65</v>
      </c>
      <c r="L235" s="1">
        <v>115</v>
      </c>
      <c r="M235" s="1" t="s">
        <v>31</v>
      </c>
      <c r="N235" s="1" t="s">
        <v>60</v>
      </c>
      <c r="O235" s="1" t="s">
        <v>340</v>
      </c>
      <c r="P235" s="2">
        <v>178.18</v>
      </c>
      <c r="Q235" s="1" t="str">
        <f t="shared" si="9"/>
        <v>YES</v>
      </c>
      <c r="R235" s="2">
        <f t="shared" si="10"/>
        <v>229.08599999999998</v>
      </c>
      <c r="S235" s="2">
        <f>J235*G235</f>
        <v>67453.099999999991</v>
      </c>
      <c r="T235" s="1">
        <f t="shared" ca="1" si="11"/>
        <v>138</v>
      </c>
      <c r="U235" s="1" t="s">
        <v>34</v>
      </c>
      <c r="V235" s="1" t="s">
        <v>34</v>
      </c>
      <c r="W235" s="1" t="s">
        <v>34</v>
      </c>
      <c r="X235" s="1" t="s">
        <v>2567</v>
      </c>
      <c r="Y235" s="1">
        <v>7.5</v>
      </c>
    </row>
    <row r="236" spans="1:25" x14ac:dyDescent="0.3">
      <c r="A236" s="1" t="s">
        <v>419</v>
      </c>
      <c r="B236" s="1" t="s">
        <v>192</v>
      </c>
      <c r="C236" s="1" t="s">
        <v>193</v>
      </c>
      <c r="D236" s="1" t="s">
        <v>85</v>
      </c>
      <c r="E236" s="1" t="s">
        <v>40</v>
      </c>
      <c r="F236" s="1" t="s">
        <v>30</v>
      </c>
      <c r="G236" s="2">
        <v>492.36</v>
      </c>
      <c r="H236" s="1">
        <v>0</v>
      </c>
      <c r="I236" s="1">
        <v>185</v>
      </c>
      <c r="J236" s="1">
        <v>150</v>
      </c>
      <c r="K236" s="1">
        <v>58</v>
      </c>
      <c r="L236" s="1">
        <v>123</v>
      </c>
      <c r="M236" s="1" t="s">
        <v>31</v>
      </c>
      <c r="N236" s="1" t="s">
        <v>42</v>
      </c>
      <c r="O236" s="1" t="s">
        <v>43</v>
      </c>
      <c r="P236" s="2">
        <v>344.65</v>
      </c>
      <c r="Q236" s="1" t="str">
        <f t="shared" si="9"/>
        <v>YES</v>
      </c>
      <c r="R236" s="2">
        <f t="shared" si="10"/>
        <v>443.12400000000002</v>
      </c>
      <c r="S236" s="2">
        <f>J236*G236</f>
        <v>73854</v>
      </c>
      <c r="T236" s="1">
        <f t="shared" ca="1" si="11"/>
        <v>117</v>
      </c>
      <c r="U236" s="1" t="s">
        <v>34</v>
      </c>
      <c r="V236" s="1" t="s">
        <v>34</v>
      </c>
      <c r="W236" s="1" t="s">
        <v>34</v>
      </c>
      <c r="X236" s="1" t="s">
        <v>2671</v>
      </c>
      <c r="Y236" s="1">
        <v>8</v>
      </c>
    </row>
    <row r="237" spans="1:25" x14ac:dyDescent="0.3">
      <c r="A237" s="1" t="s">
        <v>420</v>
      </c>
      <c r="B237" s="1" t="s">
        <v>83</v>
      </c>
      <c r="C237" s="1" t="s">
        <v>84</v>
      </c>
      <c r="D237" s="1" t="s">
        <v>85</v>
      </c>
      <c r="E237" s="1" t="s">
        <v>40</v>
      </c>
      <c r="F237" s="1" t="s">
        <v>48</v>
      </c>
      <c r="G237" s="2">
        <v>452.64</v>
      </c>
      <c r="H237" s="1">
        <v>13</v>
      </c>
      <c r="I237" s="1">
        <v>192</v>
      </c>
      <c r="J237" s="1">
        <v>155</v>
      </c>
      <c r="K237" s="1">
        <v>114</v>
      </c>
      <c r="L237" s="1">
        <v>79</v>
      </c>
      <c r="M237" s="1" t="s">
        <v>49</v>
      </c>
      <c r="N237" s="1" t="s">
        <v>32</v>
      </c>
      <c r="O237" s="1" t="s">
        <v>86</v>
      </c>
      <c r="P237" s="2">
        <v>316.85000000000002</v>
      </c>
      <c r="Q237" s="1" t="str">
        <f t="shared" si="9"/>
        <v>YES</v>
      </c>
      <c r="R237" s="2">
        <f t="shared" si="10"/>
        <v>407.37599999999998</v>
      </c>
      <c r="S237" s="2">
        <f>J237*G237</f>
        <v>70159.199999999997</v>
      </c>
      <c r="T237" s="1">
        <f t="shared" ca="1" si="11"/>
        <v>121</v>
      </c>
      <c r="U237" s="1" t="s">
        <v>34</v>
      </c>
      <c r="V237" s="1" t="s">
        <v>34</v>
      </c>
      <c r="W237" s="1" t="s">
        <v>34</v>
      </c>
      <c r="X237" s="1" t="s">
        <v>2690</v>
      </c>
      <c r="Y237" s="1">
        <v>8.5</v>
      </c>
    </row>
    <row r="238" spans="1:25" x14ac:dyDescent="0.3">
      <c r="A238" s="1" t="s">
        <v>421</v>
      </c>
      <c r="B238" s="1" t="s">
        <v>45</v>
      </c>
      <c r="C238" s="1" t="s">
        <v>46</v>
      </c>
      <c r="D238" s="1" t="s">
        <v>47</v>
      </c>
      <c r="E238" s="1" t="s">
        <v>74</v>
      </c>
      <c r="F238" s="1" t="s">
        <v>30</v>
      </c>
      <c r="G238" s="2">
        <v>103.3</v>
      </c>
      <c r="H238" s="1">
        <v>1</v>
      </c>
      <c r="I238" s="1">
        <v>174</v>
      </c>
      <c r="J238" s="1">
        <v>162</v>
      </c>
      <c r="K238" s="1">
        <v>94</v>
      </c>
      <c r="L238" s="1">
        <v>130</v>
      </c>
      <c r="M238" s="1" t="s">
        <v>49</v>
      </c>
      <c r="N238" s="1" t="s">
        <v>32</v>
      </c>
      <c r="O238" s="1" t="s">
        <v>35</v>
      </c>
      <c r="P238" s="2">
        <v>72.31</v>
      </c>
      <c r="Q238" s="1" t="str">
        <f t="shared" si="9"/>
        <v>YES</v>
      </c>
      <c r="R238" s="2">
        <f t="shared" si="10"/>
        <v>92.97</v>
      </c>
      <c r="S238" s="2">
        <f>J238*G238</f>
        <v>16734.599999999999</v>
      </c>
      <c r="T238" s="1">
        <f t="shared" ca="1" si="11"/>
        <v>85</v>
      </c>
      <c r="U238" s="1" t="s">
        <v>34</v>
      </c>
      <c r="V238" s="1" t="s">
        <v>34</v>
      </c>
      <c r="W238" s="1" t="s">
        <v>34</v>
      </c>
      <c r="X238" s="1" t="s">
        <v>2691</v>
      </c>
      <c r="Y238" s="1">
        <v>9</v>
      </c>
    </row>
    <row r="239" spans="1:25" x14ac:dyDescent="0.3">
      <c r="A239" s="1" t="s">
        <v>422</v>
      </c>
      <c r="B239" s="1" t="s">
        <v>107</v>
      </c>
      <c r="C239" s="1" t="s">
        <v>108</v>
      </c>
      <c r="D239" s="1" t="s">
        <v>39</v>
      </c>
      <c r="E239" s="1" t="s">
        <v>29</v>
      </c>
      <c r="F239" s="1" t="s">
        <v>48</v>
      </c>
      <c r="G239" s="2">
        <v>84.96</v>
      </c>
      <c r="H239" s="1">
        <v>0</v>
      </c>
      <c r="I239" s="1">
        <v>109</v>
      </c>
      <c r="J239" s="1">
        <v>99</v>
      </c>
      <c r="K239" s="1">
        <v>96</v>
      </c>
      <c r="L239" s="1">
        <v>132</v>
      </c>
      <c r="M239" s="1" t="s">
        <v>31</v>
      </c>
      <c r="N239" s="1" t="s">
        <v>32</v>
      </c>
      <c r="O239" s="1" t="s">
        <v>254</v>
      </c>
      <c r="P239" s="2">
        <v>59.47</v>
      </c>
      <c r="Q239" s="1" t="str">
        <f t="shared" si="9"/>
        <v>YES</v>
      </c>
      <c r="R239" s="2">
        <f t="shared" si="10"/>
        <v>76.463999999999999</v>
      </c>
      <c r="S239" s="2">
        <f>J239*G239</f>
        <v>8411.0399999999991</v>
      </c>
      <c r="T239" s="1">
        <f t="shared" ca="1" si="11"/>
        <v>145</v>
      </c>
      <c r="U239" s="1" t="s">
        <v>34</v>
      </c>
      <c r="V239" s="1" t="s">
        <v>34</v>
      </c>
      <c r="W239" s="1" t="s">
        <v>34</v>
      </c>
      <c r="X239" s="1" t="s">
        <v>2692</v>
      </c>
      <c r="Y239" s="1">
        <v>9.5</v>
      </c>
    </row>
    <row r="240" spans="1:25" x14ac:dyDescent="0.3">
      <c r="A240" s="1" t="s">
        <v>423</v>
      </c>
      <c r="B240" s="1" t="s">
        <v>72</v>
      </c>
      <c r="C240" s="1" t="s">
        <v>73</v>
      </c>
      <c r="D240" s="1" t="s">
        <v>47</v>
      </c>
      <c r="E240" s="1" t="s">
        <v>40</v>
      </c>
      <c r="F240" s="1" t="s">
        <v>54</v>
      </c>
      <c r="G240" s="2">
        <v>228.65</v>
      </c>
      <c r="H240" s="1">
        <v>6</v>
      </c>
      <c r="I240" s="1">
        <v>127</v>
      </c>
      <c r="J240" s="1">
        <v>103</v>
      </c>
      <c r="K240" s="1">
        <v>75</v>
      </c>
      <c r="L240" s="1">
        <v>73</v>
      </c>
      <c r="M240" s="1" t="s">
        <v>49</v>
      </c>
      <c r="N240" s="1" t="s">
        <v>32</v>
      </c>
      <c r="O240" s="1" t="s">
        <v>133</v>
      </c>
      <c r="P240" s="2">
        <v>160.06</v>
      </c>
      <c r="Q240" s="1" t="str">
        <f t="shared" si="9"/>
        <v>YES</v>
      </c>
      <c r="R240" s="2">
        <f t="shared" si="10"/>
        <v>205.785</v>
      </c>
      <c r="S240" s="2">
        <f>J240*G240</f>
        <v>23550.95</v>
      </c>
      <c r="T240" s="1">
        <f t="shared" ca="1" si="11"/>
        <v>76</v>
      </c>
      <c r="U240" s="1" t="s">
        <v>34</v>
      </c>
      <c r="V240" s="1" t="s">
        <v>34</v>
      </c>
      <c r="W240" s="1" t="s">
        <v>34</v>
      </c>
      <c r="X240" s="1" t="s">
        <v>2693</v>
      </c>
      <c r="Y240" s="1">
        <v>5</v>
      </c>
    </row>
    <row r="241" spans="1:25" x14ac:dyDescent="0.3">
      <c r="A241" s="1" t="s">
        <v>424</v>
      </c>
      <c r="B241" s="1" t="s">
        <v>189</v>
      </c>
      <c r="C241" s="1" t="s">
        <v>190</v>
      </c>
      <c r="D241" s="1" t="s">
        <v>59</v>
      </c>
      <c r="E241" s="1" t="s">
        <v>40</v>
      </c>
      <c r="F241" s="1" t="s">
        <v>30</v>
      </c>
      <c r="G241" s="2">
        <v>250.85</v>
      </c>
      <c r="H241" s="1">
        <v>4</v>
      </c>
      <c r="I241" s="1">
        <v>258</v>
      </c>
      <c r="J241" s="1">
        <v>239</v>
      </c>
      <c r="K241" s="1">
        <v>77</v>
      </c>
      <c r="L241" s="1">
        <v>50</v>
      </c>
      <c r="M241" s="1" t="s">
        <v>41</v>
      </c>
      <c r="N241" s="1" t="s">
        <v>32</v>
      </c>
      <c r="O241" s="1" t="s">
        <v>302</v>
      </c>
      <c r="P241" s="2">
        <v>175.59</v>
      </c>
      <c r="Q241" s="1" t="str">
        <f t="shared" si="9"/>
        <v>YES</v>
      </c>
      <c r="R241" s="2">
        <f t="shared" si="10"/>
        <v>225.76499999999999</v>
      </c>
      <c r="S241" s="2">
        <f>J241*G241</f>
        <v>59953.15</v>
      </c>
      <c r="T241" s="1">
        <f t="shared" ca="1" si="11"/>
        <v>133</v>
      </c>
      <c r="U241" s="1" t="s">
        <v>34</v>
      </c>
      <c r="V241" s="1" t="s">
        <v>34</v>
      </c>
      <c r="W241" s="1" t="s">
        <v>34</v>
      </c>
      <c r="X241" s="1" t="s">
        <v>2694</v>
      </c>
      <c r="Y241" s="1">
        <v>5.5</v>
      </c>
    </row>
    <row r="242" spans="1:25" x14ac:dyDescent="0.3">
      <c r="A242" s="1" t="s">
        <v>425</v>
      </c>
      <c r="B242" s="1" t="s">
        <v>176</v>
      </c>
      <c r="C242" s="1" t="s">
        <v>177</v>
      </c>
      <c r="D242" s="1" t="s">
        <v>39</v>
      </c>
      <c r="E242" s="1" t="s">
        <v>29</v>
      </c>
      <c r="F242" s="1" t="s">
        <v>30</v>
      </c>
      <c r="G242" s="2">
        <v>93.38</v>
      </c>
      <c r="H242" s="1">
        <v>0</v>
      </c>
      <c r="I242" s="1">
        <v>211</v>
      </c>
      <c r="J242" s="1">
        <v>200</v>
      </c>
      <c r="K242" s="1">
        <v>66</v>
      </c>
      <c r="L242" s="1">
        <v>97</v>
      </c>
      <c r="M242" s="1" t="s">
        <v>31</v>
      </c>
      <c r="N242" s="1" t="s">
        <v>32</v>
      </c>
      <c r="O242" s="1" t="s">
        <v>105</v>
      </c>
      <c r="P242" s="2">
        <v>65.37</v>
      </c>
      <c r="Q242" s="1" t="str">
        <f t="shared" si="9"/>
        <v>YES</v>
      </c>
      <c r="R242" s="2">
        <f t="shared" si="10"/>
        <v>84.042000000000002</v>
      </c>
      <c r="S242" s="2">
        <f>J242*G242</f>
        <v>18676</v>
      </c>
      <c r="T242" s="1">
        <f t="shared" ca="1" si="11"/>
        <v>144</v>
      </c>
      <c r="U242" s="1" t="s">
        <v>34</v>
      </c>
      <c r="V242" s="1" t="s">
        <v>34</v>
      </c>
      <c r="W242" s="1" t="s">
        <v>34</v>
      </c>
      <c r="X242" s="1" t="s">
        <v>2695</v>
      </c>
      <c r="Y242" s="1">
        <v>6</v>
      </c>
    </row>
    <row r="243" spans="1:25" x14ac:dyDescent="0.3">
      <c r="A243" s="1" t="s">
        <v>426</v>
      </c>
      <c r="B243" s="1" t="s">
        <v>192</v>
      </c>
      <c r="C243" s="1" t="s">
        <v>193</v>
      </c>
      <c r="D243" s="1" t="s">
        <v>85</v>
      </c>
      <c r="E243" s="1" t="s">
        <v>74</v>
      </c>
      <c r="F243" s="1" t="s">
        <v>48</v>
      </c>
      <c r="G243" s="2">
        <v>70.17</v>
      </c>
      <c r="H243" s="1">
        <v>16</v>
      </c>
      <c r="I243" s="1">
        <v>131</v>
      </c>
      <c r="J243" s="1">
        <v>113</v>
      </c>
      <c r="K243" s="1">
        <v>114</v>
      </c>
      <c r="L243" s="1">
        <v>79</v>
      </c>
      <c r="M243" s="1" t="s">
        <v>49</v>
      </c>
      <c r="N243" s="1" t="s">
        <v>32</v>
      </c>
      <c r="O243" s="1" t="s">
        <v>207</v>
      </c>
      <c r="P243" s="2">
        <v>49.12</v>
      </c>
      <c r="Q243" s="1" t="str">
        <f t="shared" si="9"/>
        <v>NO</v>
      </c>
      <c r="R243" s="2">
        <f t="shared" si="10"/>
        <v>70.17</v>
      </c>
      <c r="S243" s="2">
        <f>J243*G243</f>
        <v>7929.21</v>
      </c>
      <c r="T243" s="1">
        <f t="shared" ca="1" si="11"/>
        <v>98</v>
      </c>
      <c r="U243" s="1" t="s">
        <v>34</v>
      </c>
      <c r="V243" s="1" t="s">
        <v>34</v>
      </c>
      <c r="W243" s="1" t="s">
        <v>34</v>
      </c>
      <c r="X243" s="1" t="s">
        <v>2696</v>
      </c>
      <c r="Y243" s="1">
        <v>6.5</v>
      </c>
    </row>
    <row r="244" spans="1:25" x14ac:dyDescent="0.3">
      <c r="A244" s="1" t="s">
        <v>427</v>
      </c>
      <c r="B244" s="1" t="s">
        <v>95</v>
      </c>
      <c r="C244" s="1" t="s">
        <v>96</v>
      </c>
      <c r="D244" s="1" t="s">
        <v>97</v>
      </c>
      <c r="E244" s="1" t="s">
        <v>74</v>
      </c>
      <c r="F244" s="1" t="s">
        <v>30</v>
      </c>
      <c r="G244" s="2">
        <v>474.86</v>
      </c>
      <c r="H244" s="1">
        <v>16</v>
      </c>
      <c r="I244" s="1">
        <v>144</v>
      </c>
      <c r="J244" s="1">
        <v>115</v>
      </c>
      <c r="K244" s="1">
        <v>46</v>
      </c>
      <c r="L244" s="1">
        <v>131</v>
      </c>
      <c r="M244" s="1" t="s">
        <v>31</v>
      </c>
      <c r="N244" s="1" t="s">
        <v>42</v>
      </c>
      <c r="O244" s="1" t="s">
        <v>340</v>
      </c>
      <c r="P244" s="2">
        <v>332.4</v>
      </c>
      <c r="Q244" s="1" t="str">
        <f t="shared" si="9"/>
        <v>YES</v>
      </c>
      <c r="R244" s="2">
        <f t="shared" si="10"/>
        <v>427.37400000000002</v>
      </c>
      <c r="S244" s="2">
        <f>J244*G244</f>
        <v>54608.9</v>
      </c>
      <c r="T244" s="1">
        <f t="shared" ca="1" si="11"/>
        <v>138</v>
      </c>
      <c r="U244" s="1" t="s">
        <v>34</v>
      </c>
      <c r="V244" s="1" t="s">
        <v>34</v>
      </c>
      <c r="W244" s="1" t="s">
        <v>34</v>
      </c>
      <c r="X244" s="1" t="s">
        <v>2697</v>
      </c>
      <c r="Y244" s="1">
        <v>7</v>
      </c>
    </row>
    <row r="245" spans="1:25" x14ac:dyDescent="0.3">
      <c r="A245" s="1" t="s">
        <v>428</v>
      </c>
      <c r="B245" s="1" t="s">
        <v>77</v>
      </c>
      <c r="C245" s="1" t="s">
        <v>78</v>
      </c>
      <c r="D245" s="1" t="s">
        <v>47</v>
      </c>
      <c r="E245" s="1" t="s">
        <v>74</v>
      </c>
      <c r="F245" s="1" t="s">
        <v>54</v>
      </c>
      <c r="G245" s="2">
        <v>111.96</v>
      </c>
      <c r="H245" s="1">
        <v>25</v>
      </c>
      <c r="I245" s="1">
        <v>83</v>
      </c>
      <c r="J245" s="1">
        <v>74</v>
      </c>
      <c r="K245" s="1">
        <v>42</v>
      </c>
      <c r="L245" s="1">
        <v>150</v>
      </c>
      <c r="M245" s="1" t="s">
        <v>49</v>
      </c>
      <c r="N245" s="1" t="s">
        <v>42</v>
      </c>
      <c r="O245" s="1" t="s">
        <v>137</v>
      </c>
      <c r="P245" s="2">
        <v>78.37</v>
      </c>
      <c r="Q245" s="1" t="str">
        <f t="shared" si="9"/>
        <v>YES</v>
      </c>
      <c r="R245" s="2">
        <f t="shared" si="10"/>
        <v>100.764</v>
      </c>
      <c r="S245" s="2">
        <f>J245*G245</f>
        <v>8285.0399999999991</v>
      </c>
      <c r="T245" s="1">
        <f t="shared" ca="1" si="11"/>
        <v>107</v>
      </c>
      <c r="U245" s="1" t="s">
        <v>34</v>
      </c>
      <c r="V245" s="1" t="s">
        <v>34</v>
      </c>
      <c r="W245" s="1" t="s">
        <v>34</v>
      </c>
      <c r="X245" s="1" t="s">
        <v>2698</v>
      </c>
      <c r="Y245" s="1">
        <v>7.5</v>
      </c>
    </row>
    <row r="246" spans="1:25" x14ac:dyDescent="0.3">
      <c r="A246" s="1" t="s">
        <v>429</v>
      </c>
      <c r="B246" s="1" t="s">
        <v>83</v>
      </c>
      <c r="C246" s="1" t="s">
        <v>84</v>
      </c>
      <c r="D246" s="1" t="s">
        <v>85</v>
      </c>
      <c r="E246" s="1" t="s">
        <v>74</v>
      </c>
      <c r="F246" s="1" t="s">
        <v>48</v>
      </c>
      <c r="G246" s="2">
        <v>422.86</v>
      </c>
      <c r="H246" s="1">
        <v>6</v>
      </c>
      <c r="I246" s="1">
        <v>87</v>
      </c>
      <c r="J246" s="1">
        <v>70</v>
      </c>
      <c r="K246" s="1">
        <v>71</v>
      </c>
      <c r="L246" s="1">
        <v>111</v>
      </c>
      <c r="M246" s="1" t="s">
        <v>41</v>
      </c>
      <c r="N246" s="1" t="s">
        <v>42</v>
      </c>
      <c r="O246" s="1" t="s">
        <v>311</v>
      </c>
      <c r="P246" s="2">
        <v>296</v>
      </c>
      <c r="Q246" s="1" t="str">
        <f t="shared" si="9"/>
        <v>NO</v>
      </c>
      <c r="R246" s="2">
        <f t="shared" si="10"/>
        <v>422.86</v>
      </c>
      <c r="S246" s="2">
        <f>J246*G246</f>
        <v>29600.2</v>
      </c>
      <c r="T246" s="1">
        <f t="shared" ca="1" si="11"/>
        <v>80</v>
      </c>
      <c r="U246" s="1" t="s">
        <v>34</v>
      </c>
      <c r="V246" s="1" t="s">
        <v>34</v>
      </c>
      <c r="W246" s="1" t="s">
        <v>34</v>
      </c>
      <c r="X246" s="1" t="s">
        <v>2699</v>
      </c>
      <c r="Y246" s="1">
        <v>8</v>
      </c>
    </row>
    <row r="247" spans="1:25" x14ac:dyDescent="0.3">
      <c r="A247" s="1" t="s">
        <v>430</v>
      </c>
      <c r="B247" s="1" t="s">
        <v>126</v>
      </c>
      <c r="C247" s="1" t="s">
        <v>127</v>
      </c>
      <c r="D247" s="1" t="s">
        <v>85</v>
      </c>
      <c r="E247" s="1" t="s">
        <v>29</v>
      </c>
      <c r="F247" s="1" t="s">
        <v>54</v>
      </c>
      <c r="G247" s="2">
        <v>113.21</v>
      </c>
      <c r="H247" s="1">
        <v>18</v>
      </c>
      <c r="I247" s="1">
        <v>201</v>
      </c>
      <c r="J247" s="1">
        <v>172</v>
      </c>
      <c r="K247" s="1">
        <v>48</v>
      </c>
      <c r="L247" s="1">
        <v>61</v>
      </c>
      <c r="M247" s="1" t="s">
        <v>49</v>
      </c>
      <c r="N247" s="1" t="s">
        <v>42</v>
      </c>
      <c r="O247" s="1" t="s">
        <v>361</v>
      </c>
      <c r="P247" s="2">
        <v>79.25</v>
      </c>
      <c r="Q247" s="1" t="str">
        <f t="shared" si="9"/>
        <v>YES</v>
      </c>
      <c r="R247" s="2">
        <f t="shared" si="10"/>
        <v>101.889</v>
      </c>
      <c r="S247" s="2">
        <f>J247*G247</f>
        <v>19472.12</v>
      </c>
      <c r="T247" s="1">
        <f t="shared" ca="1" si="11"/>
        <v>99</v>
      </c>
      <c r="U247" s="1" t="s">
        <v>34</v>
      </c>
      <c r="V247" s="1" t="s">
        <v>34</v>
      </c>
      <c r="W247" s="1" t="s">
        <v>34</v>
      </c>
      <c r="X247" s="1" t="s">
        <v>2555</v>
      </c>
      <c r="Y247" s="1">
        <v>8.5</v>
      </c>
    </row>
    <row r="248" spans="1:25" x14ac:dyDescent="0.3">
      <c r="A248" s="1" t="s">
        <v>431</v>
      </c>
      <c r="B248" s="1" t="s">
        <v>197</v>
      </c>
      <c r="C248" s="1" t="s">
        <v>198</v>
      </c>
      <c r="D248" s="1" t="s">
        <v>104</v>
      </c>
      <c r="E248" s="1" t="s">
        <v>40</v>
      </c>
      <c r="F248" s="1" t="s">
        <v>30</v>
      </c>
      <c r="G248" s="2">
        <v>48.35</v>
      </c>
      <c r="H248" s="1">
        <v>4</v>
      </c>
      <c r="I248" s="1">
        <v>104</v>
      </c>
      <c r="J248" s="1">
        <v>104</v>
      </c>
      <c r="K248" s="1">
        <v>67</v>
      </c>
      <c r="L248" s="1">
        <v>53</v>
      </c>
      <c r="M248" s="1" t="s">
        <v>41</v>
      </c>
      <c r="N248" s="1" t="s">
        <v>60</v>
      </c>
      <c r="O248" s="1" t="s">
        <v>35</v>
      </c>
      <c r="P248" s="2">
        <v>33.840000000000003</v>
      </c>
      <c r="Q248" s="1" t="str">
        <f t="shared" si="9"/>
        <v>YES</v>
      </c>
      <c r="R248" s="2">
        <f t="shared" si="10"/>
        <v>43.515000000000001</v>
      </c>
      <c r="S248" s="2">
        <f>J248*G248</f>
        <v>5028.4000000000005</v>
      </c>
      <c r="T248" s="1">
        <f t="shared" ca="1" si="11"/>
        <v>85</v>
      </c>
      <c r="U248" s="1" t="s">
        <v>34</v>
      </c>
      <c r="V248" s="1" t="s">
        <v>34</v>
      </c>
      <c r="W248" s="1" t="s">
        <v>34</v>
      </c>
      <c r="X248" s="1" t="s">
        <v>2700</v>
      </c>
      <c r="Y248" s="1">
        <v>9</v>
      </c>
    </row>
    <row r="249" spans="1:25" x14ac:dyDescent="0.3">
      <c r="A249" s="1" t="s">
        <v>432</v>
      </c>
      <c r="B249" s="1" t="s">
        <v>130</v>
      </c>
      <c r="C249" s="1" t="s">
        <v>131</v>
      </c>
      <c r="D249" s="1" t="s">
        <v>132</v>
      </c>
      <c r="E249" s="1" t="s">
        <v>74</v>
      </c>
      <c r="F249" s="1" t="s">
        <v>54</v>
      </c>
      <c r="G249" s="2">
        <v>115.64</v>
      </c>
      <c r="H249" s="1">
        <v>12</v>
      </c>
      <c r="I249" s="1">
        <v>194</v>
      </c>
      <c r="J249" s="1">
        <v>180</v>
      </c>
      <c r="K249" s="1">
        <v>62</v>
      </c>
      <c r="L249" s="1">
        <v>79</v>
      </c>
      <c r="M249" s="1" t="s">
        <v>49</v>
      </c>
      <c r="N249" s="1" t="s">
        <v>32</v>
      </c>
      <c r="O249" s="1" t="s">
        <v>272</v>
      </c>
      <c r="P249" s="2">
        <v>80.95</v>
      </c>
      <c r="Q249" s="1" t="str">
        <f t="shared" si="9"/>
        <v>YES</v>
      </c>
      <c r="R249" s="2">
        <f t="shared" si="10"/>
        <v>104.07600000000001</v>
      </c>
      <c r="S249" s="2">
        <f>J249*G249</f>
        <v>20815.2</v>
      </c>
      <c r="T249" s="1">
        <f t="shared" ca="1" si="11"/>
        <v>72</v>
      </c>
      <c r="U249" s="1" t="s">
        <v>34</v>
      </c>
      <c r="V249" s="1" t="s">
        <v>34</v>
      </c>
      <c r="W249" s="1" t="s">
        <v>34</v>
      </c>
      <c r="X249" s="1" t="s">
        <v>2701</v>
      </c>
      <c r="Y249" s="1">
        <v>9.5</v>
      </c>
    </row>
    <row r="250" spans="1:25" x14ac:dyDescent="0.3">
      <c r="A250" s="1" t="s">
        <v>433</v>
      </c>
      <c r="B250" s="1" t="s">
        <v>37</v>
      </c>
      <c r="C250" s="1" t="s">
        <v>38</v>
      </c>
      <c r="D250" s="1" t="s">
        <v>39</v>
      </c>
      <c r="E250" s="1" t="s">
        <v>74</v>
      </c>
      <c r="F250" s="1" t="s">
        <v>30</v>
      </c>
      <c r="G250" s="2">
        <v>234.11</v>
      </c>
      <c r="H250" s="1">
        <v>4</v>
      </c>
      <c r="I250" s="1">
        <v>92</v>
      </c>
      <c r="J250" s="1">
        <v>55</v>
      </c>
      <c r="K250" s="1">
        <v>115</v>
      </c>
      <c r="L250" s="1">
        <v>137</v>
      </c>
      <c r="M250" s="1" t="s">
        <v>31</v>
      </c>
      <c r="N250" s="1" t="s">
        <v>42</v>
      </c>
      <c r="O250" s="1" t="s">
        <v>65</v>
      </c>
      <c r="P250" s="2">
        <v>163.88</v>
      </c>
      <c r="Q250" s="1" t="str">
        <f t="shared" si="9"/>
        <v>NO</v>
      </c>
      <c r="R250" s="2">
        <f t="shared" si="10"/>
        <v>234.11</v>
      </c>
      <c r="S250" s="2">
        <f>J250*G250</f>
        <v>12876.050000000001</v>
      </c>
      <c r="T250" s="1">
        <f t="shared" ca="1" si="11"/>
        <v>142</v>
      </c>
      <c r="U250" s="1" t="s">
        <v>34</v>
      </c>
      <c r="V250" s="1" t="s">
        <v>34</v>
      </c>
      <c r="W250" s="1" t="s">
        <v>34</v>
      </c>
      <c r="X250" s="1" t="s">
        <v>2650</v>
      </c>
      <c r="Y250" s="1">
        <v>5</v>
      </c>
    </row>
    <row r="251" spans="1:25" x14ac:dyDescent="0.3">
      <c r="A251" s="1" t="s">
        <v>434</v>
      </c>
      <c r="B251" s="1" t="s">
        <v>72</v>
      </c>
      <c r="C251" s="1" t="s">
        <v>73</v>
      </c>
      <c r="D251" s="1" t="s">
        <v>47</v>
      </c>
      <c r="E251" s="1" t="s">
        <v>29</v>
      </c>
      <c r="F251" s="1" t="s">
        <v>48</v>
      </c>
      <c r="G251" s="2">
        <v>185.33</v>
      </c>
      <c r="H251" s="1">
        <v>6</v>
      </c>
      <c r="I251" s="1">
        <v>192</v>
      </c>
      <c r="J251" s="1">
        <v>181</v>
      </c>
      <c r="K251" s="1">
        <v>97</v>
      </c>
      <c r="L251" s="1">
        <v>56</v>
      </c>
      <c r="M251" s="1" t="s">
        <v>41</v>
      </c>
      <c r="N251" s="1" t="s">
        <v>32</v>
      </c>
      <c r="O251" s="1" t="s">
        <v>164</v>
      </c>
      <c r="P251" s="2">
        <v>129.72999999999999</v>
      </c>
      <c r="Q251" s="1" t="str">
        <f t="shared" si="9"/>
        <v>YES</v>
      </c>
      <c r="R251" s="2">
        <f t="shared" si="10"/>
        <v>166.79700000000003</v>
      </c>
      <c r="S251" s="2">
        <f>J251*G251</f>
        <v>33544.730000000003</v>
      </c>
      <c r="T251" s="1">
        <f t="shared" ca="1" si="11"/>
        <v>126</v>
      </c>
      <c r="U251" s="1" t="s">
        <v>34</v>
      </c>
      <c r="V251" s="1" t="s">
        <v>34</v>
      </c>
      <c r="W251" s="1" t="s">
        <v>34</v>
      </c>
      <c r="X251" s="1" t="s">
        <v>2702</v>
      </c>
      <c r="Y251" s="1">
        <v>5.5</v>
      </c>
    </row>
    <row r="252" spans="1:25" x14ac:dyDescent="0.3">
      <c r="A252" s="1" t="s">
        <v>435</v>
      </c>
      <c r="B252" s="1" t="s">
        <v>102</v>
      </c>
      <c r="C252" s="1" t="s">
        <v>103</v>
      </c>
      <c r="D252" s="1" t="s">
        <v>104</v>
      </c>
      <c r="E252" s="1" t="s">
        <v>74</v>
      </c>
      <c r="F252" s="1" t="s">
        <v>54</v>
      </c>
      <c r="G252" s="2">
        <v>472.88</v>
      </c>
      <c r="H252" s="1">
        <v>0</v>
      </c>
      <c r="I252" s="1">
        <v>274</v>
      </c>
      <c r="J252" s="1">
        <v>234</v>
      </c>
      <c r="K252" s="1">
        <v>85</v>
      </c>
      <c r="L252" s="1">
        <v>91</v>
      </c>
      <c r="M252" s="1" t="s">
        <v>41</v>
      </c>
      <c r="N252" s="1" t="s">
        <v>60</v>
      </c>
      <c r="O252" s="1" t="s">
        <v>284</v>
      </c>
      <c r="P252" s="2">
        <v>331.02</v>
      </c>
      <c r="Q252" s="1" t="str">
        <f t="shared" si="9"/>
        <v>YES</v>
      </c>
      <c r="R252" s="2">
        <f t="shared" si="10"/>
        <v>425.59199999999998</v>
      </c>
      <c r="S252" s="2">
        <f>J252*G252</f>
        <v>110653.92</v>
      </c>
      <c r="T252" s="1">
        <f t="shared" ca="1" si="11"/>
        <v>119</v>
      </c>
      <c r="U252" s="1" t="s">
        <v>34</v>
      </c>
      <c r="V252" s="1" t="s">
        <v>34</v>
      </c>
      <c r="W252" s="1" t="s">
        <v>34</v>
      </c>
      <c r="X252" s="1" t="s">
        <v>2703</v>
      </c>
      <c r="Y252" s="1">
        <v>6</v>
      </c>
    </row>
    <row r="253" spans="1:25" x14ac:dyDescent="0.3">
      <c r="A253" s="1" t="s">
        <v>436</v>
      </c>
      <c r="B253" s="1" t="s">
        <v>52</v>
      </c>
      <c r="C253" s="1" t="s">
        <v>53</v>
      </c>
      <c r="D253" s="1" t="s">
        <v>47</v>
      </c>
      <c r="E253" s="1" t="s">
        <v>40</v>
      </c>
      <c r="F253" s="1" t="s">
        <v>30</v>
      </c>
      <c r="G253" s="2">
        <v>467.81</v>
      </c>
      <c r="H253" s="1">
        <v>11</v>
      </c>
      <c r="I253" s="1">
        <v>221</v>
      </c>
      <c r="J253" s="1">
        <v>183</v>
      </c>
      <c r="K253" s="1">
        <v>100</v>
      </c>
      <c r="L253" s="1">
        <v>114</v>
      </c>
      <c r="M253" s="1" t="s">
        <v>49</v>
      </c>
      <c r="N253" s="1" t="s">
        <v>42</v>
      </c>
      <c r="O253" s="1" t="s">
        <v>247</v>
      </c>
      <c r="P253" s="2">
        <v>327.47000000000003</v>
      </c>
      <c r="Q253" s="1" t="str">
        <f t="shared" si="9"/>
        <v>YES</v>
      </c>
      <c r="R253" s="2">
        <f t="shared" si="10"/>
        <v>421.029</v>
      </c>
      <c r="S253" s="2">
        <f>J253*G253</f>
        <v>85609.23</v>
      </c>
      <c r="T253" s="1">
        <f t="shared" ca="1" si="11"/>
        <v>125</v>
      </c>
      <c r="U253" s="1" t="s">
        <v>34</v>
      </c>
      <c r="V253" s="1" t="s">
        <v>34</v>
      </c>
      <c r="W253" s="1" t="s">
        <v>34</v>
      </c>
      <c r="X253" s="1" t="s">
        <v>2669</v>
      </c>
      <c r="Y253" s="1">
        <v>6.5</v>
      </c>
    </row>
    <row r="254" spans="1:25" x14ac:dyDescent="0.3">
      <c r="A254" s="1" t="s">
        <v>437</v>
      </c>
      <c r="B254" s="1" t="s">
        <v>130</v>
      </c>
      <c r="C254" s="1" t="s">
        <v>131</v>
      </c>
      <c r="D254" s="1" t="s">
        <v>132</v>
      </c>
      <c r="E254" s="1" t="s">
        <v>74</v>
      </c>
      <c r="F254" s="1" t="s">
        <v>48</v>
      </c>
      <c r="G254" s="2">
        <v>278.86</v>
      </c>
      <c r="H254" s="1">
        <v>14</v>
      </c>
      <c r="I254" s="1">
        <v>273</v>
      </c>
      <c r="J254" s="1">
        <v>271</v>
      </c>
      <c r="K254" s="1">
        <v>86</v>
      </c>
      <c r="L254" s="1">
        <v>73</v>
      </c>
      <c r="M254" s="1" t="s">
        <v>41</v>
      </c>
      <c r="N254" s="1" t="s">
        <v>60</v>
      </c>
      <c r="O254" s="1" t="s">
        <v>209</v>
      </c>
      <c r="P254" s="2">
        <v>195.2</v>
      </c>
      <c r="Q254" s="1" t="str">
        <f t="shared" si="9"/>
        <v>YES</v>
      </c>
      <c r="R254" s="2">
        <f t="shared" si="10"/>
        <v>250.97400000000002</v>
      </c>
      <c r="S254" s="2">
        <f>J254*G254</f>
        <v>75571.06</v>
      </c>
      <c r="T254" s="1">
        <f t="shared" ca="1" si="11"/>
        <v>127</v>
      </c>
      <c r="U254" s="1" t="s">
        <v>34</v>
      </c>
      <c r="V254" s="1" t="s">
        <v>34</v>
      </c>
      <c r="W254" s="1" t="s">
        <v>34</v>
      </c>
      <c r="X254" s="1" t="s">
        <v>2521</v>
      </c>
      <c r="Y254" s="1">
        <v>7</v>
      </c>
    </row>
    <row r="255" spans="1:25" x14ac:dyDescent="0.3">
      <c r="A255" s="1" t="s">
        <v>438</v>
      </c>
      <c r="B255" s="1" t="s">
        <v>45</v>
      </c>
      <c r="C255" s="1" t="s">
        <v>46</v>
      </c>
      <c r="D255" s="1" t="s">
        <v>47</v>
      </c>
      <c r="E255" s="1" t="s">
        <v>74</v>
      </c>
      <c r="F255" s="1" t="s">
        <v>30</v>
      </c>
      <c r="G255" s="2">
        <v>439.83</v>
      </c>
      <c r="H255" s="1">
        <v>11</v>
      </c>
      <c r="I255" s="1">
        <v>139</v>
      </c>
      <c r="J255" s="1">
        <v>106</v>
      </c>
      <c r="K255" s="1">
        <v>41</v>
      </c>
      <c r="L255" s="1">
        <v>97</v>
      </c>
      <c r="M255" s="1" t="s">
        <v>41</v>
      </c>
      <c r="N255" s="1" t="s">
        <v>60</v>
      </c>
      <c r="O255" s="1" t="s">
        <v>86</v>
      </c>
      <c r="P255" s="2">
        <v>307.88</v>
      </c>
      <c r="Q255" s="1" t="str">
        <f t="shared" si="9"/>
        <v>YES</v>
      </c>
      <c r="R255" s="2">
        <f t="shared" si="10"/>
        <v>395.84699999999998</v>
      </c>
      <c r="S255" s="2">
        <f>J255*G255</f>
        <v>46621.979999999996</v>
      </c>
      <c r="T255" s="1">
        <f t="shared" ca="1" si="11"/>
        <v>121</v>
      </c>
      <c r="U255" s="1" t="s">
        <v>34</v>
      </c>
      <c r="V255" s="1" t="s">
        <v>34</v>
      </c>
      <c r="W255" s="1" t="s">
        <v>34</v>
      </c>
      <c r="X255" s="1" t="s">
        <v>2677</v>
      </c>
      <c r="Y255" s="1">
        <v>7.5</v>
      </c>
    </row>
    <row r="256" spans="1:25" x14ac:dyDescent="0.3">
      <c r="A256" s="1" t="s">
        <v>439</v>
      </c>
      <c r="B256" s="1" t="s">
        <v>37</v>
      </c>
      <c r="C256" s="1" t="s">
        <v>38</v>
      </c>
      <c r="D256" s="1" t="s">
        <v>39</v>
      </c>
      <c r="E256" s="1" t="s">
        <v>40</v>
      </c>
      <c r="F256" s="1" t="s">
        <v>54</v>
      </c>
      <c r="G256" s="2">
        <v>385.83</v>
      </c>
      <c r="H256" s="1">
        <v>10</v>
      </c>
      <c r="I256" s="1">
        <v>183</v>
      </c>
      <c r="J256" s="1">
        <v>163</v>
      </c>
      <c r="K256" s="1">
        <v>45</v>
      </c>
      <c r="L256" s="1">
        <v>96</v>
      </c>
      <c r="M256" s="1" t="s">
        <v>41</v>
      </c>
      <c r="N256" s="1" t="s">
        <v>42</v>
      </c>
      <c r="O256" s="1" t="s">
        <v>266</v>
      </c>
      <c r="P256" s="2">
        <v>270.08</v>
      </c>
      <c r="Q256" s="1" t="str">
        <f t="shared" si="9"/>
        <v>YES</v>
      </c>
      <c r="R256" s="2">
        <f t="shared" si="10"/>
        <v>347.24700000000001</v>
      </c>
      <c r="S256" s="2">
        <f>J256*G256</f>
        <v>62890.29</v>
      </c>
      <c r="T256" s="1">
        <f t="shared" ca="1" si="11"/>
        <v>139</v>
      </c>
      <c r="U256" s="1" t="s">
        <v>34</v>
      </c>
      <c r="V256" s="1" t="s">
        <v>34</v>
      </c>
      <c r="W256" s="1" t="s">
        <v>34</v>
      </c>
      <c r="X256" s="1" t="s">
        <v>2704</v>
      </c>
      <c r="Y256" s="1">
        <v>8</v>
      </c>
    </row>
    <row r="257" spans="1:25" x14ac:dyDescent="0.3">
      <c r="A257" s="1" t="s">
        <v>440</v>
      </c>
      <c r="B257" s="1" t="s">
        <v>126</v>
      </c>
      <c r="C257" s="1" t="s">
        <v>127</v>
      </c>
      <c r="D257" s="1" t="s">
        <v>85</v>
      </c>
      <c r="E257" s="1" t="s">
        <v>40</v>
      </c>
      <c r="F257" s="1" t="s">
        <v>30</v>
      </c>
      <c r="G257" s="2">
        <v>330.15</v>
      </c>
      <c r="H257" s="1">
        <v>6</v>
      </c>
      <c r="I257" s="1">
        <v>262</v>
      </c>
      <c r="J257" s="1">
        <v>238</v>
      </c>
      <c r="K257" s="1">
        <v>77</v>
      </c>
      <c r="L257" s="1">
        <v>111</v>
      </c>
      <c r="M257" s="1" t="s">
        <v>41</v>
      </c>
      <c r="N257" s="1" t="s">
        <v>42</v>
      </c>
      <c r="O257" s="1" t="s">
        <v>150</v>
      </c>
      <c r="P257" s="2">
        <v>231.1</v>
      </c>
      <c r="Q257" s="1" t="str">
        <f t="shared" si="9"/>
        <v>YES</v>
      </c>
      <c r="R257" s="2">
        <f t="shared" si="10"/>
        <v>297.13499999999999</v>
      </c>
      <c r="S257" s="2">
        <f>J257*G257</f>
        <v>78575.7</v>
      </c>
      <c r="T257" s="1">
        <f t="shared" ca="1" si="11"/>
        <v>116</v>
      </c>
      <c r="U257" s="1" t="s">
        <v>34</v>
      </c>
      <c r="V257" s="1" t="s">
        <v>34</v>
      </c>
      <c r="W257" s="1" t="s">
        <v>34</v>
      </c>
      <c r="X257" s="1" t="s">
        <v>2576</v>
      </c>
      <c r="Y257" s="1">
        <v>8.5</v>
      </c>
    </row>
    <row r="258" spans="1:25" x14ac:dyDescent="0.3">
      <c r="A258" s="1" t="s">
        <v>441</v>
      </c>
      <c r="B258" s="1" t="s">
        <v>72</v>
      </c>
      <c r="C258" s="1" t="s">
        <v>73</v>
      </c>
      <c r="D258" s="1" t="s">
        <v>47</v>
      </c>
      <c r="E258" s="1" t="s">
        <v>40</v>
      </c>
      <c r="F258" s="1" t="s">
        <v>48</v>
      </c>
      <c r="G258" s="2">
        <v>318.5</v>
      </c>
      <c r="H258" s="1">
        <v>17</v>
      </c>
      <c r="I258" s="1">
        <v>264</v>
      </c>
      <c r="J258" s="1">
        <v>260</v>
      </c>
      <c r="K258" s="1">
        <v>90</v>
      </c>
      <c r="L258" s="1">
        <v>61</v>
      </c>
      <c r="M258" s="1" t="s">
        <v>41</v>
      </c>
      <c r="N258" s="1" t="s">
        <v>42</v>
      </c>
      <c r="O258" s="1" t="s">
        <v>161</v>
      </c>
      <c r="P258" s="2">
        <v>222.95</v>
      </c>
      <c r="Q258" s="1" t="str">
        <f t="shared" ref="Q258:Q321" si="12">IF(J258&gt;K258,"YES","NO")</f>
        <v>YES</v>
      </c>
      <c r="R258" s="2">
        <f t="shared" ref="R258:R321" si="13">IF(Q258="YES",G258*0.9,G258)</f>
        <v>286.65000000000003</v>
      </c>
      <c r="S258" s="2">
        <f>J258*G258</f>
        <v>82810</v>
      </c>
      <c r="T258" s="1">
        <f t="shared" ref="T258:T321" ca="1" si="14">TODAY()-DATE(MID(O258,7,4),MID(O258,4,2),LEFT(O258,2))</f>
        <v>69</v>
      </c>
      <c r="U258" s="1" t="s">
        <v>34</v>
      </c>
      <c r="V258" s="1" t="s">
        <v>34</v>
      </c>
      <c r="W258" s="1" t="s">
        <v>34</v>
      </c>
      <c r="X258" s="1" t="s">
        <v>2705</v>
      </c>
      <c r="Y258" s="1">
        <v>9</v>
      </c>
    </row>
    <row r="259" spans="1:25" x14ac:dyDescent="0.3">
      <c r="A259" s="1" t="s">
        <v>442</v>
      </c>
      <c r="B259" s="1" t="s">
        <v>83</v>
      </c>
      <c r="C259" s="1" t="s">
        <v>84</v>
      </c>
      <c r="D259" s="1" t="s">
        <v>85</v>
      </c>
      <c r="E259" s="1" t="s">
        <v>40</v>
      </c>
      <c r="F259" s="1" t="s">
        <v>54</v>
      </c>
      <c r="G259" s="2">
        <v>349.01</v>
      </c>
      <c r="H259" s="1">
        <v>3</v>
      </c>
      <c r="I259" s="1">
        <v>98</v>
      </c>
      <c r="J259" s="1">
        <v>94</v>
      </c>
      <c r="K259" s="1">
        <v>78</v>
      </c>
      <c r="L259" s="1">
        <v>149</v>
      </c>
      <c r="M259" s="1" t="s">
        <v>41</v>
      </c>
      <c r="N259" s="1" t="s">
        <v>60</v>
      </c>
      <c r="O259" s="1" t="s">
        <v>75</v>
      </c>
      <c r="P259" s="2">
        <v>244.31</v>
      </c>
      <c r="Q259" s="1" t="str">
        <f t="shared" si="12"/>
        <v>YES</v>
      </c>
      <c r="R259" s="2">
        <f t="shared" si="13"/>
        <v>314.10899999999998</v>
      </c>
      <c r="S259" s="2">
        <f>J259*G259</f>
        <v>32806.94</v>
      </c>
      <c r="T259" s="1">
        <f t="shared" ca="1" si="14"/>
        <v>123</v>
      </c>
      <c r="U259" s="1" t="s">
        <v>34</v>
      </c>
      <c r="V259" s="1" t="s">
        <v>34</v>
      </c>
      <c r="W259" s="1" t="s">
        <v>34</v>
      </c>
      <c r="X259" s="1" t="s">
        <v>2572</v>
      </c>
      <c r="Y259" s="1">
        <v>9.5</v>
      </c>
    </row>
    <row r="260" spans="1:25" x14ac:dyDescent="0.3">
      <c r="A260" s="1" t="s">
        <v>443</v>
      </c>
      <c r="B260" s="1" t="s">
        <v>176</v>
      </c>
      <c r="C260" s="1" t="s">
        <v>177</v>
      </c>
      <c r="D260" s="1" t="s">
        <v>39</v>
      </c>
      <c r="E260" s="1" t="s">
        <v>74</v>
      </c>
      <c r="F260" s="1" t="s">
        <v>30</v>
      </c>
      <c r="G260" s="2">
        <v>430.33</v>
      </c>
      <c r="H260" s="1">
        <v>22</v>
      </c>
      <c r="I260" s="1">
        <v>125</v>
      </c>
      <c r="J260" s="1">
        <v>87</v>
      </c>
      <c r="K260" s="1">
        <v>100</v>
      </c>
      <c r="L260" s="1">
        <v>94</v>
      </c>
      <c r="M260" s="1" t="s">
        <v>49</v>
      </c>
      <c r="N260" s="1" t="s">
        <v>32</v>
      </c>
      <c r="O260" s="1" t="s">
        <v>185</v>
      </c>
      <c r="P260" s="2">
        <v>301.23</v>
      </c>
      <c r="Q260" s="1" t="str">
        <f t="shared" si="12"/>
        <v>NO</v>
      </c>
      <c r="R260" s="2">
        <f t="shared" si="13"/>
        <v>430.33</v>
      </c>
      <c r="S260" s="2">
        <f>J260*G260</f>
        <v>37438.71</v>
      </c>
      <c r="T260" s="1">
        <f t="shared" ca="1" si="14"/>
        <v>104</v>
      </c>
      <c r="U260" s="1" t="s">
        <v>34</v>
      </c>
      <c r="V260" s="1" t="s">
        <v>34</v>
      </c>
      <c r="W260" s="1" t="s">
        <v>34</v>
      </c>
      <c r="X260" s="1" t="s">
        <v>2585</v>
      </c>
      <c r="Y260" s="1">
        <v>5</v>
      </c>
    </row>
    <row r="261" spans="1:25" x14ac:dyDescent="0.3">
      <c r="A261" s="1" t="s">
        <v>444</v>
      </c>
      <c r="B261" s="1" t="s">
        <v>95</v>
      </c>
      <c r="C261" s="1" t="s">
        <v>96</v>
      </c>
      <c r="D261" s="1" t="s">
        <v>97</v>
      </c>
      <c r="E261" s="1" t="s">
        <v>40</v>
      </c>
      <c r="F261" s="1" t="s">
        <v>48</v>
      </c>
      <c r="G261" s="2">
        <v>379.24</v>
      </c>
      <c r="H261" s="1">
        <v>0</v>
      </c>
      <c r="I261" s="1">
        <v>233</v>
      </c>
      <c r="J261" s="1">
        <v>228</v>
      </c>
      <c r="K261" s="1">
        <v>83</v>
      </c>
      <c r="L261" s="1">
        <v>72</v>
      </c>
      <c r="M261" s="1" t="s">
        <v>49</v>
      </c>
      <c r="N261" s="1" t="s">
        <v>60</v>
      </c>
      <c r="O261" s="1" t="s">
        <v>212</v>
      </c>
      <c r="P261" s="2">
        <v>265.47000000000003</v>
      </c>
      <c r="Q261" s="1" t="str">
        <f t="shared" si="12"/>
        <v>YES</v>
      </c>
      <c r="R261" s="2">
        <f t="shared" si="13"/>
        <v>341.31600000000003</v>
      </c>
      <c r="S261" s="2">
        <f>J261*G261</f>
        <v>86466.72</v>
      </c>
      <c r="T261" s="1">
        <f t="shared" ca="1" si="14"/>
        <v>78</v>
      </c>
      <c r="U261" s="1" t="s">
        <v>34</v>
      </c>
      <c r="V261" s="1" t="s">
        <v>34</v>
      </c>
      <c r="W261" s="1" t="s">
        <v>34</v>
      </c>
      <c r="X261" s="1" t="s">
        <v>2706</v>
      </c>
      <c r="Y261" s="1">
        <v>5.5</v>
      </c>
    </row>
    <row r="262" spans="1:25" x14ac:dyDescent="0.3">
      <c r="A262" s="1" t="s">
        <v>445</v>
      </c>
      <c r="B262" s="1" t="s">
        <v>176</v>
      </c>
      <c r="C262" s="1" t="s">
        <v>177</v>
      </c>
      <c r="D262" s="1" t="s">
        <v>39</v>
      </c>
      <c r="E262" s="1" t="s">
        <v>29</v>
      </c>
      <c r="F262" s="1" t="s">
        <v>48</v>
      </c>
      <c r="G262" s="2">
        <v>251.17</v>
      </c>
      <c r="H262" s="1">
        <v>25</v>
      </c>
      <c r="I262" s="1">
        <v>186</v>
      </c>
      <c r="J262" s="1">
        <v>156</v>
      </c>
      <c r="K262" s="1">
        <v>77</v>
      </c>
      <c r="L262" s="1">
        <v>51</v>
      </c>
      <c r="M262" s="1" t="s">
        <v>31</v>
      </c>
      <c r="N262" s="1" t="s">
        <v>42</v>
      </c>
      <c r="O262" s="1" t="s">
        <v>207</v>
      </c>
      <c r="P262" s="2">
        <v>175.82</v>
      </c>
      <c r="Q262" s="1" t="str">
        <f t="shared" si="12"/>
        <v>YES</v>
      </c>
      <c r="R262" s="2">
        <f t="shared" si="13"/>
        <v>226.053</v>
      </c>
      <c r="S262" s="2">
        <f>J262*G262</f>
        <v>39182.519999999997</v>
      </c>
      <c r="T262" s="1">
        <f t="shared" ca="1" si="14"/>
        <v>98</v>
      </c>
      <c r="U262" s="1" t="s">
        <v>34</v>
      </c>
      <c r="V262" s="1" t="s">
        <v>34</v>
      </c>
      <c r="W262" s="1" t="s">
        <v>34</v>
      </c>
      <c r="X262" s="1" t="s">
        <v>2631</v>
      </c>
      <c r="Y262" s="1">
        <v>6</v>
      </c>
    </row>
    <row r="263" spans="1:25" x14ac:dyDescent="0.3">
      <c r="A263" s="1" t="s">
        <v>446</v>
      </c>
      <c r="B263" s="1" t="s">
        <v>262</v>
      </c>
      <c r="C263" s="1" t="s">
        <v>263</v>
      </c>
      <c r="D263" s="1" t="s">
        <v>104</v>
      </c>
      <c r="E263" s="1" t="s">
        <v>40</v>
      </c>
      <c r="F263" s="1" t="s">
        <v>48</v>
      </c>
      <c r="G263" s="2">
        <v>448.37</v>
      </c>
      <c r="H263" s="1">
        <v>16</v>
      </c>
      <c r="I263" s="1">
        <v>89</v>
      </c>
      <c r="J263" s="1">
        <v>73</v>
      </c>
      <c r="K263" s="1">
        <v>44</v>
      </c>
      <c r="L263" s="1">
        <v>92</v>
      </c>
      <c r="M263" s="1" t="s">
        <v>49</v>
      </c>
      <c r="N263" s="1" t="s">
        <v>42</v>
      </c>
      <c r="O263" s="1" t="s">
        <v>292</v>
      </c>
      <c r="P263" s="2">
        <v>313.86</v>
      </c>
      <c r="Q263" s="1" t="str">
        <f t="shared" si="12"/>
        <v>YES</v>
      </c>
      <c r="R263" s="2">
        <f t="shared" si="13"/>
        <v>403.53300000000002</v>
      </c>
      <c r="S263" s="2">
        <f>J263*G263</f>
        <v>32731.010000000002</v>
      </c>
      <c r="T263" s="1">
        <f t="shared" ca="1" si="14"/>
        <v>83</v>
      </c>
      <c r="U263" s="1" t="s">
        <v>34</v>
      </c>
      <c r="V263" s="1" t="s">
        <v>34</v>
      </c>
      <c r="W263" s="1" t="s">
        <v>34</v>
      </c>
      <c r="X263" s="1" t="s">
        <v>2641</v>
      </c>
      <c r="Y263" s="1">
        <v>6.5</v>
      </c>
    </row>
    <row r="264" spans="1:25" x14ac:dyDescent="0.3">
      <c r="A264" s="1" t="s">
        <v>447</v>
      </c>
      <c r="B264" s="1" t="s">
        <v>237</v>
      </c>
      <c r="C264" s="1" t="s">
        <v>238</v>
      </c>
      <c r="D264" s="1" t="s">
        <v>85</v>
      </c>
      <c r="E264" s="1" t="s">
        <v>40</v>
      </c>
      <c r="F264" s="1" t="s">
        <v>54</v>
      </c>
      <c r="G264" s="2">
        <v>283.85000000000002</v>
      </c>
      <c r="H264" s="1">
        <v>6</v>
      </c>
      <c r="I264" s="1">
        <v>147</v>
      </c>
      <c r="J264" s="1">
        <v>107</v>
      </c>
      <c r="K264" s="1">
        <v>60</v>
      </c>
      <c r="L264" s="1">
        <v>118</v>
      </c>
      <c r="M264" s="1" t="s">
        <v>41</v>
      </c>
      <c r="N264" s="1" t="s">
        <v>32</v>
      </c>
      <c r="O264" s="1" t="s">
        <v>174</v>
      </c>
      <c r="P264" s="2">
        <v>198.69</v>
      </c>
      <c r="Q264" s="1" t="str">
        <f t="shared" si="12"/>
        <v>YES</v>
      </c>
      <c r="R264" s="2">
        <f t="shared" si="13"/>
        <v>255.46500000000003</v>
      </c>
      <c r="S264" s="2">
        <f>J264*G264</f>
        <v>30371.95</v>
      </c>
      <c r="T264" s="1">
        <f t="shared" ca="1" si="14"/>
        <v>88</v>
      </c>
      <c r="U264" s="1" t="s">
        <v>34</v>
      </c>
      <c r="V264" s="1" t="s">
        <v>34</v>
      </c>
      <c r="W264" s="1" t="s">
        <v>34</v>
      </c>
      <c r="X264" s="1" t="s">
        <v>2707</v>
      </c>
      <c r="Y264" s="1">
        <v>7</v>
      </c>
    </row>
    <row r="265" spans="1:25" x14ac:dyDescent="0.3">
      <c r="A265" s="1" t="s">
        <v>448</v>
      </c>
      <c r="B265" s="1" t="s">
        <v>176</v>
      </c>
      <c r="C265" s="1" t="s">
        <v>177</v>
      </c>
      <c r="D265" s="1" t="s">
        <v>39</v>
      </c>
      <c r="E265" s="1" t="s">
        <v>29</v>
      </c>
      <c r="F265" s="1" t="s">
        <v>30</v>
      </c>
      <c r="G265" s="2">
        <v>422.34</v>
      </c>
      <c r="H265" s="1">
        <v>8</v>
      </c>
      <c r="I265" s="1">
        <v>218</v>
      </c>
      <c r="J265" s="1">
        <v>181</v>
      </c>
      <c r="K265" s="1">
        <v>58</v>
      </c>
      <c r="L265" s="1">
        <v>137</v>
      </c>
      <c r="M265" s="1" t="s">
        <v>49</v>
      </c>
      <c r="N265" s="1" t="s">
        <v>32</v>
      </c>
      <c r="O265" s="1" t="s">
        <v>153</v>
      </c>
      <c r="P265" s="2">
        <v>295.64</v>
      </c>
      <c r="Q265" s="1" t="str">
        <f t="shared" si="12"/>
        <v>YES</v>
      </c>
      <c r="R265" s="2">
        <f t="shared" si="13"/>
        <v>380.10599999999999</v>
      </c>
      <c r="S265" s="2">
        <f>J265*G265</f>
        <v>76443.539999999994</v>
      </c>
      <c r="T265" s="1">
        <f t="shared" ca="1" si="14"/>
        <v>135</v>
      </c>
      <c r="U265" s="1" t="s">
        <v>34</v>
      </c>
      <c r="V265" s="1" t="s">
        <v>34</v>
      </c>
      <c r="W265" s="1" t="s">
        <v>34</v>
      </c>
      <c r="X265" s="1" t="s">
        <v>2558</v>
      </c>
      <c r="Y265" s="1">
        <v>7.5</v>
      </c>
    </row>
    <row r="266" spans="1:25" x14ac:dyDescent="0.3">
      <c r="A266" s="1" t="s">
        <v>449</v>
      </c>
      <c r="B266" s="1" t="s">
        <v>111</v>
      </c>
      <c r="C266" s="1" t="s">
        <v>112</v>
      </c>
      <c r="D266" s="1" t="s">
        <v>97</v>
      </c>
      <c r="E266" s="1" t="s">
        <v>40</v>
      </c>
      <c r="F266" s="1" t="s">
        <v>30</v>
      </c>
      <c r="G266" s="2">
        <v>340.19</v>
      </c>
      <c r="H266" s="1">
        <v>4</v>
      </c>
      <c r="I266" s="1">
        <v>292</v>
      </c>
      <c r="J266" s="1">
        <v>286</v>
      </c>
      <c r="K266" s="1">
        <v>43</v>
      </c>
      <c r="L266" s="1">
        <v>89</v>
      </c>
      <c r="M266" s="1" t="s">
        <v>49</v>
      </c>
      <c r="N266" s="1" t="s">
        <v>60</v>
      </c>
      <c r="O266" s="1" t="s">
        <v>257</v>
      </c>
      <c r="P266" s="2">
        <v>238.13</v>
      </c>
      <c r="Q266" s="1" t="str">
        <f t="shared" si="12"/>
        <v>YES</v>
      </c>
      <c r="R266" s="2">
        <f t="shared" si="13"/>
        <v>306.17099999999999</v>
      </c>
      <c r="S266" s="2">
        <f>J266*G266</f>
        <v>97294.34</v>
      </c>
      <c r="T266" s="1">
        <f t="shared" ca="1" si="14"/>
        <v>113</v>
      </c>
      <c r="U266" s="1" t="s">
        <v>34</v>
      </c>
      <c r="V266" s="1" t="s">
        <v>34</v>
      </c>
      <c r="W266" s="1" t="s">
        <v>34</v>
      </c>
      <c r="X266" s="1" t="s">
        <v>2681</v>
      </c>
      <c r="Y266" s="1">
        <v>8</v>
      </c>
    </row>
    <row r="267" spans="1:25" x14ac:dyDescent="0.3">
      <c r="A267" s="1" t="s">
        <v>450</v>
      </c>
      <c r="B267" s="1" t="s">
        <v>192</v>
      </c>
      <c r="C267" s="1" t="s">
        <v>193</v>
      </c>
      <c r="D267" s="1" t="s">
        <v>85</v>
      </c>
      <c r="E267" s="1" t="s">
        <v>40</v>
      </c>
      <c r="F267" s="1" t="s">
        <v>30</v>
      </c>
      <c r="G267" s="2">
        <v>455.15</v>
      </c>
      <c r="H267" s="1">
        <v>11</v>
      </c>
      <c r="I267" s="1">
        <v>272</v>
      </c>
      <c r="J267" s="1">
        <v>268</v>
      </c>
      <c r="K267" s="1">
        <v>58</v>
      </c>
      <c r="L267" s="1">
        <v>59</v>
      </c>
      <c r="M267" s="1" t="s">
        <v>31</v>
      </c>
      <c r="N267" s="1" t="s">
        <v>42</v>
      </c>
      <c r="O267" s="1" t="s">
        <v>227</v>
      </c>
      <c r="P267" s="2">
        <v>318.60000000000002</v>
      </c>
      <c r="Q267" s="1" t="str">
        <f t="shared" si="12"/>
        <v>YES</v>
      </c>
      <c r="R267" s="2">
        <f t="shared" si="13"/>
        <v>409.63499999999999</v>
      </c>
      <c r="S267" s="2">
        <f>J267*G267</f>
        <v>121980.2</v>
      </c>
      <c r="T267" s="1">
        <f t="shared" ca="1" si="14"/>
        <v>132</v>
      </c>
      <c r="U267" s="1" t="s">
        <v>34</v>
      </c>
      <c r="V267" s="1" t="s">
        <v>34</v>
      </c>
      <c r="W267" s="1" t="s">
        <v>34</v>
      </c>
      <c r="X267" s="1" t="s">
        <v>2705</v>
      </c>
      <c r="Y267" s="1">
        <v>8.5</v>
      </c>
    </row>
    <row r="268" spans="1:25" x14ac:dyDescent="0.3">
      <c r="A268" s="1" t="s">
        <v>451</v>
      </c>
      <c r="B268" s="1" t="s">
        <v>52</v>
      </c>
      <c r="C268" s="1" t="s">
        <v>53</v>
      </c>
      <c r="D268" s="1" t="s">
        <v>47</v>
      </c>
      <c r="E268" s="1" t="s">
        <v>40</v>
      </c>
      <c r="F268" s="1" t="s">
        <v>54</v>
      </c>
      <c r="G268" s="2">
        <v>313.89</v>
      </c>
      <c r="H268" s="1">
        <v>4</v>
      </c>
      <c r="I268" s="1">
        <v>226</v>
      </c>
      <c r="J268" s="1">
        <v>198</v>
      </c>
      <c r="K268" s="1">
        <v>105</v>
      </c>
      <c r="L268" s="1">
        <v>135</v>
      </c>
      <c r="M268" s="1" t="s">
        <v>49</v>
      </c>
      <c r="N268" s="1" t="s">
        <v>42</v>
      </c>
      <c r="O268" s="1" t="s">
        <v>133</v>
      </c>
      <c r="P268" s="2">
        <v>219.72</v>
      </c>
      <c r="Q268" s="1" t="str">
        <f t="shared" si="12"/>
        <v>YES</v>
      </c>
      <c r="R268" s="2">
        <f t="shared" si="13"/>
        <v>282.50099999999998</v>
      </c>
      <c r="S268" s="2">
        <f>J268*G268</f>
        <v>62150.219999999994</v>
      </c>
      <c r="T268" s="1">
        <f t="shared" ca="1" si="14"/>
        <v>76</v>
      </c>
      <c r="U268" s="1" t="s">
        <v>34</v>
      </c>
      <c r="V268" s="1" t="s">
        <v>34</v>
      </c>
      <c r="W268" s="1" t="s">
        <v>34</v>
      </c>
      <c r="X268" s="1" t="s">
        <v>2662</v>
      </c>
      <c r="Y268" s="1">
        <v>9</v>
      </c>
    </row>
    <row r="269" spans="1:25" x14ac:dyDescent="0.3">
      <c r="A269" s="1" t="s">
        <v>452</v>
      </c>
      <c r="B269" s="1" t="s">
        <v>176</v>
      </c>
      <c r="C269" s="1" t="s">
        <v>177</v>
      </c>
      <c r="D269" s="1" t="s">
        <v>39</v>
      </c>
      <c r="E269" s="1" t="s">
        <v>40</v>
      </c>
      <c r="F269" s="1" t="s">
        <v>54</v>
      </c>
      <c r="G269" s="2">
        <v>171.2</v>
      </c>
      <c r="H269" s="1">
        <v>22</v>
      </c>
      <c r="I269" s="1">
        <v>214</v>
      </c>
      <c r="J269" s="1">
        <v>193</v>
      </c>
      <c r="K269" s="1">
        <v>48</v>
      </c>
      <c r="L269" s="1">
        <v>146</v>
      </c>
      <c r="M269" s="1" t="s">
        <v>41</v>
      </c>
      <c r="N269" s="1" t="s">
        <v>32</v>
      </c>
      <c r="O269" s="1" t="s">
        <v>141</v>
      </c>
      <c r="P269" s="2">
        <v>119.84</v>
      </c>
      <c r="Q269" s="1" t="str">
        <f t="shared" si="12"/>
        <v>YES</v>
      </c>
      <c r="R269" s="2">
        <f t="shared" si="13"/>
        <v>154.07999999999998</v>
      </c>
      <c r="S269" s="2">
        <f>J269*G269</f>
        <v>33041.599999999999</v>
      </c>
      <c r="T269" s="1">
        <f t="shared" ca="1" si="14"/>
        <v>118</v>
      </c>
      <c r="U269" s="1" t="s">
        <v>34</v>
      </c>
      <c r="V269" s="1" t="s">
        <v>34</v>
      </c>
      <c r="W269" s="1" t="s">
        <v>34</v>
      </c>
      <c r="X269" s="1" t="s">
        <v>2613</v>
      </c>
      <c r="Y269" s="1">
        <v>9.5</v>
      </c>
    </row>
    <row r="270" spans="1:25" x14ac:dyDescent="0.3">
      <c r="A270" s="1" t="s">
        <v>453</v>
      </c>
      <c r="B270" s="1" t="s">
        <v>63</v>
      </c>
      <c r="C270" s="1" t="s">
        <v>64</v>
      </c>
      <c r="D270" s="1" t="s">
        <v>28</v>
      </c>
      <c r="E270" s="1" t="s">
        <v>74</v>
      </c>
      <c r="F270" s="1" t="s">
        <v>54</v>
      </c>
      <c r="G270" s="2">
        <v>313.8</v>
      </c>
      <c r="H270" s="1">
        <v>17</v>
      </c>
      <c r="I270" s="1">
        <v>230</v>
      </c>
      <c r="J270" s="1">
        <v>229</v>
      </c>
      <c r="K270" s="1">
        <v>91</v>
      </c>
      <c r="L270" s="1">
        <v>127</v>
      </c>
      <c r="M270" s="1" t="s">
        <v>49</v>
      </c>
      <c r="N270" s="1" t="s">
        <v>42</v>
      </c>
      <c r="O270" s="1" t="s">
        <v>79</v>
      </c>
      <c r="P270" s="2">
        <v>219.66</v>
      </c>
      <c r="Q270" s="1" t="str">
        <f t="shared" si="12"/>
        <v>YES</v>
      </c>
      <c r="R270" s="2">
        <f t="shared" si="13"/>
        <v>282.42</v>
      </c>
      <c r="S270" s="2">
        <f>J270*G270</f>
        <v>71860.2</v>
      </c>
      <c r="T270" s="1">
        <f t="shared" ca="1" si="14"/>
        <v>93</v>
      </c>
      <c r="U270" s="1" t="s">
        <v>34</v>
      </c>
      <c r="V270" s="1" t="s">
        <v>34</v>
      </c>
      <c r="W270" s="1" t="s">
        <v>34</v>
      </c>
      <c r="X270" s="1" t="s">
        <v>2708</v>
      </c>
      <c r="Y270" s="1">
        <v>5</v>
      </c>
    </row>
    <row r="271" spans="1:25" x14ac:dyDescent="0.3">
      <c r="A271" s="1" t="s">
        <v>454</v>
      </c>
      <c r="B271" s="1" t="s">
        <v>77</v>
      </c>
      <c r="C271" s="1" t="s">
        <v>78</v>
      </c>
      <c r="D271" s="1" t="s">
        <v>47</v>
      </c>
      <c r="E271" s="1" t="s">
        <v>40</v>
      </c>
      <c r="F271" s="1" t="s">
        <v>54</v>
      </c>
      <c r="G271" s="2">
        <v>177.3</v>
      </c>
      <c r="H271" s="1">
        <v>23</v>
      </c>
      <c r="I271" s="1">
        <v>128</v>
      </c>
      <c r="J271" s="1">
        <v>107</v>
      </c>
      <c r="K271" s="1">
        <v>111</v>
      </c>
      <c r="L271" s="1">
        <v>65</v>
      </c>
      <c r="M271" s="1" t="s">
        <v>49</v>
      </c>
      <c r="N271" s="1" t="s">
        <v>32</v>
      </c>
      <c r="O271" s="1" t="s">
        <v>455</v>
      </c>
      <c r="P271" s="2">
        <v>124.11</v>
      </c>
      <c r="Q271" s="1" t="str">
        <f t="shared" si="12"/>
        <v>NO</v>
      </c>
      <c r="R271" s="2">
        <f t="shared" si="13"/>
        <v>177.3</v>
      </c>
      <c r="S271" s="2">
        <f>J271*G271</f>
        <v>18971.100000000002</v>
      </c>
      <c r="T271" s="1">
        <f t="shared" ca="1" si="14"/>
        <v>112</v>
      </c>
      <c r="U271" s="1" t="s">
        <v>34</v>
      </c>
      <c r="V271" s="1" t="s">
        <v>34</v>
      </c>
      <c r="W271" s="1" t="s">
        <v>34</v>
      </c>
      <c r="X271" s="1" t="s">
        <v>2657</v>
      </c>
      <c r="Y271" s="1">
        <v>5.5</v>
      </c>
    </row>
    <row r="272" spans="1:25" x14ac:dyDescent="0.3">
      <c r="A272" s="1" t="s">
        <v>456</v>
      </c>
      <c r="B272" s="1" t="s">
        <v>118</v>
      </c>
      <c r="C272" s="1" t="s">
        <v>119</v>
      </c>
      <c r="D272" s="1" t="s">
        <v>97</v>
      </c>
      <c r="E272" s="1" t="s">
        <v>74</v>
      </c>
      <c r="F272" s="1" t="s">
        <v>54</v>
      </c>
      <c r="G272" s="2">
        <v>336.36</v>
      </c>
      <c r="H272" s="1">
        <v>2</v>
      </c>
      <c r="I272" s="1">
        <v>178</v>
      </c>
      <c r="J272" s="1">
        <v>173</v>
      </c>
      <c r="K272" s="1">
        <v>81</v>
      </c>
      <c r="L272" s="1">
        <v>54</v>
      </c>
      <c r="M272" s="1" t="s">
        <v>31</v>
      </c>
      <c r="N272" s="1" t="s">
        <v>42</v>
      </c>
      <c r="O272" s="1" t="s">
        <v>217</v>
      </c>
      <c r="P272" s="2">
        <v>235.45</v>
      </c>
      <c r="Q272" s="1" t="str">
        <f t="shared" si="12"/>
        <v>YES</v>
      </c>
      <c r="R272" s="2">
        <f t="shared" si="13"/>
        <v>302.72400000000005</v>
      </c>
      <c r="S272" s="2">
        <f>J272*G272</f>
        <v>58190.28</v>
      </c>
      <c r="T272" s="1">
        <f t="shared" ca="1" si="14"/>
        <v>100</v>
      </c>
      <c r="U272" s="1" t="s">
        <v>34</v>
      </c>
      <c r="V272" s="1" t="s">
        <v>34</v>
      </c>
      <c r="W272" s="1" t="s">
        <v>34</v>
      </c>
      <c r="X272" s="1" t="s">
        <v>2709</v>
      </c>
      <c r="Y272" s="1">
        <v>6</v>
      </c>
    </row>
    <row r="273" spans="1:25" x14ac:dyDescent="0.3">
      <c r="A273" s="1" t="s">
        <v>457</v>
      </c>
      <c r="B273" s="1" t="s">
        <v>176</v>
      </c>
      <c r="C273" s="1" t="s">
        <v>177</v>
      </c>
      <c r="D273" s="1" t="s">
        <v>39</v>
      </c>
      <c r="E273" s="1" t="s">
        <v>40</v>
      </c>
      <c r="F273" s="1" t="s">
        <v>30</v>
      </c>
      <c r="G273" s="2">
        <v>307.27999999999997</v>
      </c>
      <c r="H273" s="1">
        <v>3</v>
      </c>
      <c r="I273" s="1">
        <v>253</v>
      </c>
      <c r="J273" s="1">
        <v>225</v>
      </c>
      <c r="K273" s="1">
        <v>100</v>
      </c>
      <c r="L273" s="1">
        <v>102</v>
      </c>
      <c r="M273" s="1" t="s">
        <v>31</v>
      </c>
      <c r="N273" s="1" t="s">
        <v>60</v>
      </c>
      <c r="O273" s="1" t="s">
        <v>35</v>
      </c>
      <c r="P273" s="2">
        <v>215.1</v>
      </c>
      <c r="Q273" s="1" t="str">
        <f t="shared" si="12"/>
        <v>YES</v>
      </c>
      <c r="R273" s="2">
        <f t="shared" si="13"/>
        <v>276.55199999999996</v>
      </c>
      <c r="S273" s="2">
        <f>J273*G273</f>
        <v>69138</v>
      </c>
      <c r="T273" s="1">
        <f t="shared" ca="1" si="14"/>
        <v>85</v>
      </c>
      <c r="U273" s="1" t="s">
        <v>34</v>
      </c>
      <c r="V273" s="1" t="s">
        <v>34</v>
      </c>
      <c r="W273" s="1" t="s">
        <v>34</v>
      </c>
      <c r="X273" s="1" t="s">
        <v>2710</v>
      </c>
      <c r="Y273" s="1">
        <v>6.5</v>
      </c>
    </row>
    <row r="274" spans="1:25" x14ac:dyDescent="0.3">
      <c r="A274" s="1" t="s">
        <v>458</v>
      </c>
      <c r="B274" s="1" t="s">
        <v>57</v>
      </c>
      <c r="C274" s="1" t="s">
        <v>58</v>
      </c>
      <c r="D274" s="1" t="s">
        <v>59</v>
      </c>
      <c r="E274" s="1" t="s">
        <v>29</v>
      </c>
      <c r="F274" s="1" t="s">
        <v>30</v>
      </c>
      <c r="G274" s="2">
        <v>314.51</v>
      </c>
      <c r="H274" s="1">
        <v>12</v>
      </c>
      <c r="I274" s="1">
        <v>250</v>
      </c>
      <c r="J274" s="1">
        <v>223</v>
      </c>
      <c r="K274" s="1">
        <v>119</v>
      </c>
      <c r="L274" s="1">
        <v>84</v>
      </c>
      <c r="M274" s="1" t="s">
        <v>49</v>
      </c>
      <c r="N274" s="1" t="s">
        <v>32</v>
      </c>
      <c r="O274" s="1" t="s">
        <v>284</v>
      </c>
      <c r="P274" s="2">
        <v>220.16</v>
      </c>
      <c r="Q274" s="1" t="str">
        <f t="shared" si="12"/>
        <v>YES</v>
      </c>
      <c r="R274" s="2">
        <f t="shared" si="13"/>
        <v>283.05900000000003</v>
      </c>
      <c r="S274" s="2">
        <f>J274*G274</f>
        <v>70135.73</v>
      </c>
      <c r="T274" s="1">
        <f t="shared" ca="1" si="14"/>
        <v>119</v>
      </c>
      <c r="U274" s="1" t="s">
        <v>34</v>
      </c>
      <c r="V274" s="1" t="s">
        <v>34</v>
      </c>
      <c r="W274" s="1" t="s">
        <v>34</v>
      </c>
      <c r="X274" s="1" t="s">
        <v>2516</v>
      </c>
      <c r="Y274" s="1">
        <v>7</v>
      </c>
    </row>
    <row r="275" spans="1:25" x14ac:dyDescent="0.3">
      <c r="A275" s="1" t="s">
        <v>459</v>
      </c>
      <c r="B275" s="1" t="s">
        <v>111</v>
      </c>
      <c r="C275" s="1" t="s">
        <v>112</v>
      </c>
      <c r="D275" s="1" t="s">
        <v>97</v>
      </c>
      <c r="E275" s="1" t="s">
        <v>74</v>
      </c>
      <c r="F275" s="1" t="s">
        <v>48</v>
      </c>
      <c r="G275" s="2">
        <v>330.07</v>
      </c>
      <c r="H275" s="1">
        <v>23</v>
      </c>
      <c r="I275" s="1">
        <v>182</v>
      </c>
      <c r="J275" s="1">
        <v>165</v>
      </c>
      <c r="K275" s="1">
        <v>50</v>
      </c>
      <c r="L275" s="1">
        <v>59</v>
      </c>
      <c r="M275" s="1" t="s">
        <v>41</v>
      </c>
      <c r="N275" s="1" t="s">
        <v>42</v>
      </c>
      <c r="O275" s="1" t="s">
        <v>302</v>
      </c>
      <c r="P275" s="2">
        <v>231.05</v>
      </c>
      <c r="Q275" s="1" t="str">
        <f t="shared" si="12"/>
        <v>YES</v>
      </c>
      <c r="R275" s="2">
        <f t="shared" si="13"/>
        <v>297.06299999999999</v>
      </c>
      <c r="S275" s="2">
        <f>J275*G275</f>
        <v>54461.549999999996</v>
      </c>
      <c r="T275" s="1">
        <f t="shared" ca="1" si="14"/>
        <v>133</v>
      </c>
      <c r="U275" s="1" t="s">
        <v>34</v>
      </c>
      <c r="V275" s="1" t="s">
        <v>34</v>
      </c>
      <c r="W275" s="1" t="s">
        <v>34</v>
      </c>
      <c r="X275" s="1" t="s">
        <v>2711</v>
      </c>
      <c r="Y275" s="1">
        <v>7.5</v>
      </c>
    </row>
    <row r="276" spans="1:25" x14ac:dyDescent="0.3">
      <c r="A276" s="1" t="s">
        <v>460</v>
      </c>
      <c r="B276" s="1" t="s">
        <v>189</v>
      </c>
      <c r="C276" s="1" t="s">
        <v>190</v>
      </c>
      <c r="D276" s="1" t="s">
        <v>59</v>
      </c>
      <c r="E276" s="1" t="s">
        <v>29</v>
      </c>
      <c r="F276" s="1" t="s">
        <v>54</v>
      </c>
      <c r="G276" s="2">
        <v>298.57</v>
      </c>
      <c r="H276" s="1">
        <v>19</v>
      </c>
      <c r="I276" s="1">
        <v>236</v>
      </c>
      <c r="J276" s="1">
        <v>202</v>
      </c>
      <c r="K276" s="1">
        <v>92</v>
      </c>
      <c r="L276" s="1">
        <v>133</v>
      </c>
      <c r="M276" s="1" t="s">
        <v>49</v>
      </c>
      <c r="N276" s="1" t="s">
        <v>32</v>
      </c>
      <c r="O276" s="1" t="s">
        <v>284</v>
      </c>
      <c r="P276" s="2">
        <v>209</v>
      </c>
      <c r="Q276" s="1" t="str">
        <f t="shared" si="12"/>
        <v>YES</v>
      </c>
      <c r="R276" s="2">
        <f t="shared" si="13"/>
        <v>268.71300000000002</v>
      </c>
      <c r="S276" s="2">
        <f>J276*G276</f>
        <v>60311.14</v>
      </c>
      <c r="T276" s="1">
        <f t="shared" ca="1" si="14"/>
        <v>119</v>
      </c>
      <c r="U276" s="1" t="s">
        <v>34</v>
      </c>
      <c r="V276" s="1" t="s">
        <v>34</v>
      </c>
      <c r="W276" s="1" t="s">
        <v>34</v>
      </c>
      <c r="X276" s="1" t="s">
        <v>2523</v>
      </c>
      <c r="Y276" s="1">
        <v>8</v>
      </c>
    </row>
    <row r="277" spans="1:25" x14ac:dyDescent="0.3">
      <c r="A277" s="1" t="s">
        <v>461</v>
      </c>
      <c r="B277" s="1" t="s">
        <v>143</v>
      </c>
      <c r="C277" s="1" t="s">
        <v>144</v>
      </c>
      <c r="D277" s="1" t="s">
        <v>47</v>
      </c>
      <c r="E277" s="1" t="s">
        <v>40</v>
      </c>
      <c r="F277" s="1" t="s">
        <v>48</v>
      </c>
      <c r="G277" s="2">
        <v>71.64</v>
      </c>
      <c r="H277" s="1">
        <v>24</v>
      </c>
      <c r="I277" s="1">
        <v>195</v>
      </c>
      <c r="J277" s="1">
        <v>178</v>
      </c>
      <c r="K277" s="1">
        <v>111</v>
      </c>
      <c r="L277" s="1">
        <v>76</v>
      </c>
      <c r="M277" s="1" t="s">
        <v>41</v>
      </c>
      <c r="N277" s="1" t="s">
        <v>60</v>
      </c>
      <c r="O277" s="1" t="s">
        <v>161</v>
      </c>
      <c r="P277" s="2">
        <v>50.15</v>
      </c>
      <c r="Q277" s="1" t="str">
        <f t="shared" si="12"/>
        <v>YES</v>
      </c>
      <c r="R277" s="2">
        <f t="shared" si="13"/>
        <v>64.475999999999999</v>
      </c>
      <c r="S277" s="2">
        <f>J277*G277</f>
        <v>12751.92</v>
      </c>
      <c r="T277" s="1">
        <f t="shared" ca="1" si="14"/>
        <v>69</v>
      </c>
      <c r="U277" s="1" t="s">
        <v>34</v>
      </c>
      <c r="V277" s="1" t="s">
        <v>34</v>
      </c>
      <c r="W277" s="1" t="s">
        <v>34</v>
      </c>
      <c r="X277" s="1" t="s">
        <v>2712</v>
      </c>
      <c r="Y277" s="1">
        <v>8.5</v>
      </c>
    </row>
    <row r="278" spans="1:25" x14ac:dyDescent="0.3">
      <c r="A278" s="1" t="s">
        <v>462</v>
      </c>
      <c r="B278" s="1" t="s">
        <v>95</v>
      </c>
      <c r="C278" s="1" t="s">
        <v>96</v>
      </c>
      <c r="D278" s="1" t="s">
        <v>97</v>
      </c>
      <c r="E278" s="1" t="s">
        <v>74</v>
      </c>
      <c r="F278" s="1" t="s">
        <v>54</v>
      </c>
      <c r="G278" s="2">
        <v>47.39</v>
      </c>
      <c r="H278" s="1">
        <v>25</v>
      </c>
      <c r="I278" s="1">
        <v>199</v>
      </c>
      <c r="J278" s="1">
        <v>160</v>
      </c>
      <c r="K278" s="1">
        <v>87</v>
      </c>
      <c r="L278" s="1">
        <v>141</v>
      </c>
      <c r="M278" s="1" t="s">
        <v>31</v>
      </c>
      <c r="N278" s="1" t="s">
        <v>60</v>
      </c>
      <c r="O278" s="1" t="s">
        <v>135</v>
      </c>
      <c r="P278" s="2">
        <v>33.17</v>
      </c>
      <c r="Q278" s="1" t="str">
        <f t="shared" si="12"/>
        <v>YES</v>
      </c>
      <c r="R278" s="2">
        <f t="shared" si="13"/>
        <v>42.651000000000003</v>
      </c>
      <c r="S278" s="2">
        <f>J278*G278</f>
        <v>7582.4</v>
      </c>
      <c r="T278" s="1">
        <f t="shared" ca="1" si="14"/>
        <v>71</v>
      </c>
      <c r="U278" s="1" t="s">
        <v>34</v>
      </c>
      <c r="V278" s="1" t="s">
        <v>34</v>
      </c>
      <c r="W278" s="1" t="s">
        <v>34</v>
      </c>
      <c r="X278" s="1" t="s">
        <v>2637</v>
      </c>
      <c r="Y278" s="1">
        <v>9</v>
      </c>
    </row>
    <row r="279" spans="1:25" x14ac:dyDescent="0.3">
      <c r="A279" s="1" t="s">
        <v>463</v>
      </c>
      <c r="B279" s="1" t="s">
        <v>166</v>
      </c>
      <c r="C279" s="1" t="s">
        <v>167</v>
      </c>
      <c r="D279" s="1" t="s">
        <v>59</v>
      </c>
      <c r="E279" s="1" t="s">
        <v>29</v>
      </c>
      <c r="F279" s="1" t="s">
        <v>30</v>
      </c>
      <c r="G279" s="2">
        <v>389.27</v>
      </c>
      <c r="H279" s="1">
        <v>25</v>
      </c>
      <c r="I279" s="1">
        <v>186</v>
      </c>
      <c r="J279" s="1">
        <v>153</v>
      </c>
      <c r="K279" s="1">
        <v>42</v>
      </c>
      <c r="L279" s="1">
        <v>54</v>
      </c>
      <c r="M279" s="1" t="s">
        <v>49</v>
      </c>
      <c r="N279" s="1" t="s">
        <v>60</v>
      </c>
      <c r="O279" s="1" t="s">
        <v>220</v>
      </c>
      <c r="P279" s="2">
        <v>272.49</v>
      </c>
      <c r="Q279" s="1" t="str">
        <f t="shared" si="12"/>
        <v>YES</v>
      </c>
      <c r="R279" s="2">
        <f t="shared" si="13"/>
        <v>350.34300000000002</v>
      </c>
      <c r="S279" s="2">
        <f>J279*G279</f>
        <v>59558.31</v>
      </c>
      <c r="T279" s="1">
        <f t="shared" ca="1" si="14"/>
        <v>106</v>
      </c>
      <c r="U279" s="1" t="s">
        <v>34</v>
      </c>
      <c r="V279" s="1" t="s">
        <v>34</v>
      </c>
      <c r="W279" s="1" t="s">
        <v>34</v>
      </c>
      <c r="X279" s="1" t="s">
        <v>2632</v>
      </c>
      <c r="Y279" s="1">
        <v>9.5</v>
      </c>
    </row>
    <row r="280" spans="1:25" x14ac:dyDescent="0.3">
      <c r="A280" s="1" t="s">
        <v>464</v>
      </c>
      <c r="B280" s="1" t="s">
        <v>107</v>
      </c>
      <c r="C280" s="1" t="s">
        <v>108</v>
      </c>
      <c r="D280" s="1" t="s">
        <v>39</v>
      </c>
      <c r="E280" s="1" t="s">
        <v>40</v>
      </c>
      <c r="F280" s="1" t="s">
        <v>48</v>
      </c>
      <c r="G280" s="2">
        <v>344.18</v>
      </c>
      <c r="H280" s="1">
        <v>21</v>
      </c>
      <c r="I280" s="1">
        <v>149</v>
      </c>
      <c r="J280" s="1">
        <v>112</v>
      </c>
      <c r="K280" s="1">
        <v>81</v>
      </c>
      <c r="L280" s="1">
        <v>59</v>
      </c>
      <c r="M280" s="1" t="s">
        <v>31</v>
      </c>
      <c r="N280" s="1" t="s">
        <v>32</v>
      </c>
      <c r="O280" s="1" t="s">
        <v>284</v>
      </c>
      <c r="P280" s="2">
        <v>240.93</v>
      </c>
      <c r="Q280" s="1" t="str">
        <f t="shared" si="12"/>
        <v>YES</v>
      </c>
      <c r="R280" s="2">
        <f t="shared" si="13"/>
        <v>309.762</v>
      </c>
      <c r="S280" s="2">
        <f>J280*G280</f>
        <v>38548.160000000003</v>
      </c>
      <c r="T280" s="1">
        <f t="shared" ca="1" si="14"/>
        <v>119</v>
      </c>
      <c r="U280" s="1" t="s">
        <v>34</v>
      </c>
      <c r="V280" s="1" t="s">
        <v>34</v>
      </c>
      <c r="W280" s="1" t="s">
        <v>34</v>
      </c>
      <c r="X280" s="1" t="s">
        <v>2554</v>
      </c>
      <c r="Y280" s="1">
        <v>5</v>
      </c>
    </row>
    <row r="281" spans="1:25" x14ac:dyDescent="0.3">
      <c r="A281" s="1" t="s">
        <v>465</v>
      </c>
      <c r="B281" s="1" t="s">
        <v>83</v>
      </c>
      <c r="C281" s="1" t="s">
        <v>84</v>
      </c>
      <c r="D281" s="1" t="s">
        <v>85</v>
      </c>
      <c r="E281" s="1" t="s">
        <v>40</v>
      </c>
      <c r="F281" s="1" t="s">
        <v>54</v>
      </c>
      <c r="G281" s="2">
        <v>459</v>
      </c>
      <c r="H281" s="1">
        <v>13</v>
      </c>
      <c r="I281" s="1">
        <v>251</v>
      </c>
      <c r="J281" s="1">
        <v>233</v>
      </c>
      <c r="K281" s="1">
        <v>75</v>
      </c>
      <c r="L281" s="1">
        <v>91</v>
      </c>
      <c r="M281" s="1" t="s">
        <v>31</v>
      </c>
      <c r="N281" s="1" t="s">
        <v>42</v>
      </c>
      <c r="O281" s="1" t="s">
        <v>159</v>
      </c>
      <c r="P281" s="2">
        <v>321.3</v>
      </c>
      <c r="Q281" s="1" t="str">
        <f t="shared" si="12"/>
        <v>YES</v>
      </c>
      <c r="R281" s="2">
        <f t="shared" si="13"/>
        <v>413.1</v>
      </c>
      <c r="S281" s="2">
        <f>J281*G281</f>
        <v>106947</v>
      </c>
      <c r="T281" s="1">
        <f t="shared" ca="1" si="14"/>
        <v>134</v>
      </c>
      <c r="U281" s="1" t="s">
        <v>34</v>
      </c>
      <c r="V281" s="1" t="s">
        <v>34</v>
      </c>
      <c r="W281" s="1" t="s">
        <v>34</v>
      </c>
      <c r="X281" s="1" t="s">
        <v>2713</v>
      </c>
      <c r="Y281" s="1">
        <v>5.5</v>
      </c>
    </row>
    <row r="282" spans="1:25" x14ac:dyDescent="0.3">
      <c r="A282" s="1" t="s">
        <v>466</v>
      </c>
      <c r="B282" s="1" t="s">
        <v>237</v>
      </c>
      <c r="C282" s="1" t="s">
        <v>238</v>
      </c>
      <c r="D282" s="1" t="s">
        <v>85</v>
      </c>
      <c r="E282" s="1" t="s">
        <v>74</v>
      </c>
      <c r="F282" s="1" t="s">
        <v>54</v>
      </c>
      <c r="G282" s="2">
        <v>172.25</v>
      </c>
      <c r="H282" s="1">
        <v>6</v>
      </c>
      <c r="I282" s="1">
        <v>197</v>
      </c>
      <c r="J282" s="1">
        <v>178</v>
      </c>
      <c r="K282" s="1">
        <v>84</v>
      </c>
      <c r="L282" s="1">
        <v>79</v>
      </c>
      <c r="M282" s="1" t="s">
        <v>49</v>
      </c>
      <c r="N282" s="1" t="s">
        <v>32</v>
      </c>
      <c r="O282" s="1" t="s">
        <v>280</v>
      </c>
      <c r="P282" s="2">
        <v>120.57</v>
      </c>
      <c r="Q282" s="1" t="str">
        <f t="shared" si="12"/>
        <v>YES</v>
      </c>
      <c r="R282" s="2">
        <f t="shared" si="13"/>
        <v>155.02500000000001</v>
      </c>
      <c r="S282" s="2">
        <f>J282*G282</f>
        <v>30660.5</v>
      </c>
      <c r="T282" s="1">
        <f t="shared" ca="1" si="14"/>
        <v>108</v>
      </c>
      <c r="U282" s="1" t="s">
        <v>34</v>
      </c>
      <c r="V282" s="1" t="s">
        <v>34</v>
      </c>
      <c r="W282" s="1" t="s">
        <v>34</v>
      </c>
      <c r="X282" s="1" t="s">
        <v>2714</v>
      </c>
      <c r="Y282" s="1">
        <v>6</v>
      </c>
    </row>
    <row r="283" spans="1:25" x14ac:dyDescent="0.3">
      <c r="A283" s="1" t="s">
        <v>467</v>
      </c>
      <c r="B283" s="1" t="s">
        <v>237</v>
      </c>
      <c r="C283" s="1" t="s">
        <v>238</v>
      </c>
      <c r="D283" s="1" t="s">
        <v>85</v>
      </c>
      <c r="E283" s="1" t="s">
        <v>74</v>
      </c>
      <c r="F283" s="1" t="s">
        <v>54</v>
      </c>
      <c r="G283" s="2">
        <v>258.32</v>
      </c>
      <c r="H283" s="1">
        <v>6</v>
      </c>
      <c r="I283" s="1">
        <v>229</v>
      </c>
      <c r="J283" s="1">
        <v>209</v>
      </c>
      <c r="K283" s="1">
        <v>80</v>
      </c>
      <c r="L283" s="1">
        <v>51</v>
      </c>
      <c r="M283" s="1" t="s">
        <v>31</v>
      </c>
      <c r="N283" s="1" t="s">
        <v>42</v>
      </c>
      <c r="O283" s="1" t="s">
        <v>157</v>
      </c>
      <c r="P283" s="2">
        <v>180.82</v>
      </c>
      <c r="Q283" s="1" t="str">
        <f t="shared" si="12"/>
        <v>YES</v>
      </c>
      <c r="R283" s="2">
        <f t="shared" si="13"/>
        <v>232.488</v>
      </c>
      <c r="S283" s="2">
        <f>J283*G283</f>
        <v>53988.88</v>
      </c>
      <c r="T283" s="1">
        <f t="shared" ca="1" si="14"/>
        <v>103</v>
      </c>
      <c r="U283" s="1" t="s">
        <v>34</v>
      </c>
      <c r="V283" s="1" t="s">
        <v>34</v>
      </c>
      <c r="W283" s="1" t="s">
        <v>34</v>
      </c>
      <c r="X283" s="1" t="s">
        <v>2715</v>
      </c>
      <c r="Y283" s="1">
        <v>6.5</v>
      </c>
    </row>
    <row r="284" spans="1:25" x14ac:dyDescent="0.3">
      <c r="A284" s="1" t="s">
        <v>468</v>
      </c>
      <c r="B284" s="1" t="s">
        <v>107</v>
      </c>
      <c r="C284" s="1" t="s">
        <v>108</v>
      </c>
      <c r="D284" s="1" t="s">
        <v>39</v>
      </c>
      <c r="E284" s="1" t="s">
        <v>29</v>
      </c>
      <c r="F284" s="1" t="s">
        <v>30</v>
      </c>
      <c r="G284" s="2">
        <v>395.53</v>
      </c>
      <c r="H284" s="1">
        <v>24</v>
      </c>
      <c r="I284" s="1">
        <v>129</v>
      </c>
      <c r="J284" s="1">
        <v>104</v>
      </c>
      <c r="K284" s="1">
        <v>49</v>
      </c>
      <c r="L284" s="1">
        <v>104</v>
      </c>
      <c r="M284" s="1" t="s">
        <v>49</v>
      </c>
      <c r="N284" s="1" t="s">
        <v>60</v>
      </c>
      <c r="O284" s="1" t="s">
        <v>128</v>
      </c>
      <c r="P284" s="2">
        <v>276.87</v>
      </c>
      <c r="Q284" s="1" t="str">
        <f t="shared" si="12"/>
        <v>YES</v>
      </c>
      <c r="R284" s="2">
        <f t="shared" si="13"/>
        <v>355.97699999999998</v>
      </c>
      <c r="S284" s="2">
        <f>J284*G284</f>
        <v>41135.119999999995</v>
      </c>
      <c r="T284" s="1">
        <f t="shared" ca="1" si="14"/>
        <v>77</v>
      </c>
      <c r="U284" s="1" t="s">
        <v>34</v>
      </c>
      <c r="V284" s="1" t="s">
        <v>34</v>
      </c>
      <c r="W284" s="1" t="s">
        <v>34</v>
      </c>
      <c r="X284" s="1" t="s">
        <v>2716</v>
      </c>
      <c r="Y284" s="1">
        <v>7</v>
      </c>
    </row>
    <row r="285" spans="1:25" x14ac:dyDescent="0.3">
      <c r="A285" s="1" t="s">
        <v>469</v>
      </c>
      <c r="B285" s="1" t="s">
        <v>189</v>
      </c>
      <c r="C285" s="1" t="s">
        <v>190</v>
      </c>
      <c r="D285" s="1" t="s">
        <v>59</v>
      </c>
      <c r="E285" s="1" t="s">
        <v>40</v>
      </c>
      <c r="F285" s="1" t="s">
        <v>54</v>
      </c>
      <c r="G285" s="2">
        <v>94.1</v>
      </c>
      <c r="H285" s="1">
        <v>3</v>
      </c>
      <c r="I285" s="1">
        <v>282</v>
      </c>
      <c r="J285" s="1">
        <v>280</v>
      </c>
      <c r="K285" s="1">
        <v>95</v>
      </c>
      <c r="L285" s="1">
        <v>139</v>
      </c>
      <c r="M285" s="1" t="s">
        <v>41</v>
      </c>
      <c r="N285" s="1" t="s">
        <v>60</v>
      </c>
      <c r="O285" s="1" t="s">
        <v>98</v>
      </c>
      <c r="P285" s="2">
        <v>65.87</v>
      </c>
      <c r="Q285" s="1" t="str">
        <f t="shared" si="12"/>
        <v>YES</v>
      </c>
      <c r="R285" s="2">
        <f t="shared" si="13"/>
        <v>84.69</v>
      </c>
      <c r="S285" s="2">
        <f>J285*G285</f>
        <v>26348</v>
      </c>
      <c r="T285" s="1">
        <f t="shared" ca="1" si="14"/>
        <v>96</v>
      </c>
      <c r="U285" s="1" t="s">
        <v>34</v>
      </c>
      <c r="V285" s="1" t="s">
        <v>34</v>
      </c>
      <c r="W285" s="1" t="s">
        <v>34</v>
      </c>
      <c r="X285" s="1" t="s">
        <v>2622</v>
      </c>
      <c r="Y285" s="1">
        <v>7.5</v>
      </c>
    </row>
    <row r="286" spans="1:25" x14ac:dyDescent="0.3">
      <c r="A286" s="1" t="s">
        <v>470</v>
      </c>
      <c r="B286" s="1" t="s">
        <v>197</v>
      </c>
      <c r="C286" s="1" t="s">
        <v>198</v>
      </c>
      <c r="D286" s="1" t="s">
        <v>104</v>
      </c>
      <c r="E286" s="1" t="s">
        <v>74</v>
      </c>
      <c r="F286" s="1" t="s">
        <v>30</v>
      </c>
      <c r="G286" s="2">
        <v>204.81</v>
      </c>
      <c r="H286" s="1">
        <v>10</v>
      </c>
      <c r="I286" s="1">
        <v>285</v>
      </c>
      <c r="J286" s="1">
        <v>246</v>
      </c>
      <c r="K286" s="1">
        <v>94</v>
      </c>
      <c r="L286" s="1">
        <v>136</v>
      </c>
      <c r="M286" s="1" t="s">
        <v>41</v>
      </c>
      <c r="N286" s="1" t="s">
        <v>32</v>
      </c>
      <c r="O286" s="1" t="s">
        <v>377</v>
      </c>
      <c r="P286" s="2">
        <v>143.37</v>
      </c>
      <c r="Q286" s="1" t="str">
        <f t="shared" si="12"/>
        <v>YES</v>
      </c>
      <c r="R286" s="2">
        <f t="shared" si="13"/>
        <v>184.32900000000001</v>
      </c>
      <c r="S286" s="2">
        <f>J286*G286</f>
        <v>50383.26</v>
      </c>
      <c r="T286" s="1">
        <f t="shared" ca="1" si="14"/>
        <v>65</v>
      </c>
      <c r="U286" s="1" t="s">
        <v>34</v>
      </c>
      <c r="V286" s="1" t="s">
        <v>34</v>
      </c>
      <c r="W286" s="1" t="s">
        <v>34</v>
      </c>
      <c r="X286" s="1" t="s">
        <v>2717</v>
      </c>
      <c r="Y286" s="1">
        <v>8</v>
      </c>
    </row>
    <row r="287" spans="1:25" x14ac:dyDescent="0.3">
      <c r="A287" s="1" t="s">
        <v>471</v>
      </c>
      <c r="B287" s="1" t="s">
        <v>72</v>
      </c>
      <c r="C287" s="1" t="s">
        <v>73</v>
      </c>
      <c r="D287" s="1" t="s">
        <v>47</v>
      </c>
      <c r="E287" s="1" t="s">
        <v>29</v>
      </c>
      <c r="F287" s="1" t="s">
        <v>48</v>
      </c>
      <c r="G287" s="2">
        <v>236.57</v>
      </c>
      <c r="H287" s="1">
        <v>9</v>
      </c>
      <c r="I287" s="1">
        <v>274</v>
      </c>
      <c r="J287" s="1">
        <v>263</v>
      </c>
      <c r="K287" s="1">
        <v>74</v>
      </c>
      <c r="L287" s="1">
        <v>90</v>
      </c>
      <c r="M287" s="1" t="s">
        <v>31</v>
      </c>
      <c r="N287" s="1" t="s">
        <v>32</v>
      </c>
      <c r="O287" s="1" t="s">
        <v>455</v>
      </c>
      <c r="P287" s="2">
        <v>165.6</v>
      </c>
      <c r="Q287" s="1" t="str">
        <f t="shared" si="12"/>
        <v>YES</v>
      </c>
      <c r="R287" s="2">
        <f t="shared" si="13"/>
        <v>212.91300000000001</v>
      </c>
      <c r="S287" s="2">
        <f>J287*G287</f>
        <v>62217.909999999996</v>
      </c>
      <c r="T287" s="1">
        <f t="shared" ca="1" si="14"/>
        <v>112</v>
      </c>
      <c r="U287" s="1" t="s">
        <v>34</v>
      </c>
      <c r="V287" s="1" t="s">
        <v>34</v>
      </c>
      <c r="W287" s="1" t="s">
        <v>34</v>
      </c>
      <c r="X287" s="1" t="s">
        <v>2589</v>
      </c>
      <c r="Y287" s="1">
        <v>8.5</v>
      </c>
    </row>
    <row r="288" spans="1:25" x14ac:dyDescent="0.3">
      <c r="A288" s="1" t="s">
        <v>472</v>
      </c>
      <c r="B288" s="1" t="s">
        <v>118</v>
      </c>
      <c r="C288" s="1" t="s">
        <v>119</v>
      </c>
      <c r="D288" s="1" t="s">
        <v>97</v>
      </c>
      <c r="E288" s="1" t="s">
        <v>40</v>
      </c>
      <c r="F288" s="1" t="s">
        <v>48</v>
      </c>
      <c r="G288" s="2">
        <v>300.64999999999998</v>
      </c>
      <c r="H288" s="1">
        <v>23</v>
      </c>
      <c r="I288" s="1">
        <v>191</v>
      </c>
      <c r="J288" s="1">
        <v>177</v>
      </c>
      <c r="K288" s="1">
        <v>116</v>
      </c>
      <c r="L288" s="1">
        <v>133</v>
      </c>
      <c r="M288" s="1" t="s">
        <v>41</v>
      </c>
      <c r="N288" s="1" t="s">
        <v>42</v>
      </c>
      <c r="O288" s="1" t="s">
        <v>473</v>
      </c>
      <c r="P288" s="2">
        <v>210.45</v>
      </c>
      <c r="Q288" s="1" t="str">
        <f t="shared" si="12"/>
        <v>YES</v>
      </c>
      <c r="R288" s="2">
        <f t="shared" si="13"/>
        <v>270.58499999999998</v>
      </c>
      <c r="S288" s="2">
        <f>J288*G288</f>
        <v>53215.049999999996</v>
      </c>
      <c r="T288" s="1">
        <f t="shared" ca="1" si="14"/>
        <v>146</v>
      </c>
      <c r="U288" s="1" t="s">
        <v>34</v>
      </c>
      <c r="V288" s="1" t="s">
        <v>34</v>
      </c>
      <c r="W288" s="1" t="s">
        <v>34</v>
      </c>
      <c r="X288" s="1" t="s">
        <v>2718</v>
      </c>
      <c r="Y288" s="1">
        <v>9</v>
      </c>
    </row>
    <row r="289" spans="1:25" x14ac:dyDescent="0.3">
      <c r="A289" s="1" t="s">
        <v>474</v>
      </c>
      <c r="B289" s="1" t="s">
        <v>57</v>
      </c>
      <c r="C289" s="1" t="s">
        <v>58</v>
      </c>
      <c r="D289" s="1" t="s">
        <v>59</v>
      </c>
      <c r="E289" s="1" t="s">
        <v>74</v>
      </c>
      <c r="F289" s="1" t="s">
        <v>48</v>
      </c>
      <c r="G289" s="2">
        <v>411.27</v>
      </c>
      <c r="H289" s="1">
        <v>22</v>
      </c>
      <c r="I289" s="1">
        <v>219</v>
      </c>
      <c r="J289" s="1">
        <v>197</v>
      </c>
      <c r="K289" s="1">
        <v>116</v>
      </c>
      <c r="L289" s="1">
        <v>58</v>
      </c>
      <c r="M289" s="1" t="s">
        <v>41</v>
      </c>
      <c r="N289" s="1" t="s">
        <v>32</v>
      </c>
      <c r="O289" s="1" t="s">
        <v>473</v>
      </c>
      <c r="P289" s="2">
        <v>287.89</v>
      </c>
      <c r="Q289" s="1" t="str">
        <f t="shared" si="12"/>
        <v>YES</v>
      </c>
      <c r="R289" s="2">
        <f t="shared" si="13"/>
        <v>370.14299999999997</v>
      </c>
      <c r="S289" s="2">
        <f>J289*G289</f>
        <v>81020.19</v>
      </c>
      <c r="T289" s="1">
        <f t="shared" ca="1" si="14"/>
        <v>146</v>
      </c>
      <c r="U289" s="1" t="s">
        <v>34</v>
      </c>
      <c r="V289" s="1" t="s">
        <v>34</v>
      </c>
      <c r="W289" s="1" t="s">
        <v>34</v>
      </c>
      <c r="X289" s="1" t="s">
        <v>2631</v>
      </c>
      <c r="Y289" s="1">
        <v>9.5</v>
      </c>
    </row>
    <row r="290" spans="1:25" x14ac:dyDescent="0.3">
      <c r="A290" s="1" t="s">
        <v>475</v>
      </c>
      <c r="B290" s="1" t="s">
        <v>197</v>
      </c>
      <c r="C290" s="1" t="s">
        <v>198</v>
      </c>
      <c r="D290" s="1" t="s">
        <v>104</v>
      </c>
      <c r="E290" s="1" t="s">
        <v>74</v>
      </c>
      <c r="F290" s="1" t="s">
        <v>54</v>
      </c>
      <c r="G290" s="2">
        <v>463.74</v>
      </c>
      <c r="H290" s="1">
        <v>23</v>
      </c>
      <c r="I290" s="1">
        <v>140</v>
      </c>
      <c r="J290" s="1">
        <v>116</v>
      </c>
      <c r="K290" s="1">
        <v>40</v>
      </c>
      <c r="L290" s="1">
        <v>148</v>
      </c>
      <c r="M290" s="1" t="s">
        <v>49</v>
      </c>
      <c r="N290" s="1" t="s">
        <v>32</v>
      </c>
      <c r="O290" s="1" t="s">
        <v>133</v>
      </c>
      <c r="P290" s="2">
        <v>324.62</v>
      </c>
      <c r="Q290" s="1" t="str">
        <f t="shared" si="12"/>
        <v>YES</v>
      </c>
      <c r="R290" s="2">
        <f t="shared" si="13"/>
        <v>417.36600000000004</v>
      </c>
      <c r="S290" s="2">
        <f>J290*G290</f>
        <v>53793.840000000004</v>
      </c>
      <c r="T290" s="1">
        <f t="shared" ca="1" si="14"/>
        <v>76</v>
      </c>
      <c r="U290" s="1" t="s">
        <v>34</v>
      </c>
      <c r="V290" s="1" t="s">
        <v>34</v>
      </c>
      <c r="W290" s="1" t="s">
        <v>34</v>
      </c>
      <c r="X290" s="1" t="s">
        <v>2674</v>
      </c>
      <c r="Y290" s="1">
        <v>5</v>
      </c>
    </row>
    <row r="291" spans="1:25" x14ac:dyDescent="0.3">
      <c r="A291" s="1" t="s">
        <v>476</v>
      </c>
      <c r="B291" s="1" t="s">
        <v>126</v>
      </c>
      <c r="C291" s="1" t="s">
        <v>127</v>
      </c>
      <c r="D291" s="1" t="s">
        <v>85</v>
      </c>
      <c r="E291" s="1" t="s">
        <v>40</v>
      </c>
      <c r="F291" s="1" t="s">
        <v>54</v>
      </c>
      <c r="G291" s="2">
        <v>56.42</v>
      </c>
      <c r="H291" s="1">
        <v>1</v>
      </c>
      <c r="I291" s="1">
        <v>271</v>
      </c>
      <c r="J291" s="1">
        <v>233</v>
      </c>
      <c r="K291" s="1">
        <v>57</v>
      </c>
      <c r="L291" s="1">
        <v>138</v>
      </c>
      <c r="M291" s="1" t="s">
        <v>31</v>
      </c>
      <c r="N291" s="1" t="s">
        <v>42</v>
      </c>
      <c r="O291" s="1" t="s">
        <v>207</v>
      </c>
      <c r="P291" s="2">
        <v>39.49</v>
      </c>
      <c r="Q291" s="1" t="str">
        <f t="shared" si="12"/>
        <v>YES</v>
      </c>
      <c r="R291" s="2">
        <f t="shared" si="13"/>
        <v>50.778000000000006</v>
      </c>
      <c r="S291" s="2">
        <f>J291*G291</f>
        <v>13145.86</v>
      </c>
      <c r="T291" s="1">
        <f t="shared" ca="1" si="14"/>
        <v>98</v>
      </c>
      <c r="U291" s="1" t="s">
        <v>34</v>
      </c>
      <c r="V291" s="1" t="s">
        <v>34</v>
      </c>
      <c r="W291" s="1" t="s">
        <v>34</v>
      </c>
      <c r="X291" s="1" t="s">
        <v>2625</v>
      </c>
      <c r="Y291" s="1">
        <v>5.5</v>
      </c>
    </row>
    <row r="292" spans="1:25" x14ac:dyDescent="0.3">
      <c r="A292" s="1" t="s">
        <v>477</v>
      </c>
      <c r="B292" s="1" t="s">
        <v>262</v>
      </c>
      <c r="C292" s="1" t="s">
        <v>263</v>
      </c>
      <c r="D292" s="1" t="s">
        <v>104</v>
      </c>
      <c r="E292" s="1" t="s">
        <v>29</v>
      </c>
      <c r="F292" s="1" t="s">
        <v>48</v>
      </c>
      <c r="G292" s="2">
        <v>297.02999999999997</v>
      </c>
      <c r="H292" s="1">
        <v>6</v>
      </c>
      <c r="I292" s="1">
        <v>80</v>
      </c>
      <c r="J292" s="1">
        <v>66</v>
      </c>
      <c r="K292" s="1">
        <v>42</v>
      </c>
      <c r="L292" s="1">
        <v>121</v>
      </c>
      <c r="M292" s="1" t="s">
        <v>31</v>
      </c>
      <c r="N292" s="1" t="s">
        <v>32</v>
      </c>
      <c r="O292" s="1" t="s">
        <v>128</v>
      </c>
      <c r="P292" s="2">
        <v>207.92</v>
      </c>
      <c r="Q292" s="1" t="str">
        <f t="shared" si="12"/>
        <v>YES</v>
      </c>
      <c r="R292" s="2">
        <f t="shared" si="13"/>
        <v>267.327</v>
      </c>
      <c r="S292" s="2">
        <f>J292*G292</f>
        <v>19603.98</v>
      </c>
      <c r="T292" s="1">
        <f t="shared" ca="1" si="14"/>
        <v>77</v>
      </c>
      <c r="U292" s="1" t="s">
        <v>34</v>
      </c>
      <c r="V292" s="1" t="s">
        <v>34</v>
      </c>
      <c r="W292" s="1" t="s">
        <v>34</v>
      </c>
      <c r="X292" s="1" t="s">
        <v>2719</v>
      </c>
      <c r="Y292" s="1">
        <v>6</v>
      </c>
    </row>
    <row r="293" spans="1:25" x14ac:dyDescent="0.3">
      <c r="A293" s="1" t="s">
        <v>478</v>
      </c>
      <c r="B293" s="1" t="s">
        <v>130</v>
      </c>
      <c r="C293" s="1" t="s">
        <v>131</v>
      </c>
      <c r="D293" s="1" t="s">
        <v>132</v>
      </c>
      <c r="E293" s="1" t="s">
        <v>74</v>
      </c>
      <c r="F293" s="1" t="s">
        <v>30</v>
      </c>
      <c r="G293" s="2">
        <v>69.16</v>
      </c>
      <c r="H293" s="1">
        <v>6</v>
      </c>
      <c r="I293" s="1">
        <v>190</v>
      </c>
      <c r="J293" s="1">
        <v>186</v>
      </c>
      <c r="K293" s="1">
        <v>102</v>
      </c>
      <c r="L293" s="1">
        <v>85</v>
      </c>
      <c r="M293" s="1" t="s">
        <v>41</v>
      </c>
      <c r="N293" s="1" t="s">
        <v>42</v>
      </c>
      <c r="O293" s="1" t="s">
        <v>254</v>
      </c>
      <c r="P293" s="2">
        <v>48.41</v>
      </c>
      <c r="Q293" s="1" t="str">
        <f t="shared" si="12"/>
        <v>YES</v>
      </c>
      <c r="R293" s="2">
        <f t="shared" si="13"/>
        <v>62.244</v>
      </c>
      <c r="S293" s="2">
        <f>J293*G293</f>
        <v>12863.76</v>
      </c>
      <c r="T293" s="1">
        <f t="shared" ca="1" si="14"/>
        <v>145</v>
      </c>
      <c r="U293" s="1" t="s">
        <v>34</v>
      </c>
      <c r="V293" s="1" t="s">
        <v>34</v>
      </c>
      <c r="W293" s="1" t="s">
        <v>34</v>
      </c>
      <c r="X293" s="1" t="s">
        <v>2720</v>
      </c>
      <c r="Y293" s="1">
        <v>6.5</v>
      </c>
    </row>
    <row r="294" spans="1:25" x14ac:dyDescent="0.3">
      <c r="A294" s="1" t="s">
        <v>479</v>
      </c>
      <c r="B294" s="1" t="s">
        <v>52</v>
      </c>
      <c r="C294" s="1" t="s">
        <v>53</v>
      </c>
      <c r="D294" s="1" t="s">
        <v>47</v>
      </c>
      <c r="E294" s="1" t="s">
        <v>29</v>
      </c>
      <c r="F294" s="1" t="s">
        <v>48</v>
      </c>
      <c r="G294" s="2">
        <v>210.81</v>
      </c>
      <c r="H294" s="1">
        <v>16</v>
      </c>
      <c r="I294" s="1">
        <v>299</v>
      </c>
      <c r="J294" s="1">
        <v>272</v>
      </c>
      <c r="K294" s="1">
        <v>96</v>
      </c>
      <c r="L294" s="1">
        <v>109</v>
      </c>
      <c r="M294" s="1" t="s">
        <v>31</v>
      </c>
      <c r="N294" s="1" t="s">
        <v>42</v>
      </c>
      <c r="O294" s="1" t="s">
        <v>287</v>
      </c>
      <c r="P294" s="2">
        <v>147.57</v>
      </c>
      <c r="Q294" s="1" t="str">
        <f t="shared" si="12"/>
        <v>YES</v>
      </c>
      <c r="R294" s="2">
        <f t="shared" si="13"/>
        <v>189.72900000000001</v>
      </c>
      <c r="S294" s="2">
        <f>J294*G294</f>
        <v>57340.32</v>
      </c>
      <c r="T294" s="1">
        <f t="shared" ca="1" si="14"/>
        <v>143</v>
      </c>
      <c r="U294" s="1" t="s">
        <v>34</v>
      </c>
      <c r="V294" s="1" t="s">
        <v>34</v>
      </c>
      <c r="W294" s="1" t="s">
        <v>34</v>
      </c>
      <c r="X294" s="1" t="s">
        <v>2617</v>
      </c>
      <c r="Y294" s="1">
        <v>7</v>
      </c>
    </row>
    <row r="295" spans="1:25" x14ac:dyDescent="0.3">
      <c r="A295" s="1" t="s">
        <v>480</v>
      </c>
      <c r="B295" s="1" t="s">
        <v>69</v>
      </c>
      <c r="C295" s="1" t="s">
        <v>70</v>
      </c>
      <c r="D295" s="1" t="s">
        <v>59</v>
      </c>
      <c r="E295" s="1" t="s">
        <v>40</v>
      </c>
      <c r="F295" s="1" t="s">
        <v>54</v>
      </c>
      <c r="G295" s="2">
        <v>452.83</v>
      </c>
      <c r="H295" s="1">
        <v>2</v>
      </c>
      <c r="I295" s="1">
        <v>103</v>
      </c>
      <c r="J295" s="1">
        <v>103</v>
      </c>
      <c r="K295" s="1">
        <v>62</v>
      </c>
      <c r="L295" s="1">
        <v>135</v>
      </c>
      <c r="M295" s="1" t="s">
        <v>31</v>
      </c>
      <c r="N295" s="1" t="s">
        <v>32</v>
      </c>
      <c r="O295" s="1" t="s">
        <v>361</v>
      </c>
      <c r="P295" s="2">
        <v>316.98</v>
      </c>
      <c r="Q295" s="1" t="str">
        <f t="shared" si="12"/>
        <v>YES</v>
      </c>
      <c r="R295" s="2">
        <f t="shared" si="13"/>
        <v>407.54699999999997</v>
      </c>
      <c r="S295" s="2">
        <f>J295*G295</f>
        <v>46641.49</v>
      </c>
      <c r="T295" s="1">
        <f t="shared" ca="1" si="14"/>
        <v>99</v>
      </c>
      <c r="U295" s="1" t="s">
        <v>34</v>
      </c>
      <c r="V295" s="1" t="s">
        <v>34</v>
      </c>
      <c r="W295" s="1" t="s">
        <v>34</v>
      </c>
      <c r="X295" s="1" t="s">
        <v>2630</v>
      </c>
      <c r="Y295" s="1">
        <v>7.5</v>
      </c>
    </row>
    <row r="296" spans="1:25" x14ac:dyDescent="0.3">
      <c r="A296" s="1" t="s">
        <v>481</v>
      </c>
      <c r="B296" s="1" t="s">
        <v>299</v>
      </c>
      <c r="C296" s="1" t="s">
        <v>300</v>
      </c>
      <c r="D296" s="1" t="s">
        <v>39</v>
      </c>
      <c r="E296" s="1" t="s">
        <v>40</v>
      </c>
      <c r="F296" s="1" t="s">
        <v>48</v>
      </c>
      <c r="G296" s="2">
        <v>122.06</v>
      </c>
      <c r="H296" s="1">
        <v>5</v>
      </c>
      <c r="I296" s="1">
        <v>275</v>
      </c>
      <c r="J296" s="1">
        <v>263</v>
      </c>
      <c r="K296" s="1">
        <v>113</v>
      </c>
      <c r="L296" s="1">
        <v>142</v>
      </c>
      <c r="M296" s="1" t="s">
        <v>41</v>
      </c>
      <c r="N296" s="1" t="s">
        <v>32</v>
      </c>
      <c r="O296" s="1" t="s">
        <v>302</v>
      </c>
      <c r="P296" s="2">
        <v>85.44</v>
      </c>
      <c r="Q296" s="1" t="str">
        <f t="shared" si="12"/>
        <v>YES</v>
      </c>
      <c r="R296" s="2">
        <f t="shared" si="13"/>
        <v>109.854</v>
      </c>
      <c r="S296" s="2">
        <f>J296*G296</f>
        <v>32101.78</v>
      </c>
      <c r="T296" s="1">
        <f t="shared" ca="1" si="14"/>
        <v>133</v>
      </c>
      <c r="U296" s="1" t="s">
        <v>34</v>
      </c>
      <c r="V296" s="1" t="s">
        <v>34</v>
      </c>
      <c r="W296" s="1" t="s">
        <v>34</v>
      </c>
      <c r="X296" s="1" t="s">
        <v>2685</v>
      </c>
      <c r="Y296" s="1">
        <v>8</v>
      </c>
    </row>
    <row r="297" spans="1:25" x14ac:dyDescent="0.3">
      <c r="A297" s="1" t="s">
        <v>482</v>
      </c>
      <c r="B297" s="1" t="s">
        <v>77</v>
      </c>
      <c r="C297" s="1" t="s">
        <v>78</v>
      </c>
      <c r="D297" s="1" t="s">
        <v>47</v>
      </c>
      <c r="E297" s="1" t="s">
        <v>74</v>
      </c>
      <c r="F297" s="1" t="s">
        <v>30</v>
      </c>
      <c r="G297" s="2">
        <v>55.08</v>
      </c>
      <c r="H297" s="1">
        <v>23</v>
      </c>
      <c r="I297" s="1">
        <v>212</v>
      </c>
      <c r="J297" s="1">
        <v>172</v>
      </c>
      <c r="K297" s="1">
        <v>57</v>
      </c>
      <c r="L297" s="1">
        <v>84</v>
      </c>
      <c r="M297" s="1" t="s">
        <v>41</v>
      </c>
      <c r="N297" s="1" t="s">
        <v>42</v>
      </c>
      <c r="O297" s="1" t="s">
        <v>292</v>
      </c>
      <c r="P297" s="2">
        <v>38.56</v>
      </c>
      <c r="Q297" s="1" t="str">
        <f t="shared" si="12"/>
        <v>YES</v>
      </c>
      <c r="R297" s="2">
        <f t="shared" si="13"/>
        <v>49.572000000000003</v>
      </c>
      <c r="S297" s="2">
        <f>J297*G297</f>
        <v>9473.76</v>
      </c>
      <c r="T297" s="1">
        <f t="shared" ca="1" si="14"/>
        <v>83</v>
      </c>
      <c r="U297" s="1" t="s">
        <v>34</v>
      </c>
      <c r="V297" s="1" t="s">
        <v>34</v>
      </c>
      <c r="W297" s="1" t="s">
        <v>34</v>
      </c>
      <c r="X297" s="1" t="s">
        <v>2584</v>
      </c>
      <c r="Y297" s="1">
        <v>8.5</v>
      </c>
    </row>
    <row r="298" spans="1:25" x14ac:dyDescent="0.3">
      <c r="A298" s="1" t="s">
        <v>483</v>
      </c>
      <c r="B298" s="1" t="s">
        <v>111</v>
      </c>
      <c r="C298" s="1" t="s">
        <v>112</v>
      </c>
      <c r="D298" s="1" t="s">
        <v>97</v>
      </c>
      <c r="E298" s="1" t="s">
        <v>74</v>
      </c>
      <c r="F298" s="1" t="s">
        <v>48</v>
      </c>
      <c r="G298" s="2">
        <v>327.85</v>
      </c>
      <c r="H298" s="1">
        <v>9</v>
      </c>
      <c r="I298" s="1">
        <v>191</v>
      </c>
      <c r="J298" s="1">
        <v>183</v>
      </c>
      <c r="K298" s="1">
        <v>103</v>
      </c>
      <c r="L298" s="1">
        <v>59</v>
      </c>
      <c r="M298" s="1" t="s">
        <v>41</v>
      </c>
      <c r="N298" s="1" t="s">
        <v>32</v>
      </c>
      <c r="O298" s="1" t="s">
        <v>50</v>
      </c>
      <c r="P298" s="2">
        <v>229.5</v>
      </c>
      <c r="Q298" s="1" t="str">
        <f t="shared" si="12"/>
        <v>YES</v>
      </c>
      <c r="R298" s="2">
        <f t="shared" si="13"/>
        <v>295.06500000000005</v>
      </c>
      <c r="S298" s="2">
        <f>J298*G298</f>
        <v>59996.55</v>
      </c>
      <c r="T298" s="1">
        <f t="shared" ca="1" si="14"/>
        <v>114</v>
      </c>
      <c r="U298" s="1" t="s">
        <v>34</v>
      </c>
      <c r="V298" s="1" t="s">
        <v>34</v>
      </c>
      <c r="W298" s="1" t="s">
        <v>34</v>
      </c>
      <c r="X298" s="1" t="s">
        <v>2721</v>
      </c>
      <c r="Y298" s="1">
        <v>9</v>
      </c>
    </row>
    <row r="299" spans="1:25" x14ac:dyDescent="0.3">
      <c r="A299" s="1" t="s">
        <v>484</v>
      </c>
      <c r="B299" s="1" t="s">
        <v>172</v>
      </c>
      <c r="C299" s="1" t="s">
        <v>173</v>
      </c>
      <c r="D299" s="1" t="s">
        <v>132</v>
      </c>
      <c r="E299" s="1" t="s">
        <v>74</v>
      </c>
      <c r="F299" s="1" t="s">
        <v>54</v>
      </c>
      <c r="G299" s="2">
        <v>213.81</v>
      </c>
      <c r="H299" s="1">
        <v>0</v>
      </c>
      <c r="I299" s="1">
        <v>214</v>
      </c>
      <c r="J299" s="1">
        <v>190</v>
      </c>
      <c r="K299" s="1">
        <v>82</v>
      </c>
      <c r="L299" s="1">
        <v>120</v>
      </c>
      <c r="M299" s="1" t="s">
        <v>41</v>
      </c>
      <c r="N299" s="1" t="s">
        <v>32</v>
      </c>
      <c r="O299" s="1" t="s">
        <v>257</v>
      </c>
      <c r="P299" s="2">
        <v>149.66999999999999</v>
      </c>
      <c r="Q299" s="1" t="str">
        <f t="shared" si="12"/>
        <v>YES</v>
      </c>
      <c r="R299" s="2">
        <f t="shared" si="13"/>
        <v>192.429</v>
      </c>
      <c r="S299" s="2">
        <f>J299*G299</f>
        <v>40623.9</v>
      </c>
      <c r="T299" s="1">
        <f t="shared" ca="1" si="14"/>
        <v>113</v>
      </c>
      <c r="U299" s="1" t="s">
        <v>34</v>
      </c>
      <c r="V299" s="1" t="s">
        <v>34</v>
      </c>
      <c r="W299" s="1" t="s">
        <v>34</v>
      </c>
      <c r="X299" s="1" t="s">
        <v>2722</v>
      </c>
      <c r="Y299" s="1">
        <v>9.5</v>
      </c>
    </row>
    <row r="300" spans="1:25" x14ac:dyDescent="0.3">
      <c r="A300" s="1" t="s">
        <v>485</v>
      </c>
      <c r="B300" s="1" t="s">
        <v>111</v>
      </c>
      <c r="C300" s="1" t="s">
        <v>112</v>
      </c>
      <c r="D300" s="1" t="s">
        <v>97</v>
      </c>
      <c r="E300" s="1" t="s">
        <v>40</v>
      </c>
      <c r="F300" s="1" t="s">
        <v>48</v>
      </c>
      <c r="G300" s="2">
        <v>315.77999999999997</v>
      </c>
      <c r="H300" s="1">
        <v>6</v>
      </c>
      <c r="I300" s="1">
        <v>162</v>
      </c>
      <c r="J300" s="1">
        <v>152</v>
      </c>
      <c r="K300" s="1">
        <v>82</v>
      </c>
      <c r="L300" s="1">
        <v>105</v>
      </c>
      <c r="M300" s="1" t="s">
        <v>31</v>
      </c>
      <c r="N300" s="1" t="s">
        <v>32</v>
      </c>
      <c r="O300" s="1" t="s">
        <v>229</v>
      </c>
      <c r="P300" s="2">
        <v>221.05</v>
      </c>
      <c r="Q300" s="1" t="str">
        <f t="shared" si="12"/>
        <v>YES</v>
      </c>
      <c r="R300" s="2">
        <f t="shared" si="13"/>
        <v>284.202</v>
      </c>
      <c r="S300" s="2">
        <f>J300*G300</f>
        <v>47998.559999999998</v>
      </c>
      <c r="T300" s="1">
        <f t="shared" ca="1" si="14"/>
        <v>128</v>
      </c>
      <c r="U300" s="1" t="s">
        <v>34</v>
      </c>
      <c r="V300" s="1" t="s">
        <v>34</v>
      </c>
      <c r="W300" s="1" t="s">
        <v>34</v>
      </c>
      <c r="X300" s="1" t="s">
        <v>2723</v>
      </c>
      <c r="Y300" s="1">
        <v>5</v>
      </c>
    </row>
    <row r="301" spans="1:25" x14ac:dyDescent="0.3">
      <c r="A301" s="1" t="s">
        <v>486</v>
      </c>
      <c r="B301" s="1" t="s">
        <v>123</v>
      </c>
      <c r="C301" s="1" t="s">
        <v>124</v>
      </c>
      <c r="D301" s="1" t="s">
        <v>47</v>
      </c>
      <c r="E301" s="1" t="s">
        <v>29</v>
      </c>
      <c r="F301" s="1" t="s">
        <v>48</v>
      </c>
      <c r="G301" s="2">
        <v>394.34</v>
      </c>
      <c r="H301" s="1">
        <v>16</v>
      </c>
      <c r="I301" s="1">
        <v>104</v>
      </c>
      <c r="J301" s="1">
        <v>77</v>
      </c>
      <c r="K301" s="1">
        <v>80</v>
      </c>
      <c r="L301" s="1">
        <v>108</v>
      </c>
      <c r="M301" s="1" t="s">
        <v>49</v>
      </c>
      <c r="N301" s="1" t="s">
        <v>60</v>
      </c>
      <c r="O301" s="1" t="s">
        <v>113</v>
      </c>
      <c r="P301" s="2">
        <v>276.04000000000002</v>
      </c>
      <c r="Q301" s="1" t="str">
        <f t="shared" si="12"/>
        <v>NO</v>
      </c>
      <c r="R301" s="2">
        <f t="shared" si="13"/>
        <v>394.34</v>
      </c>
      <c r="S301" s="2">
        <f>J301*G301</f>
        <v>30364.179999999997</v>
      </c>
      <c r="T301" s="1">
        <f t="shared" ca="1" si="14"/>
        <v>82</v>
      </c>
      <c r="U301" s="1" t="s">
        <v>34</v>
      </c>
      <c r="V301" s="1" t="s">
        <v>34</v>
      </c>
      <c r="W301" s="1" t="s">
        <v>34</v>
      </c>
      <c r="X301" s="1" t="s">
        <v>2687</v>
      </c>
      <c r="Y301" s="1">
        <v>5.5</v>
      </c>
    </row>
    <row r="302" spans="1:25" x14ac:dyDescent="0.3">
      <c r="A302" s="1" t="s">
        <v>487</v>
      </c>
      <c r="B302" s="1" t="s">
        <v>45</v>
      </c>
      <c r="C302" s="1" t="s">
        <v>46</v>
      </c>
      <c r="D302" s="1" t="s">
        <v>47</v>
      </c>
      <c r="E302" s="1" t="s">
        <v>40</v>
      </c>
      <c r="F302" s="1" t="s">
        <v>30</v>
      </c>
      <c r="G302" s="2">
        <v>485.77</v>
      </c>
      <c r="H302" s="1">
        <v>0</v>
      </c>
      <c r="I302" s="1">
        <v>208</v>
      </c>
      <c r="J302" s="1">
        <v>189</v>
      </c>
      <c r="K302" s="1">
        <v>89</v>
      </c>
      <c r="L302" s="1">
        <v>50</v>
      </c>
      <c r="M302" s="1" t="s">
        <v>31</v>
      </c>
      <c r="N302" s="1" t="s">
        <v>42</v>
      </c>
      <c r="O302" s="1" t="s">
        <v>257</v>
      </c>
      <c r="P302" s="2">
        <v>340.04</v>
      </c>
      <c r="Q302" s="1" t="str">
        <f t="shared" si="12"/>
        <v>YES</v>
      </c>
      <c r="R302" s="2">
        <f t="shared" si="13"/>
        <v>437.19299999999998</v>
      </c>
      <c r="S302" s="2">
        <f>J302*G302</f>
        <v>91810.53</v>
      </c>
      <c r="T302" s="1">
        <f t="shared" ca="1" si="14"/>
        <v>113</v>
      </c>
      <c r="U302" s="1" t="s">
        <v>34</v>
      </c>
      <c r="V302" s="1" t="s">
        <v>34</v>
      </c>
      <c r="W302" s="1" t="s">
        <v>34</v>
      </c>
      <c r="X302" s="1" t="s">
        <v>2631</v>
      </c>
      <c r="Y302" s="1">
        <v>6</v>
      </c>
    </row>
    <row r="303" spans="1:25" x14ac:dyDescent="0.3">
      <c r="A303" s="1" t="s">
        <v>488</v>
      </c>
      <c r="B303" s="1" t="s">
        <v>107</v>
      </c>
      <c r="C303" s="1" t="s">
        <v>108</v>
      </c>
      <c r="D303" s="1" t="s">
        <v>39</v>
      </c>
      <c r="E303" s="1" t="s">
        <v>74</v>
      </c>
      <c r="F303" s="1" t="s">
        <v>30</v>
      </c>
      <c r="G303" s="2">
        <v>224.55</v>
      </c>
      <c r="H303" s="1">
        <v>10</v>
      </c>
      <c r="I303" s="1">
        <v>250</v>
      </c>
      <c r="J303" s="1">
        <v>246</v>
      </c>
      <c r="K303" s="1">
        <v>69</v>
      </c>
      <c r="L303" s="1">
        <v>74</v>
      </c>
      <c r="M303" s="1" t="s">
        <v>31</v>
      </c>
      <c r="N303" s="1" t="s">
        <v>32</v>
      </c>
      <c r="O303" s="1" t="s">
        <v>33</v>
      </c>
      <c r="P303" s="2">
        <v>157.19</v>
      </c>
      <c r="Q303" s="1" t="str">
        <f t="shared" si="12"/>
        <v>YES</v>
      </c>
      <c r="R303" s="2">
        <f t="shared" si="13"/>
        <v>202.09500000000003</v>
      </c>
      <c r="S303" s="2">
        <f>J303*G303</f>
        <v>55239.3</v>
      </c>
      <c r="T303" s="1">
        <f t="shared" ca="1" si="14"/>
        <v>141</v>
      </c>
      <c r="U303" s="1" t="s">
        <v>34</v>
      </c>
      <c r="V303" s="1" t="s">
        <v>34</v>
      </c>
      <c r="W303" s="1" t="s">
        <v>34</v>
      </c>
      <c r="X303" s="1" t="s">
        <v>2724</v>
      </c>
      <c r="Y303" s="1">
        <v>6.5</v>
      </c>
    </row>
    <row r="304" spans="1:25" x14ac:dyDescent="0.3">
      <c r="A304" s="1" t="s">
        <v>489</v>
      </c>
      <c r="B304" s="1" t="s">
        <v>37</v>
      </c>
      <c r="C304" s="1" t="s">
        <v>38</v>
      </c>
      <c r="D304" s="1" t="s">
        <v>39</v>
      </c>
      <c r="E304" s="1" t="s">
        <v>40</v>
      </c>
      <c r="F304" s="1" t="s">
        <v>30</v>
      </c>
      <c r="G304" s="2">
        <v>439.82</v>
      </c>
      <c r="H304" s="1">
        <v>6</v>
      </c>
      <c r="I304" s="1">
        <v>153</v>
      </c>
      <c r="J304" s="1">
        <v>147</v>
      </c>
      <c r="K304" s="1">
        <v>49</v>
      </c>
      <c r="L304" s="1">
        <v>78</v>
      </c>
      <c r="M304" s="1" t="s">
        <v>41</v>
      </c>
      <c r="N304" s="1" t="s">
        <v>32</v>
      </c>
      <c r="O304" s="1" t="s">
        <v>336</v>
      </c>
      <c r="P304" s="2">
        <v>307.87</v>
      </c>
      <c r="Q304" s="1" t="str">
        <f t="shared" si="12"/>
        <v>YES</v>
      </c>
      <c r="R304" s="2">
        <f t="shared" si="13"/>
        <v>395.83800000000002</v>
      </c>
      <c r="S304" s="2">
        <f>J304*G304</f>
        <v>64653.54</v>
      </c>
      <c r="T304" s="1">
        <f t="shared" ca="1" si="14"/>
        <v>131</v>
      </c>
      <c r="U304" s="1" t="s">
        <v>34</v>
      </c>
      <c r="V304" s="1" t="s">
        <v>34</v>
      </c>
      <c r="W304" s="1" t="s">
        <v>34</v>
      </c>
      <c r="X304" s="1" t="s">
        <v>2725</v>
      </c>
      <c r="Y304" s="1">
        <v>7</v>
      </c>
    </row>
    <row r="305" spans="1:25" x14ac:dyDescent="0.3">
      <c r="A305" s="1" t="s">
        <v>490</v>
      </c>
      <c r="B305" s="1" t="s">
        <v>83</v>
      </c>
      <c r="C305" s="1" t="s">
        <v>84</v>
      </c>
      <c r="D305" s="1" t="s">
        <v>85</v>
      </c>
      <c r="E305" s="1" t="s">
        <v>29</v>
      </c>
      <c r="F305" s="1" t="s">
        <v>48</v>
      </c>
      <c r="G305" s="2">
        <v>107.19</v>
      </c>
      <c r="H305" s="1">
        <v>5</v>
      </c>
      <c r="I305" s="1">
        <v>110</v>
      </c>
      <c r="J305" s="1">
        <v>107</v>
      </c>
      <c r="K305" s="1">
        <v>85</v>
      </c>
      <c r="L305" s="1">
        <v>133</v>
      </c>
      <c r="M305" s="1" t="s">
        <v>31</v>
      </c>
      <c r="N305" s="1" t="s">
        <v>32</v>
      </c>
      <c r="O305" s="1" t="s">
        <v>302</v>
      </c>
      <c r="P305" s="2">
        <v>75.03</v>
      </c>
      <c r="Q305" s="1" t="str">
        <f t="shared" si="12"/>
        <v>YES</v>
      </c>
      <c r="R305" s="2">
        <f t="shared" si="13"/>
        <v>96.471000000000004</v>
      </c>
      <c r="S305" s="2">
        <f>J305*G305</f>
        <v>11469.33</v>
      </c>
      <c r="T305" s="1">
        <f t="shared" ca="1" si="14"/>
        <v>133</v>
      </c>
      <c r="U305" s="1" t="s">
        <v>34</v>
      </c>
      <c r="V305" s="1" t="s">
        <v>34</v>
      </c>
      <c r="W305" s="1" t="s">
        <v>34</v>
      </c>
      <c r="X305" s="1" t="s">
        <v>2726</v>
      </c>
      <c r="Y305" s="1">
        <v>7.5</v>
      </c>
    </row>
    <row r="306" spans="1:25" x14ac:dyDescent="0.3">
      <c r="A306" s="1" t="s">
        <v>491</v>
      </c>
      <c r="B306" s="1" t="s">
        <v>166</v>
      </c>
      <c r="C306" s="1" t="s">
        <v>167</v>
      </c>
      <c r="D306" s="1" t="s">
        <v>59</v>
      </c>
      <c r="E306" s="1" t="s">
        <v>74</v>
      </c>
      <c r="F306" s="1" t="s">
        <v>54</v>
      </c>
      <c r="G306" s="2">
        <v>201.89</v>
      </c>
      <c r="H306" s="1">
        <v>3</v>
      </c>
      <c r="I306" s="1">
        <v>256</v>
      </c>
      <c r="J306" s="1">
        <v>252</v>
      </c>
      <c r="K306" s="1">
        <v>49</v>
      </c>
      <c r="L306" s="1">
        <v>127</v>
      </c>
      <c r="M306" s="1" t="s">
        <v>49</v>
      </c>
      <c r="N306" s="1" t="s">
        <v>42</v>
      </c>
      <c r="O306" s="1" t="s">
        <v>284</v>
      </c>
      <c r="P306" s="2">
        <v>141.32</v>
      </c>
      <c r="Q306" s="1" t="str">
        <f t="shared" si="12"/>
        <v>YES</v>
      </c>
      <c r="R306" s="2">
        <f t="shared" si="13"/>
        <v>181.70099999999999</v>
      </c>
      <c r="S306" s="2">
        <f>J306*G306</f>
        <v>50876.28</v>
      </c>
      <c r="T306" s="1">
        <f t="shared" ca="1" si="14"/>
        <v>119</v>
      </c>
      <c r="U306" s="1" t="s">
        <v>34</v>
      </c>
      <c r="V306" s="1" t="s">
        <v>34</v>
      </c>
      <c r="W306" s="1" t="s">
        <v>34</v>
      </c>
      <c r="X306" s="1" t="s">
        <v>2681</v>
      </c>
      <c r="Y306" s="1">
        <v>8</v>
      </c>
    </row>
    <row r="307" spans="1:25" x14ac:dyDescent="0.3">
      <c r="A307" s="1" t="s">
        <v>492</v>
      </c>
      <c r="B307" s="1" t="s">
        <v>126</v>
      </c>
      <c r="C307" s="1" t="s">
        <v>127</v>
      </c>
      <c r="D307" s="1" t="s">
        <v>85</v>
      </c>
      <c r="E307" s="1" t="s">
        <v>40</v>
      </c>
      <c r="F307" s="1" t="s">
        <v>54</v>
      </c>
      <c r="G307" s="2">
        <v>403.12</v>
      </c>
      <c r="H307" s="1">
        <v>19</v>
      </c>
      <c r="I307" s="1">
        <v>87</v>
      </c>
      <c r="J307" s="1">
        <v>70</v>
      </c>
      <c r="K307" s="1">
        <v>96</v>
      </c>
      <c r="L307" s="1">
        <v>117</v>
      </c>
      <c r="M307" s="1" t="s">
        <v>41</v>
      </c>
      <c r="N307" s="1" t="s">
        <v>60</v>
      </c>
      <c r="O307" s="1" t="s">
        <v>455</v>
      </c>
      <c r="P307" s="2">
        <v>282.18</v>
      </c>
      <c r="Q307" s="1" t="str">
        <f t="shared" si="12"/>
        <v>NO</v>
      </c>
      <c r="R307" s="2">
        <f t="shared" si="13"/>
        <v>403.12</v>
      </c>
      <c r="S307" s="2">
        <f>J307*G307</f>
        <v>28218.400000000001</v>
      </c>
      <c r="T307" s="1">
        <f t="shared" ca="1" si="14"/>
        <v>112</v>
      </c>
      <c r="U307" s="1" t="s">
        <v>34</v>
      </c>
      <c r="V307" s="1" t="s">
        <v>34</v>
      </c>
      <c r="W307" s="1" t="s">
        <v>34</v>
      </c>
      <c r="X307" s="1" t="s">
        <v>2727</v>
      </c>
      <c r="Y307" s="1">
        <v>8.5</v>
      </c>
    </row>
    <row r="308" spans="1:25" x14ac:dyDescent="0.3">
      <c r="A308" s="1" t="s">
        <v>493</v>
      </c>
      <c r="B308" s="1" t="s">
        <v>176</v>
      </c>
      <c r="C308" s="1" t="s">
        <v>177</v>
      </c>
      <c r="D308" s="1" t="s">
        <v>39</v>
      </c>
      <c r="E308" s="1" t="s">
        <v>29</v>
      </c>
      <c r="F308" s="1" t="s">
        <v>54</v>
      </c>
      <c r="G308" s="2">
        <v>170.09</v>
      </c>
      <c r="H308" s="1">
        <v>17</v>
      </c>
      <c r="I308" s="1">
        <v>125</v>
      </c>
      <c r="J308" s="1">
        <v>88</v>
      </c>
      <c r="K308" s="1">
        <v>69</v>
      </c>
      <c r="L308" s="1">
        <v>116</v>
      </c>
      <c r="M308" s="1" t="s">
        <v>41</v>
      </c>
      <c r="N308" s="1" t="s">
        <v>60</v>
      </c>
      <c r="O308" s="1" t="s">
        <v>390</v>
      </c>
      <c r="P308" s="2">
        <v>119.06</v>
      </c>
      <c r="Q308" s="1" t="str">
        <f t="shared" si="12"/>
        <v>YES</v>
      </c>
      <c r="R308" s="2">
        <f t="shared" si="13"/>
        <v>153.08100000000002</v>
      </c>
      <c r="S308" s="2">
        <f>J308*G308</f>
        <v>14967.92</v>
      </c>
      <c r="T308" s="1">
        <f t="shared" ca="1" si="14"/>
        <v>120</v>
      </c>
      <c r="U308" s="1" t="s">
        <v>34</v>
      </c>
      <c r="V308" s="1" t="s">
        <v>34</v>
      </c>
      <c r="W308" s="1" t="s">
        <v>34</v>
      </c>
      <c r="X308" s="1" t="s">
        <v>2728</v>
      </c>
      <c r="Y308" s="1">
        <v>9</v>
      </c>
    </row>
    <row r="309" spans="1:25" x14ac:dyDescent="0.3">
      <c r="A309" s="1" t="s">
        <v>494</v>
      </c>
      <c r="B309" s="1" t="s">
        <v>63</v>
      </c>
      <c r="C309" s="1" t="s">
        <v>64</v>
      </c>
      <c r="D309" s="1" t="s">
        <v>28</v>
      </c>
      <c r="E309" s="1" t="s">
        <v>29</v>
      </c>
      <c r="F309" s="1" t="s">
        <v>54</v>
      </c>
      <c r="G309" s="2">
        <v>370.58</v>
      </c>
      <c r="H309" s="1">
        <v>25</v>
      </c>
      <c r="I309" s="1">
        <v>297</v>
      </c>
      <c r="J309" s="1">
        <v>277</v>
      </c>
      <c r="K309" s="1">
        <v>119</v>
      </c>
      <c r="L309" s="1">
        <v>137</v>
      </c>
      <c r="M309" s="1" t="s">
        <v>31</v>
      </c>
      <c r="N309" s="1" t="s">
        <v>60</v>
      </c>
      <c r="O309" s="1" t="s">
        <v>157</v>
      </c>
      <c r="P309" s="2">
        <v>259.41000000000003</v>
      </c>
      <c r="Q309" s="1" t="str">
        <f t="shared" si="12"/>
        <v>YES</v>
      </c>
      <c r="R309" s="2">
        <f t="shared" si="13"/>
        <v>333.52199999999999</v>
      </c>
      <c r="S309" s="2">
        <f>J309*G309</f>
        <v>102650.65999999999</v>
      </c>
      <c r="T309" s="1">
        <f t="shared" ca="1" si="14"/>
        <v>103</v>
      </c>
      <c r="U309" s="1" t="s">
        <v>34</v>
      </c>
      <c r="V309" s="1" t="s">
        <v>34</v>
      </c>
      <c r="W309" s="1" t="s">
        <v>34</v>
      </c>
      <c r="X309" s="1" t="s">
        <v>2693</v>
      </c>
      <c r="Y309" s="1">
        <v>9.5</v>
      </c>
    </row>
    <row r="310" spans="1:25" x14ac:dyDescent="0.3">
      <c r="A310" s="1" t="s">
        <v>495</v>
      </c>
      <c r="B310" s="1" t="s">
        <v>299</v>
      </c>
      <c r="C310" s="1" t="s">
        <v>300</v>
      </c>
      <c r="D310" s="1" t="s">
        <v>39</v>
      </c>
      <c r="E310" s="1" t="s">
        <v>40</v>
      </c>
      <c r="F310" s="1" t="s">
        <v>30</v>
      </c>
      <c r="G310" s="2">
        <v>329.83</v>
      </c>
      <c r="H310" s="1">
        <v>16</v>
      </c>
      <c r="I310" s="1">
        <v>122</v>
      </c>
      <c r="J310" s="1">
        <v>103</v>
      </c>
      <c r="K310" s="1">
        <v>104</v>
      </c>
      <c r="L310" s="1">
        <v>133</v>
      </c>
      <c r="M310" s="1" t="s">
        <v>41</v>
      </c>
      <c r="N310" s="1" t="s">
        <v>42</v>
      </c>
      <c r="O310" s="1" t="s">
        <v>55</v>
      </c>
      <c r="P310" s="2">
        <v>230.88</v>
      </c>
      <c r="Q310" s="1" t="str">
        <f t="shared" si="12"/>
        <v>NO</v>
      </c>
      <c r="R310" s="2">
        <f t="shared" si="13"/>
        <v>329.83</v>
      </c>
      <c r="S310" s="2">
        <f>J310*G310</f>
        <v>33972.49</v>
      </c>
      <c r="T310" s="1">
        <f t="shared" ca="1" si="14"/>
        <v>91</v>
      </c>
      <c r="U310" s="1" t="s">
        <v>34</v>
      </c>
      <c r="V310" s="1" t="s">
        <v>34</v>
      </c>
      <c r="W310" s="1" t="s">
        <v>34</v>
      </c>
      <c r="X310" s="1" t="s">
        <v>2729</v>
      </c>
      <c r="Y310" s="1">
        <v>5</v>
      </c>
    </row>
    <row r="311" spans="1:25" x14ac:dyDescent="0.3">
      <c r="A311" s="1" t="s">
        <v>496</v>
      </c>
      <c r="B311" s="1" t="s">
        <v>176</v>
      </c>
      <c r="C311" s="1" t="s">
        <v>177</v>
      </c>
      <c r="D311" s="1" t="s">
        <v>39</v>
      </c>
      <c r="E311" s="1" t="s">
        <v>29</v>
      </c>
      <c r="F311" s="1" t="s">
        <v>48</v>
      </c>
      <c r="G311" s="2">
        <v>94.24</v>
      </c>
      <c r="H311" s="1">
        <v>15</v>
      </c>
      <c r="I311" s="1">
        <v>172</v>
      </c>
      <c r="J311" s="1">
        <v>162</v>
      </c>
      <c r="K311" s="1">
        <v>59</v>
      </c>
      <c r="L311" s="1">
        <v>141</v>
      </c>
      <c r="M311" s="1" t="s">
        <v>31</v>
      </c>
      <c r="N311" s="1" t="s">
        <v>42</v>
      </c>
      <c r="O311" s="1" t="s">
        <v>247</v>
      </c>
      <c r="P311" s="2">
        <v>65.97</v>
      </c>
      <c r="Q311" s="1" t="str">
        <f t="shared" si="12"/>
        <v>YES</v>
      </c>
      <c r="R311" s="2">
        <f t="shared" si="13"/>
        <v>84.816000000000003</v>
      </c>
      <c r="S311" s="2">
        <f>J311*G311</f>
        <v>15266.88</v>
      </c>
      <c r="T311" s="1">
        <f t="shared" ca="1" si="14"/>
        <v>125</v>
      </c>
      <c r="U311" s="1" t="s">
        <v>34</v>
      </c>
      <c r="V311" s="1" t="s">
        <v>34</v>
      </c>
      <c r="W311" s="1" t="s">
        <v>34</v>
      </c>
      <c r="X311" s="1" t="s">
        <v>2730</v>
      </c>
      <c r="Y311" s="1">
        <v>5.5</v>
      </c>
    </row>
    <row r="312" spans="1:25" x14ac:dyDescent="0.3">
      <c r="A312" s="1" t="s">
        <v>497</v>
      </c>
      <c r="B312" s="1" t="s">
        <v>102</v>
      </c>
      <c r="C312" s="1" t="s">
        <v>103</v>
      </c>
      <c r="D312" s="1" t="s">
        <v>104</v>
      </c>
      <c r="E312" s="1" t="s">
        <v>40</v>
      </c>
      <c r="F312" s="1" t="s">
        <v>48</v>
      </c>
      <c r="G312" s="2">
        <v>234.24</v>
      </c>
      <c r="H312" s="1">
        <v>6</v>
      </c>
      <c r="I312" s="1">
        <v>93</v>
      </c>
      <c r="J312" s="1">
        <v>83</v>
      </c>
      <c r="K312" s="1">
        <v>81</v>
      </c>
      <c r="L312" s="1">
        <v>78</v>
      </c>
      <c r="M312" s="1" t="s">
        <v>41</v>
      </c>
      <c r="N312" s="1" t="s">
        <v>42</v>
      </c>
      <c r="O312" s="1" t="s">
        <v>229</v>
      </c>
      <c r="P312" s="2">
        <v>163.97</v>
      </c>
      <c r="Q312" s="1" t="str">
        <f t="shared" si="12"/>
        <v>YES</v>
      </c>
      <c r="R312" s="2">
        <f t="shared" si="13"/>
        <v>210.816</v>
      </c>
      <c r="S312" s="2">
        <f>J312*G312</f>
        <v>19441.920000000002</v>
      </c>
      <c r="T312" s="1">
        <f t="shared" ca="1" si="14"/>
        <v>128</v>
      </c>
      <c r="U312" s="1" t="s">
        <v>34</v>
      </c>
      <c r="V312" s="1" t="s">
        <v>34</v>
      </c>
      <c r="W312" s="1" t="s">
        <v>34</v>
      </c>
      <c r="X312" s="1" t="s">
        <v>2731</v>
      </c>
      <c r="Y312" s="1">
        <v>6</v>
      </c>
    </row>
    <row r="313" spans="1:25" x14ac:dyDescent="0.3">
      <c r="A313" s="1" t="s">
        <v>498</v>
      </c>
      <c r="B313" s="1" t="s">
        <v>37</v>
      </c>
      <c r="C313" s="1" t="s">
        <v>38</v>
      </c>
      <c r="D313" s="1" t="s">
        <v>39</v>
      </c>
      <c r="E313" s="1" t="s">
        <v>40</v>
      </c>
      <c r="F313" s="1" t="s">
        <v>54</v>
      </c>
      <c r="G313" s="2">
        <v>225.73</v>
      </c>
      <c r="H313" s="1">
        <v>1</v>
      </c>
      <c r="I313" s="1">
        <v>266</v>
      </c>
      <c r="J313" s="1">
        <v>250</v>
      </c>
      <c r="K313" s="1">
        <v>75</v>
      </c>
      <c r="L313" s="1">
        <v>93</v>
      </c>
      <c r="M313" s="1" t="s">
        <v>31</v>
      </c>
      <c r="N313" s="1" t="s">
        <v>60</v>
      </c>
      <c r="O313" s="1" t="s">
        <v>86</v>
      </c>
      <c r="P313" s="2">
        <v>158.01</v>
      </c>
      <c r="Q313" s="1" t="str">
        <f t="shared" si="12"/>
        <v>YES</v>
      </c>
      <c r="R313" s="2">
        <f t="shared" si="13"/>
        <v>203.15699999999998</v>
      </c>
      <c r="S313" s="2">
        <f>J313*G313</f>
        <v>56432.5</v>
      </c>
      <c r="T313" s="1">
        <f t="shared" ca="1" si="14"/>
        <v>121</v>
      </c>
      <c r="U313" s="1" t="s">
        <v>34</v>
      </c>
      <c r="V313" s="1" t="s">
        <v>34</v>
      </c>
      <c r="W313" s="1" t="s">
        <v>34</v>
      </c>
      <c r="X313" s="1" t="s">
        <v>2732</v>
      </c>
      <c r="Y313" s="1">
        <v>6.5</v>
      </c>
    </row>
    <row r="314" spans="1:25" x14ac:dyDescent="0.3">
      <c r="A314" s="1" t="s">
        <v>499</v>
      </c>
      <c r="B314" s="1" t="s">
        <v>197</v>
      </c>
      <c r="C314" s="1" t="s">
        <v>198</v>
      </c>
      <c r="D314" s="1" t="s">
        <v>104</v>
      </c>
      <c r="E314" s="1" t="s">
        <v>40</v>
      </c>
      <c r="F314" s="1" t="s">
        <v>30</v>
      </c>
      <c r="G314" s="2">
        <v>490.45</v>
      </c>
      <c r="H314" s="1">
        <v>9</v>
      </c>
      <c r="I314" s="1">
        <v>261</v>
      </c>
      <c r="J314" s="1">
        <v>256</v>
      </c>
      <c r="K314" s="1">
        <v>77</v>
      </c>
      <c r="L314" s="1">
        <v>122</v>
      </c>
      <c r="M314" s="1" t="s">
        <v>31</v>
      </c>
      <c r="N314" s="1" t="s">
        <v>32</v>
      </c>
      <c r="O314" s="1" t="s">
        <v>264</v>
      </c>
      <c r="P314" s="2">
        <v>343.31</v>
      </c>
      <c r="Q314" s="1" t="str">
        <f t="shared" si="12"/>
        <v>YES</v>
      </c>
      <c r="R314" s="2">
        <f t="shared" si="13"/>
        <v>441.40499999999997</v>
      </c>
      <c r="S314" s="2">
        <f>J314*G314</f>
        <v>125555.2</v>
      </c>
      <c r="T314" s="1">
        <f t="shared" ca="1" si="14"/>
        <v>84</v>
      </c>
      <c r="U314" s="1" t="s">
        <v>34</v>
      </c>
      <c r="V314" s="1" t="s">
        <v>34</v>
      </c>
      <c r="W314" s="1" t="s">
        <v>34</v>
      </c>
      <c r="X314" s="1" t="s">
        <v>2634</v>
      </c>
      <c r="Y314" s="1">
        <v>7</v>
      </c>
    </row>
    <row r="315" spans="1:25" x14ac:dyDescent="0.3">
      <c r="A315" s="1" t="s">
        <v>500</v>
      </c>
      <c r="B315" s="1" t="s">
        <v>262</v>
      </c>
      <c r="C315" s="1" t="s">
        <v>263</v>
      </c>
      <c r="D315" s="1" t="s">
        <v>104</v>
      </c>
      <c r="E315" s="1" t="s">
        <v>40</v>
      </c>
      <c r="F315" s="1" t="s">
        <v>54</v>
      </c>
      <c r="G315" s="2">
        <v>214.43</v>
      </c>
      <c r="H315" s="1">
        <v>7</v>
      </c>
      <c r="I315" s="1">
        <v>196</v>
      </c>
      <c r="J315" s="1">
        <v>168</v>
      </c>
      <c r="K315" s="1">
        <v>68</v>
      </c>
      <c r="L315" s="1">
        <v>108</v>
      </c>
      <c r="M315" s="1" t="s">
        <v>41</v>
      </c>
      <c r="N315" s="1" t="s">
        <v>32</v>
      </c>
      <c r="O315" s="1" t="s">
        <v>135</v>
      </c>
      <c r="P315" s="2">
        <v>150.1</v>
      </c>
      <c r="Q315" s="1" t="str">
        <f t="shared" si="12"/>
        <v>YES</v>
      </c>
      <c r="R315" s="2">
        <f t="shared" si="13"/>
        <v>192.98700000000002</v>
      </c>
      <c r="S315" s="2">
        <f>J315*G315</f>
        <v>36024.239999999998</v>
      </c>
      <c r="T315" s="1">
        <f t="shared" ca="1" si="14"/>
        <v>71</v>
      </c>
      <c r="U315" s="1" t="s">
        <v>34</v>
      </c>
      <c r="V315" s="1" t="s">
        <v>34</v>
      </c>
      <c r="W315" s="1" t="s">
        <v>34</v>
      </c>
      <c r="X315" s="1" t="s">
        <v>2589</v>
      </c>
      <c r="Y315" s="1">
        <v>7.5</v>
      </c>
    </row>
    <row r="316" spans="1:25" x14ac:dyDescent="0.3">
      <c r="A316" s="1" t="s">
        <v>501</v>
      </c>
      <c r="B316" s="1" t="s">
        <v>126</v>
      </c>
      <c r="C316" s="1" t="s">
        <v>127</v>
      </c>
      <c r="D316" s="1" t="s">
        <v>85</v>
      </c>
      <c r="E316" s="1" t="s">
        <v>74</v>
      </c>
      <c r="F316" s="1" t="s">
        <v>30</v>
      </c>
      <c r="G316" s="2">
        <v>80.39</v>
      </c>
      <c r="H316" s="1">
        <v>6</v>
      </c>
      <c r="I316" s="1">
        <v>255</v>
      </c>
      <c r="J316" s="1">
        <v>230</v>
      </c>
      <c r="K316" s="1">
        <v>97</v>
      </c>
      <c r="L316" s="1">
        <v>121</v>
      </c>
      <c r="M316" s="1" t="s">
        <v>41</v>
      </c>
      <c r="N316" s="1" t="s">
        <v>32</v>
      </c>
      <c r="O316" s="1" t="s">
        <v>311</v>
      </c>
      <c r="P316" s="2">
        <v>56.27</v>
      </c>
      <c r="Q316" s="1" t="str">
        <f t="shared" si="12"/>
        <v>YES</v>
      </c>
      <c r="R316" s="2">
        <f t="shared" si="13"/>
        <v>72.350999999999999</v>
      </c>
      <c r="S316" s="2">
        <f>J316*G316</f>
        <v>18489.7</v>
      </c>
      <c r="T316" s="1">
        <f t="shared" ca="1" si="14"/>
        <v>80</v>
      </c>
      <c r="U316" s="1" t="s">
        <v>34</v>
      </c>
      <c r="V316" s="1" t="s">
        <v>34</v>
      </c>
      <c r="W316" s="1" t="s">
        <v>34</v>
      </c>
      <c r="X316" s="1" t="s">
        <v>2565</v>
      </c>
      <c r="Y316" s="1">
        <v>8</v>
      </c>
    </row>
    <row r="317" spans="1:25" x14ac:dyDescent="0.3">
      <c r="A317" s="1" t="s">
        <v>502</v>
      </c>
      <c r="B317" s="1" t="s">
        <v>45</v>
      </c>
      <c r="C317" s="1" t="s">
        <v>46</v>
      </c>
      <c r="D317" s="1" t="s">
        <v>47</v>
      </c>
      <c r="E317" s="1" t="s">
        <v>29</v>
      </c>
      <c r="F317" s="1" t="s">
        <v>48</v>
      </c>
      <c r="G317" s="2">
        <v>416.67</v>
      </c>
      <c r="H317" s="1">
        <v>19</v>
      </c>
      <c r="I317" s="1">
        <v>90</v>
      </c>
      <c r="J317" s="1">
        <v>78</v>
      </c>
      <c r="K317" s="1">
        <v>72</v>
      </c>
      <c r="L317" s="1">
        <v>97</v>
      </c>
      <c r="M317" s="1" t="s">
        <v>31</v>
      </c>
      <c r="N317" s="1" t="s">
        <v>32</v>
      </c>
      <c r="O317" s="1" t="s">
        <v>100</v>
      </c>
      <c r="P317" s="2">
        <v>291.67</v>
      </c>
      <c r="Q317" s="1" t="str">
        <f t="shared" si="12"/>
        <v>YES</v>
      </c>
      <c r="R317" s="2">
        <f t="shared" si="13"/>
        <v>375.00300000000004</v>
      </c>
      <c r="S317" s="2">
        <f>J317*G317</f>
        <v>32500.260000000002</v>
      </c>
      <c r="T317" s="1">
        <f t="shared" ca="1" si="14"/>
        <v>137</v>
      </c>
      <c r="U317" s="1" t="s">
        <v>34</v>
      </c>
      <c r="V317" s="1" t="s">
        <v>34</v>
      </c>
      <c r="W317" s="1" t="s">
        <v>34</v>
      </c>
      <c r="X317" s="1" t="s">
        <v>2733</v>
      </c>
      <c r="Y317" s="1">
        <v>8.5</v>
      </c>
    </row>
    <row r="318" spans="1:25" x14ac:dyDescent="0.3">
      <c r="A318" s="1" t="s">
        <v>503</v>
      </c>
      <c r="B318" s="1" t="s">
        <v>83</v>
      </c>
      <c r="C318" s="1" t="s">
        <v>84</v>
      </c>
      <c r="D318" s="1" t="s">
        <v>85</v>
      </c>
      <c r="E318" s="1" t="s">
        <v>29</v>
      </c>
      <c r="F318" s="1" t="s">
        <v>48</v>
      </c>
      <c r="G318" s="2">
        <v>464.83</v>
      </c>
      <c r="H318" s="1">
        <v>0</v>
      </c>
      <c r="I318" s="1">
        <v>90</v>
      </c>
      <c r="J318" s="1">
        <v>77</v>
      </c>
      <c r="K318" s="1">
        <v>55</v>
      </c>
      <c r="L318" s="1">
        <v>53</v>
      </c>
      <c r="M318" s="1" t="s">
        <v>31</v>
      </c>
      <c r="N318" s="1" t="s">
        <v>60</v>
      </c>
      <c r="O318" s="1" t="s">
        <v>260</v>
      </c>
      <c r="P318" s="2">
        <v>325.38</v>
      </c>
      <c r="Q318" s="1" t="str">
        <f t="shared" si="12"/>
        <v>YES</v>
      </c>
      <c r="R318" s="2">
        <f t="shared" si="13"/>
        <v>418.34699999999998</v>
      </c>
      <c r="S318" s="2">
        <f>J318*G318</f>
        <v>35791.909999999996</v>
      </c>
      <c r="T318" s="1">
        <f t="shared" ca="1" si="14"/>
        <v>70</v>
      </c>
      <c r="U318" s="1" t="s">
        <v>34</v>
      </c>
      <c r="V318" s="1" t="s">
        <v>34</v>
      </c>
      <c r="W318" s="1" t="s">
        <v>34</v>
      </c>
      <c r="X318" s="1" t="s">
        <v>2550</v>
      </c>
      <c r="Y318" s="1">
        <v>9</v>
      </c>
    </row>
    <row r="319" spans="1:25" x14ac:dyDescent="0.3">
      <c r="A319" s="1" t="s">
        <v>504</v>
      </c>
      <c r="B319" s="1" t="s">
        <v>26</v>
      </c>
      <c r="C319" s="1" t="s">
        <v>27</v>
      </c>
      <c r="D319" s="1" t="s">
        <v>28</v>
      </c>
      <c r="E319" s="1" t="s">
        <v>74</v>
      </c>
      <c r="F319" s="1" t="s">
        <v>48</v>
      </c>
      <c r="G319" s="2">
        <v>217.41</v>
      </c>
      <c r="H319" s="1">
        <v>8</v>
      </c>
      <c r="I319" s="1">
        <v>294</v>
      </c>
      <c r="J319" s="1">
        <v>283</v>
      </c>
      <c r="K319" s="1">
        <v>83</v>
      </c>
      <c r="L319" s="1">
        <v>67</v>
      </c>
      <c r="M319" s="1" t="s">
        <v>31</v>
      </c>
      <c r="N319" s="1" t="s">
        <v>32</v>
      </c>
      <c r="O319" s="1" t="s">
        <v>121</v>
      </c>
      <c r="P319" s="2">
        <v>152.19</v>
      </c>
      <c r="Q319" s="1" t="str">
        <f t="shared" si="12"/>
        <v>YES</v>
      </c>
      <c r="R319" s="2">
        <f t="shared" si="13"/>
        <v>195.66900000000001</v>
      </c>
      <c r="S319" s="2">
        <f>J319*G319</f>
        <v>61527.03</v>
      </c>
      <c r="T319" s="1">
        <f t="shared" ca="1" si="14"/>
        <v>130</v>
      </c>
      <c r="U319" s="1" t="s">
        <v>34</v>
      </c>
      <c r="V319" s="1" t="s">
        <v>34</v>
      </c>
      <c r="W319" s="1" t="s">
        <v>34</v>
      </c>
      <c r="X319" s="1" t="s">
        <v>2585</v>
      </c>
      <c r="Y319" s="1">
        <v>9.5</v>
      </c>
    </row>
    <row r="320" spans="1:25" x14ac:dyDescent="0.3">
      <c r="A320" s="1" t="s">
        <v>505</v>
      </c>
      <c r="B320" s="1" t="s">
        <v>37</v>
      </c>
      <c r="C320" s="1" t="s">
        <v>38</v>
      </c>
      <c r="D320" s="1" t="s">
        <v>39</v>
      </c>
      <c r="E320" s="1" t="s">
        <v>40</v>
      </c>
      <c r="F320" s="1" t="s">
        <v>30</v>
      </c>
      <c r="G320" s="2">
        <v>264.36</v>
      </c>
      <c r="H320" s="1">
        <v>5</v>
      </c>
      <c r="I320" s="1">
        <v>272</v>
      </c>
      <c r="J320" s="1">
        <v>236</v>
      </c>
      <c r="K320" s="1">
        <v>95</v>
      </c>
      <c r="L320" s="1">
        <v>90</v>
      </c>
      <c r="M320" s="1" t="s">
        <v>41</v>
      </c>
      <c r="N320" s="1" t="s">
        <v>60</v>
      </c>
      <c r="O320" s="1" t="s">
        <v>217</v>
      </c>
      <c r="P320" s="2">
        <v>185.05</v>
      </c>
      <c r="Q320" s="1" t="str">
        <f t="shared" si="12"/>
        <v>YES</v>
      </c>
      <c r="R320" s="2">
        <f t="shared" si="13"/>
        <v>237.92400000000001</v>
      </c>
      <c r="S320" s="2">
        <f>J320*G320</f>
        <v>62388.960000000006</v>
      </c>
      <c r="T320" s="1">
        <f t="shared" ca="1" si="14"/>
        <v>100</v>
      </c>
      <c r="U320" s="1" t="s">
        <v>34</v>
      </c>
      <c r="V320" s="1" t="s">
        <v>34</v>
      </c>
      <c r="W320" s="1" t="s">
        <v>34</v>
      </c>
      <c r="X320" s="1" t="s">
        <v>2518</v>
      </c>
      <c r="Y320" s="1">
        <v>5</v>
      </c>
    </row>
    <row r="321" spans="1:25" x14ac:dyDescent="0.3">
      <c r="A321" s="1" t="s">
        <v>506</v>
      </c>
      <c r="B321" s="1" t="s">
        <v>126</v>
      </c>
      <c r="C321" s="1" t="s">
        <v>127</v>
      </c>
      <c r="D321" s="1" t="s">
        <v>85</v>
      </c>
      <c r="E321" s="1" t="s">
        <v>29</v>
      </c>
      <c r="F321" s="1" t="s">
        <v>48</v>
      </c>
      <c r="G321" s="2">
        <v>185.54</v>
      </c>
      <c r="H321" s="1">
        <v>0</v>
      </c>
      <c r="I321" s="1">
        <v>192</v>
      </c>
      <c r="J321" s="1">
        <v>181</v>
      </c>
      <c r="K321" s="1">
        <v>63</v>
      </c>
      <c r="L321" s="1">
        <v>113</v>
      </c>
      <c r="M321" s="1" t="s">
        <v>41</v>
      </c>
      <c r="N321" s="1" t="s">
        <v>42</v>
      </c>
      <c r="O321" s="1" t="s">
        <v>377</v>
      </c>
      <c r="P321" s="2">
        <v>129.88</v>
      </c>
      <c r="Q321" s="1" t="str">
        <f t="shared" si="12"/>
        <v>YES</v>
      </c>
      <c r="R321" s="2">
        <f t="shared" si="13"/>
        <v>166.98599999999999</v>
      </c>
      <c r="S321" s="2">
        <f>J321*G321</f>
        <v>33582.74</v>
      </c>
      <c r="T321" s="1">
        <f t="shared" ca="1" si="14"/>
        <v>65</v>
      </c>
      <c r="U321" s="1" t="s">
        <v>34</v>
      </c>
      <c r="V321" s="1" t="s">
        <v>34</v>
      </c>
      <c r="W321" s="1" t="s">
        <v>34</v>
      </c>
      <c r="X321" s="1" t="s">
        <v>2571</v>
      </c>
      <c r="Y321" s="1">
        <v>5.5</v>
      </c>
    </row>
    <row r="322" spans="1:25" x14ac:dyDescent="0.3">
      <c r="A322" s="1" t="s">
        <v>507</v>
      </c>
      <c r="B322" s="1" t="s">
        <v>192</v>
      </c>
      <c r="C322" s="1" t="s">
        <v>193</v>
      </c>
      <c r="D322" s="1" t="s">
        <v>85</v>
      </c>
      <c r="E322" s="1" t="s">
        <v>40</v>
      </c>
      <c r="F322" s="1" t="s">
        <v>48</v>
      </c>
      <c r="G322" s="2">
        <v>181.5</v>
      </c>
      <c r="H322" s="1">
        <v>20</v>
      </c>
      <c r="I322" s="1">
        <v>98</v>
      </c>
      <c r="J322" s="1">
        <v>63</v>
      </c>
      <c r="K322" s="1">
        <v>93</v>
      </c>
      <c r="L322" s="1">
        <v>129</v>
      </c>
      <c r="M322" s="1" t="s">
        <v>49</v>
      </c>
      <c r="N322" s="1" t="s">
        <v>60</v>
      </c>
      <c r="O322" s="1" t="s">
        <v>340</v>
      </c>
      <c r="P322" s="2">
        <v>127.05</v>
      </c>
      <c r="Q322" s="1" t="str">
        <f t="shared" ref="Q322:Q385" si="15">IF(J322&gt;K322,"YES","NO")</f>
        <v>NO</v>
      </c>
      <c r="R322" s="2">
        <f t="shared" ref="R322:R385" si="16">IF(Q322="YES",G322*0.9,G322)</f>
        <v>181.5</v>
      </c>
      <c r="S322" s="2">
        <f>J322*G322</f>
        <v>11434.5</v>
      </c>
      <c r="T322" s="1">
        <f t="shared" ref="T322:T385" ca="1" si="17">TODAY()-DATE(MID(O322,7,4),MID(O322,4,2),LEFT(O322,2))</f>
        <v>138</v>
      </c>
      <c r="U322" s="1" t="s">
        <v>34</v>
      </c>
      <c r="V322" s="1" t="s">
        <v>34</v>
      </c>
      <c r="W322" s="1" t="s">
        <v>34</v>
      </c>
      <c r="X322" s="1" t="s">
        <v>2564</v>
      </c>
      <c r="Y322" s="1">
        <v>6</v>
      </c>
    </row>
    <row r="323" spans="1:25" x14ac:dyDescent="0.3">
      <c r="A323" s="1" t="s">
        <v>508</v>
      </c>
      <c r="B323" s="1" t="s">
        <v>72</v>
      </c>
      <c r="C323" s="1" t="s">
        <v>73</v>
      </c>
      <c r="D323" s="1" t="s">
        <v>47</v>
      </c>
      <c r="E323" s="1" t="s">
        <v>29</v>
      </c>
      <c r="F323" s="1" t="s">
        <v>30</v>
      </c>
      <c r="G323" s="2">
        <v>340.62</v>
      </c>
      <c r="H323" s="1">
        <v>24</v>
      </c>
      <c r="I323" s="1">
        <v>88</v>
      </c>
      <c r="J323" s="1">
        <v>59</v>
      </c>
      <c r="K323" s="1">
        <v>77</v>
      </c>
      <c r="L323" s="1">
        <v>50</v>
      </c>
      <c r="M323" s="1" t="s">
        <v>49</v>
      </c>
      <c r="N323" s="1" t="s">
        <v>60</v>
      </c>
      <c r="O323" s="1" t="s">
        <v>229</v>
      </c>
      <c r="P323" s="2">
        <v>238.43</v>
      </c>
      <c r="Q323" s="1" t="str">
        <f t="shared" si="15"/>
        <v>NO</v>
      </c>
      <c r="R323" s="2">
        <f t="shared" si="16"/>
        <v>340.62</v>
      </c>
      <c r="S323" s="2">
        <f>J323*G323</f>
        <v>20096.580000000002</v>
      </c>
      <c r="T323" s="1">
        <f t="shared" ca="1" si="17"/>
        <v>128</v>
      </c>
      <c r="U323" s="1" t="s">
        <v>34</v>
      </c>
      <c r="V323" s="1" t="s">
        <v>34</v>
      </c>
      <c r="W323" s="1" t="s">
        <v>34</v>
      </c>
      <c r="X323" s="1" t="s">
        <v>2548</v>
      </c>
      <c r="Y323" s="1">
        <v>6.5</v>
      </c>
    </row>
    <row r="324" spans="1:25" x14ac:dyDescent="0.3">
      <c r="A324" s="1" t="s">
        <v>509</v>
      </c>
      <c r="B324" s="1" t="s">
        <v>126</v>
      </c>
      <c r="C324" s="1" t="s">
        <v>127</v>
      </c>
      <c r="D324" s="1" t="s">
        <v>85</v>
      </c>
      <c r="E324" s="1" t="s">
        <v>40</v>
      </c>
      <c r="F324" s="1" t="s">
        <v>48</v>
      </c>
      <c r="G324" s="2">
        <v>420.84</v>
      </c>
      <c r="H324" s="1">
        <v>0</v>
      </c>
      <c r="I324" s="1">
        <v>296</v>
      </c>
      <c r="J324" s="1">
        <v>257</v>
      </c>
      <c r="K324" s="1">
        <v>86</v>
      </c>
      <c r="L324" s="1">
        <v>98</v>
      </c>
      <c r="M324" s="1" t="s">
        <v>49</v>
      </c>
      <c r="N324" s="1" t="s">
        <v>32</v>
      </c>
      <c r="O324" s="1" t="s">
        <v>133</v>
      </c>
      <c r="P324" s="2">
        <v>294.58999999999997</v>
      </c>
      <c r="Q324" s="1" t="str">
        <f t="shared" si="15"/>
        <v>YES</v>
      </c>
      <c r="R324" s="2">
        <f t="shared" si="16"/>
        <v>378.75599999999997</v>
      </c>
      <c r="S324" s="2">
        <f>J324*G324</f>
        <v>108155.87999999999</v>
      </c>
      <c r="T324" s="1">
        <f t="shared" ca="1" si="17"/>
        <v>76</v>
      </c>
      <c r="U324" s="1" t="s">
        <v>34</v>
      </c>
      <c r="V324" s="1" t="s">
        <v>34</v>
      </c>
      <c r="W324" s="1" t="s">
        <v>34</v>
      </c>
      <c r="X324" s="1" t="s">
        <v>2556</v>
      </c>
      <c r="Y324" s="1">
        <v>7</v>
      </c>
    </row>
    <row r="325" spans="1:25" x14ac:dyDescent="0.3">
      <c r="A325" s="1" t="s">
        <v>510</v>
      </c>
      <c r="B325" s="1" t="s">
        <v>77</v>
      </c>
      <c r="C325" s="1" t="s">
        <v>78</v>
      </c>
      <c r="D325" s="1" t="s">
        <v>47</v>
      </c>
      <c r="E325" s="1" t="s">
        <v>40</v>
      </c>
      <c r="F325" s="1" t="s">
        <v>48</v>
      </c>
      <c r="G325" s="2">
        <v>332.31</v>
      </c>
      <c r="H325" s="1">
        <v>22</v>
      </c>
      <c r="I325" s="1">
        <v>134</v>
      </c>
      <c r="J325" s="1">
        <v>130</v>
      </c>
      <c r="K325" s="1">
        <v>117</v>
      </c>
      <c r="L325" s="1">
        <v>58</v>
      </c>
      <c r="M325" s="1" t="s">
        <v>49</v>
      </c>
      <c r="N325" s="1" t="s">
        <v>42</v>
      </c>
      <c r="O325" s="1" t="s">
        <v>133</v>
      </c>
      <c r="P325" s="2">
        <v>232.62</v>
      </c>
      <c r="Q325" s="1" t="str">
        <f t="shared" si="15"/>
        <v>YES</v>
      </c>
      <c r="R325" s="2">
        <f t="shared" si="16"/>
        <v>299.07900000000001</v>
      </c>
      <c r="S325" s="2">
        <f>J325*G325</f>
        <v>43200.3</v>
      </c>
      <c r="T325" s="1">
        <f t="shared" ca="1" si="17"/>
        <v>76</v>
      </c>
      <c r="U325" s="1" t="s">
        <v>34</v>
      </c>
      <c r="V325" s="1" t="s">
        <v>34</v>
      </c>
      <c r="W325" s="1" t="s">
        <v>34</v>
      </c>
      <c r="X325" s="1" t="s">
        <v>2734</v>
      </c>
      <c r="Y325" s="1">
        <v>7.5</v>
      </c>
    </row>
    <row r="326" spans="1:25" x14ac:dyDescent="0.3">
      <c r="A326" s="1" t="s">
        <v>511</v>
      </c>
      <c r="B326" s="1" t="s">
        <v>63</v>
      </c>
      <c r="C326" s="1" t="s">
        <v>64</v>
      </c>
      <c r="D326" s="1" t="s">
        <v>28</v>
      </c>
      <c r="E326" s="1" t="s">
        <v>29</v>
      </c>
      <c r="F326" s="1" t="s">
        <v>48</v>
      </c>
      <c r="G326" s="2">
        <v>172.66</v>
      </c>
      <c r="H326" s="1">
        <v>16</v>
      </c>
      <c r="I326" s="1">
        <v>170</v>
      </c>
      <c r="J326" s="1">
        <v>142</v>
      </c>
      <c r="K326" s="1">
        <v>82</v>
      </c>
      <c r="L326" s="1">
        <v>123</v>
      </c>
      <c r="M326" s="1" t="s">
        <v>41</v>
      </c>
      <c r="N326" s="1" t="s">
        <v>32</v>
      </c>
      <c r="O326" s="1" t="s">
        <v>121</v>
      </c>
      <c r="P326" s="2">
        <v>120.86</v>
      </c>
      <c r="Q326" s="1" t="str">
        <f t="shared" si="15"/>
        <v>YES</v>
      </c>
      <c r="R326" s="2">
        <f t="shared" si="16"/>
        <v>155.39400000000001</v>
      </c>
      <c r="S326" s="2">
        <f>J326*G326</f>
        <v>24517.72</v>
      </c>
      <c r="T326" s="1">
        <f t="shared" ca="1" si="17"/>
        <v>130</v>
      </c>
      <c r="U326" s="1" t="s">
        <v>34</v>
      </c>
      <c r="V326" s="1" t="s">
        <v>34</v>
      </c>
      <c r="W326" s="1" t="s">
        <v>34</v>
      </c>
      <c r="X326" s="1" t="s">
        <v>2629</v>
      </c>
      <c r="Y326" s="1">
        <v>8</v>
      </c>
    </row>
    <row r="327" spans="1:25" x14ac:dyDescent="0.3">
      <c r="A327" s="1" t="s">
        <v>512</v>
      </c>
      <c r="B327" s="1" t="s">
        <v>37</v>
      </c>
      <c r="C327" s="1" t="s">
        <v>38</v>
      </c>
      <c r="D327" s="1" t="s">
        <v>39</v>
      </c>
      <c r="E327" s="1" t="s">
        <v>40</v>
      </c>
      <c r="F327" s="1" t="s">
        <v>54</v>
      </c>
      <c r="G327" s="2">
        <v>351.88</v>
      </c>
      <c r="H327" s="1">
        <v>5</v>
      </c>
      <c r="I327" s="1">
        <v>92</v>
      </c>
      <c r="J327" s="1">
        <v>67</v>
      </c>
      <c r="K327" s="1">
        <v>106</v>
      </c>
      <c r="L327" s="1">
        <v>93</v>
      </c>
      <c r="M327" s="1" t="s">
        <v>49</v>
      </c>
      <c r="N327" s="1" t="s">
        <v>32</v>
      </c>
      <c r="O327" s="1" t="s">
        <v>401</v>
      </c>
      <c r="P327" s="2">
        <v>246.32</v>
      </c>
      <c r="Q327" s="1" t="str">
        <f t="shared" si="15"/>
        <v>NO</v>
      </c>
      <c r="R327" s="2">
        <f t="shared" si="16"/>
        <v>351.88</v>
      </c>
      <c r="S327" s="2">
        <f>J327*G327</f>
        <v>23575.96</v>
      </c>
      <c r="T327" s="1">
        <f t="shared" ca="1" si="17"/>
        <v>110</v>
      </c>
      <c r="U327" s="1" t="s">
        <v>34</v>
      </c>
      <c r="V327" s="1" t="s">
        <v>34</v>
      </c>
      <c r="W327" s="1" t="s">
        <v>34</v>
      </c>
      <c r="X327" s="1" t="s">
        <v>2598</v>
      </c>
      <c r="Y327" s="1">
        <v>8.5</v>
      </c>
    </row>
    <row r="328" spans="1:25" x14ac:dyDescent="0.3">
      <c r="A328" s="1" t="s">
        <v>513</v>
      </c>
      <c r="B328" s="1" t="s">
        <v>83</v>
      </c>
      <c r="C328" s="1" t="s">
        <v>84</v>
      </c>
      <c r="D328" s="1" t="s">
        <v>85</v>
      </c>
      <c r="E328" s="1" t="s">
        <v>74</v>
      </c>
      <c r="F328" s="1" t="s">
        <v>48</v>
      </c>
      <c r="G328" s="2">
        <v>302.41000000000003</v>
      </c>
      <c r="H328" s="1">
        <v>10</v>
      </c>
      <c r="I328" s="1">
        <v>152</v>
      </c>
      <c r="J328" s="1">
        <v>115</v>
      </c>
      <c r="K328" s="1">
        <v>92</v>
      </c>
      <c r="L328" s="1">
        <v>68</v>
      </c>
      <c r="M328" s="1" t="s">
        <v>49</v>
      </c>
      <c r="N328" s="1" t="s">
        <v>42</v>
      </c>
      <c r="O328" s="1" t="s">
        <v>81</v>
      </c>
      <c r="P328" s="2">
        <v>211.69</v>
      </c>
      <c r="Q328" s="1" t="str">
        <f t="shared" si="15"/>
        <v>YES</v>
      </c>
      <c r="R328" s="2">
        <f t="shared" si="16"/>
        <v>272.16900000000004</v>
      </c>
      <c r="S328" s="2">
        <f>J328*G328</f>
        <v>34777.15</v>
      </c>
      <c r="T328" s="1">
        <f t="shared" ca="1" si="17"/>
        <v>81</v>
      </c>
      <c r="U328" s="1" t="s">
        <v>34</v>
      </c>
      <c r="V328" s="1" t="s">
        <v>34</v>
      </c>
      <c r="W328" s="1" t="s">
        <v>34</v>
      </c>
      <c r="X328" s="1" t="s">
        <v>2733</v>
      </c>
      <c r="Y328" s="1">
        <v>9</v>
      </c>
    </row>
    <row r="329" spans="1:25" x14ac:dyDescent="0.3">
      <c r="A329" s="1" t="s">
        <v>514</v>
      </c>
      <c r="B329" s="1" t="s">
        <v>52</v>
      </c>
      <c r="C329" s="1" t="s">
        <v>53</v>
      </c>
      <c r="D329" s="1" t="s">
        <v>47</v>
      </c>
      <c r="E329" s="1" t="s">
        <v>74</v>
      </c>
      <c r="F329" s="1" t="s">
        <v>48</v>
      </c>
      <c r="G329" s="2">
        <v>322.05</v>
      </c>
      <c r="H329" s="1">
        <v>9</v>
      </c>
      <c r="I329" s="1">
        <v>154</v>
      </c>
      <c r="J329" s="1">
        <v>115</v>
      </c>
      <c r="K329" s="1">
        <v>109</v>
      </c>
      <c r="L329" s="1">
        <v>127</v>
      </c>
      <c r="M329" s="1" t="s">
        <v>31</v>
      </c>
      <c r="N329" s="1" t="s">
        <v>32</v>
      </c>
      <c r="O329" s="1" t="s">
        <v>109</v>
      </c>
      <c r="P329" s="2">
        <v>225.44</v>
      </c>
      <c r="Q329" s="1" t="str">
        <f t="shared" si="15"/>
        <v>YES</v>
      </c>
      <c r="R329" s="2">
        <f t="shared" si="16"/>
        <v>289.84500000000003</v>
      </c>
      <c r="S329" s="2">
        <f>J329*G329</f>
        <v>37035.75</v>
      </c>
      <c r="T329" s="1">
        <f t="shared" ca="1" si="17"/>
        <v>89</v>
      </c>
      <c r="U329" s="1" t="s">
        <v>34</v>
      </c>
      <c r="V329" s="1" t="s">
        <v>34</v>
      </c>
      <c r="W329" s="1" t="s">
        <v>34</v>
      </c>
      <c r="X329" s="1" t="s">
        <v>2585</v>
      </c>
      <c r="Y329" s="1">
        <v>9.5</v>
      </c>
    </row>
    <row r="330" spans="1:25" x14ac:dyDescent="0.3">
      <c r="A330" s="1" t="s">
        <v>515</v>
      </c>
      <c r="B330" s="1" t="s">
        <v>102</v>
      </c>
      <c r="C330" s="1" t="s">
        <v>103</v>
      </c>
      <c r="D330" s="1" t="s">
        <v>104</v>
      </c>
      <c r="E330" s="1" t="s">
        <v>74</v>
      </c>
      <c r="F330" s="1" t="s">
        <v>30</v>
      </c>
      <c r="G330" s="2">
        <v>301.11</v>
      </c>
      <c r="H330" s="1">
        <v>13</v>
      </c>
      <c r="I330" s="1">
        <v>136</v>
      </c>
      <c r="J330" s="1">
        <v>130</v>
      </c>
      <c r="K330" s="1">
        <v>67</v>
      </c>
      <c r="L330" s="1">
        <v>129</v>
      </c>
      <c r="M330" s="1" t="s">
        <v>31</v>
      </c>
      <c r="N330" s="1" t="s">
        <v>42</v>
      </c>
      <c r="O330" s="1" t="s">
        <v>113</v>
      </c>
      <c r="P330" s="2">
        <v>210.78</v>
      </c>
      <c r="Q330" s="1" t="str">
        <f t="shared" si="15"/>
        <v>YES</v>
      </c>
      <c r="R330" s="2">
        <f t="shared" si="16"/>
        <v>270.99900000000002</v>
      </c>
      <c r="S330" s="2">
        <f>J330*G330</f>
        <v>39144.300000000003</v>
      </c>
      <c r="T330" s="1">
        <f t="shared" ca="1" si="17"/>
        <v>82</v>
      </c>
      <c r="U330" s="1" t="s">
        <v>34</v>
      </c>
      <c r="V330" s="1" t="s">
        <v>34</v>
      </c>
      <c r="W330" s="1" t="s">
        <v>34</v>
      </c>
      <c r="X330" s="1" t="s">
        <v>2645</v>
      </c>
      <c r="Y330" s="1">
        <v>5</v>
      </c>
    </row>
    <row r="331" spans="1:25" x14ac:dyDescent="0.3">
      <c r="A331" s="1" t="s">
        <v>516</v>
      </c>
      <c r="B331" s="1" t="s">
        <v>26</v>
      </c>
      <c r="C331" s="1" t="s">
        <v>27</v>
      </c>
      <c r="D331" s="1" t="s">
        <v>28</v>
      </c>
      <c r="E331" s="1" t="s">
        <v>74</v>
      </c>
      <c r="F331" s="1" t="s">
        <v>30</v>
      </c>
      <c r="G331" s="2">
        <v>425.73</v>
      </c>
      <c r="H331" s="1">
        <v>23</v>
      </c>
      <c r="I331" s="1">
        <v>239</v>
      </c>
      <c r="J331" s="1">
        <v>232</v>
      </c>
      <c r="K331" s="1">
        <v>113</v>
      </c>
      <c r="L331" s="1">
        <v>150</v>
      </c>
      <c r="M331" s="1" t="s">
        <v>31</v>
      </c>
      <c r="N331" s="1" t="s">
        <v>60</v>
      </c>
      <c r="O331" s="1" t="s">
        <v>311</v>
      </c>
      <c r="P331" s="2">
        <v>298.01</v>
      </c>
      <c r="Q331" s="1" t="str">
        <f t="shared" si="15"/>
        <v>YES</v>
      </c>
      <c r="R331" s="2">
        <f t="shared" si="16"/>
        <v>383.15700000000004</v>
      </c>
      <c r="S331" s="2">
        <f>J331*G331</f>
        <v>98769.36</v>
      </c>
      <c r="T331" s="1">
        <f t="shared" ca="1" si="17"/>
        <v>80</v>
      </c>
      <c r="U331" s="1" t="s">
        <v>34</v>
      </c>
      <c r="V331" s="1" t="s">
        <v>34</v>
      </c>
      <c r="W331" s="1" t="s">
        <v>34</v>
      </c>
      <c r="X331" s="1" t="s">
        <v>2735</v>
      </c>
      <c r="Y331" s="1">
        <v>5.5</v>
      </c>
    </row>
    <row r="332" spans="1:25" x14ac:dyDescent="0.3">
      <c r="A332" s="1" t="s">
        <v>517</v>
      </c>
      <c r="B332" s="1" t="s">
        <v>95</v>
      </c>
      <c r="C332" s="1" t="s">
        <v>96</v>
      </c>
      <c r="D332" s="1" t="s">
        <v>97</v>
      </c>
      <c r="E332" s="1" t="s">
        <v>29</v>
      </c>
      <c r="F332" s="1" t="s">
        <v>48</v>
      </c>
      <c r="G332" s="2">
        <v>352.19</v>
      </c>
      <c r="H332" s="1">
        <v>20</v>
      </c>
      <c r="I332" s="1">
        <v>136</v>
      </c>
      <c r="J332" s="1">
        <v>108</v>
      </c>
      <c r="K332" s="1">
        <v>85</v>
      </c>
      <c r="L332" s="1">
        <v>136</v>
      </c>
      <c r="M332" s="1" t="s">
        <v>49</v>
      </c>
      <c r="N332" s="1" t="s">
        <v>32</v>
      </c>
      <c r="O332" s="1" t="s">
        <v>217</v>
      </c>
      <c r="P332" s="2">
        <v>246.53</v>
      </c>
      <c r="Q332" s="1" t="str">
        <f t="shared" si="15"/>
        <v>YES</v>
      </c>
      <c r="R332" s="2">
        <f t="shared" si="16"/>
        <v>316.971</v>
      </c>
      <c r="S332" s="2">
        <f>J332*G332</f>
        <v>38036.519999999997</v>
      </c>
      <c r="T332" s="1">
        <f t="shared" ca="1" si="17"/>
        <v>100</v>
      </c>
      <c r="U332" s="1" t="s">
        <v>34</v>
      </c>
      <c r="V332" s="1" t="s">
        <v>34</v>
      </c>
      <c r="W332" s="1" t="s">
        <v>34</v>
      </c>
      <c r="X332" s="1" t="s">
        <v>2531</v>
      </c>
      <c r="Y332" s="1">
        <v>6</v>
      </c>
    </row>
    <row r="333" spans="1:25" x14ac:dyDescent="0.3">
      <c r="A333" s="1" t="s">
        <v>518</v>
      </c>
      <c r="B333" s="1" t="s">
        <v>57</v>
      </c>
      <c r="C333" s="1" t="s">
        <v>58</v>
      </c>
      <c r="D333" s="1" t="s">
        <v>59</v>
      </c>
      <c r="E333" s="1" t="s">
        <v>29</v>
      </c>
      <c r="F333" s="1" t="s">
        <v>54</v>
      </c>
      <c r="G333" s="2">
        <v>202.98</v>
      </c>
      <c r="H333" s="1">
        <v>18</v>
      </c>
      <c r="I333" s="1">
        <v>277</v>
      </c>
      <c r="J333" s="1">
        <v>238</v>
      </c>
      <c r="K333" s="1">
        <v>75</v>
      </c>
      <c r="L333" s="1">
        <v>73</v>
      </c>
      <c r="M333" s="1" t="s">
        <v>49</v>
      </c>
      <c r="N333" s="1" t="s">
        <v>32</v>
      </c>
      <c r="O333" s="1" t="s">
        <v>311</v>
      </c>
      <c r="P333" s="2">
        <v>142.09</v>
      </c>
      <c r="Q333" s="1" t="str">
        <f t="shared" si="15"/>
        <v>YES</v>
      </c>
      <c r="R333" s="2">
        <f t="shared" si="16"/>
        <v>182.68199999999999</v>
      </c>
      <c r="S333" s="2">
        <f>J333*G333</f>
        <v>48309.24</v>
      </c>
      <c r="T333" s="1">
        <f t="shared" ca="1" si="17"/>
        <v>80</v>
      </c>
      <c r="U333" s="1" t="s">
        <v>34</v>
      </c>
      <c r="V333" s="1" t="s">
        <v>34</v>
      </c>
      <c r="W333" s="1" t="s">
        <v>34</v>
      </c>
      <c r="X333" s="1" t="s">
        <v>2684</v>
      </c>
      <c r="Y333" s="1">
        <v>6.5</v>
      </c>
    </row>
    <row r="334" spans="1:25" x14ac:dyDescent="0.3">
      <c r="A334" s="1" t="s">
        <v>519</v>
      </c>
      <c r="B334" s="1" t="s">
        <v>111</v>
      </c>
      <c r="C334" s="1" t="s">
        <v>112</v>
      </c>
      <c r="D334" s="1" t="s">
        <v>97</v>
      </c>
      <c r="E334" s="1" t="s">
        <v>40</v>
      </c>
      <c r="F334" s="1" t="s">
        <v>54</v>
      </c>
      <c r="G334" s="2">
        <v>233.23</v>
      </c>
      <c r="H334" s="1">
        <v>11</v>
      </c>
      <c r="I334" s="1">
        <v>149</v>
      </c>
      <c r="J334" s="1">
        <v>125</v>
      </c>
      <c r="K334" s="1">
        <v>106</v>
      </c>
      <c r="L334" s="1">
        <v>50</v>
      </c>
      <c r="M334" s="1" t="s">
        <v>31</v>
      </c>
      <c r="N334" s="1" t="s">
        <v>60</v>
      </c>
      <c r="O334" s="1" t="s">
        <v>217</v>
      </c>
      <c r="P334" s="2">
        <v>163.26</v>
      </c>
      <c r="Q334" s="1" t="str">
        <f t="shared" si="15"/>
        <v>YES</v>
      </c>
      <c r="R334" s="2">
        <f t="shared" si="16"/>
        <v>209.90699999999998</v>
      </c>
      <c r="S334" s="2">
        <f>J334*G334</f>
        <v>29153.75</v>
      </c>
      <c r="T334" s="1">
        <f t="shared" ca="1" si="17"/>
        <v>100</v>
      </c>
      <c r="U334" s="1" t="s">
        <v>34</v>
      </c>
      <c r="V334" s="1" t="s">
        <v>34</v>
      </c>
      <c r="W334" s="1" t="s">
        <v>34</v>
      </c>
      <c r="X334" s="1" t="s">
        <v>2735</v>
      </c>
      <c r="Y334" s="1">
        <v>7</v>
      </c>
    </row>
    <row r="335" spans="1:25" x14ac:dyDescent="0.3">
      <c r="A335" s="1" t="s">
        <v>520</v>
      </c>
      <c r="B335" s="1" t="s">
        <v>95</v>
      </c>
      <c r="C335" s="1" t="s">
        <v>96</v>
      </c>
      <c r="D335" s="1" t="s">
        <v>97</v>
      </c>
      <c r="E335" s="1" t="s">
        <v>74</v>
      </c>
      <c r="F335" s="1" t="s">
        <v>48</v>
      </c>
      <c r="G335" s="2">
        <v>189.03</v>
      </c>
      <c r="H335" s="1">
        <v>0</v>
      </c>
      <c r="I335" s="1">
        <v>120</v>
      </c>
      <c r="J335" s="1">
        <v>102</v>
      </c>
      <c r="K335" s="1">
        <v>65</v>
      </c>
      <c r="L335" s="1">
        <v>83</v>
      </c>
      <c r="M335" s="1" t="s">
        <v>31</v>
      </c>
      <c r="N335" s="1" t="s">
        <v>42</v>
      </c>
      <c r="O335" s="1" t="s">
        <v>205</v>
      </c>
      <c r="P335" s="2">
        <v>132.32</v>
      </c>
      <c r="Q335" s="1" t="str">
        <f t="shared" si="15"/>
        <v>YES</v>
      </c>
      <c r="R335" s="2">
        <f t="shared" si="16"/>
        <v>170.12700000000001</v>
      </c>
      <c r="S335" s="2">
        <f>J335*G335</f>
        <v>19281.060000000001</v>
      </c>
      <c r="T335" s="1">
        <f t="shared" ca="1" si="17"/>
        <v>74</v>
      </c>
      <c r="U335" s="1" t="s">
        <v>34</v>
      </c>
      <c r="V335" s="1" t="s">
        <v>34</v>
      </c>
      <c r="W335" s="1" t="s">
        <v>34</v>
      </c>
      <c r="X335" s="1" t="s">
        <v>2736</v>
      </c>
      <c r="Y335" s="1">
        <v>7.5</v>
      </c>
    </row>
    <row r="336" spans="1:25" x14ac:dyDescent="0.3">
      <c r="A336" s="1" t="s">
        <v>521</v>
      </c>
      <c r="B336" s="1" t="s">
        <v>107</v>
      </c>
      <c r="C336" s="1" t="s">
        <v>108</v>
      </c>
      <c r="D336" s="1" t="s">
        <v>39</v>
      </c>
      <c r="E336" s="1" t="s">
        <v>74</v>
      </c>
      <c r="F336" s="1" t="s">
        <v>48</v>
      </c>
      <c r="G336" s="2">
        <v>191.93</v>
      </c>
      <c r="H336" s="1">
        <v>9</v>
      </c>
      <c r="I336" s="1">
        <v>253</v>
      </c>
      <c r="J336" s="1">
        <v>253</v>
      </c>
      <c r="K336" s="1">
        <v>74</v>
      </c>
      <c r="L336" s="1">
        <v>145</v>
      </c>
      <c r="M336" s="1" t="s">
        <v>31</v>
      </c>
      <c r="N336" s="1" t="s">
        <v>32</v>
      </c>
      <c r="O336" s="1" t="s">
        <v>157</v>
      </c>
      <c r="P336" s="2">
        <v>134.35</v>
      </c>
      <c r="Q336" s="1" t="str">
        <f t="shared" si="15"/>
        <v>YES</v>
      </c>
      <c r="R336" s="2">
        <f t="shared" si="16"/>
        <v>172.73700000000002</v>
      </c>
      <c r="S336" s="2">
        <f>J336*G336</f>
        <v>48558.29</v>
      </c>
      <c r="T336" s="1">
        <f t="shared" ca="1" si="17"/>
        <v>103</v>
      </c>
      <c r="U336" s="1" t="s">
        <v>34</v>
      </c>
      <c r="V336" s="1" t="s">
        <v>34</v>
      </c>
      <c r="W336" s="1" t="s">
        <v>34</v>
      </c>
      <c r="X336" s="1" t="s">
        <v>2629</v>
      </c>
      <c r="Y336" s="1">
        <v>8</v>
      </c>
    </row>
    <row r="337" spans="1:25" x14ac:dyDescent="0.3">
      <c r="A337" s="1" t="s">
        <v>522</v>
      </c>
      <c r="B337" s="1" t="s">
        <v>102</v>
      </c>
      <c r="C337" s="1" t="s">
        <v>103</v>
      </c>
      <c r="D337" s="1" t="s">
        <v>104</v>
      </c>
      <c r="E337" s="1" t="s">
        <v>29</v>
      </c>
      <c r="F337" s="1" t="s">
        <v>48</v>
      </c>
      <c r="G337" s="2">
        <v>357.86</v>
      </c>
      <c r="H337" s="1">
        <v>10</v>
      </c>
      <c r="I337" s="1">
        <v>189</v>
      </c>
      <c r="J337" s="1">
        <v>179</v>
      </c>
      <c r="K337" s="1">
        <v>120</v>
      </c>
      <c r="L337" s="1">
        <v>135</v>
      </c>
      <c r="M337" s="1" t="s">
        <v>49</v>
      </c>
      <c r="N337" s="1" t="s">
        <v>60</v>
      </c>
      <c r="O337" s="1" t="s">
        <v>257</v>
      </c>
      <c r="P337" s="2">
        <v>250.5</v>
      </c>
      <c r="Q337" s="1" t="str">
        <f t="shared" si="15"/>
        <v>YES</v>
      </c>
      <c r="R337" s="2">
        <f t="shared" si="16"/>
        <v>322.07400000000001</v>
      </c>
      <c r="S337" s="2">
        <f>J337*G337</f>
        <v>64056.94</v>
      </c>
      <c r="T337" s="1">
        <f t="shared" ca="1" si="17"/>
        <v>113</v>
      </c>
      <c r="U337" s="1" t="s">
        <v>34</v>
      </c>
      <c r="V337" s="1" t="s">
        <v>34</v>
      </c>
      <c r="W337" s="1" t="s">
        <v>34</v>
      </c>
      <c r="X337" s="1" t="s">
        <v>2737</v>
      </c>
      <c r="Y337" s="1">
        <v>8.5</v>
      </c>
    </row>
    <row r="338" spans="1:25" x14ac:dyDescent="0.3">
      <c r="A338" s="1" t="s">
        <v>523</v>
      </c>
      <c r="B338" s="1" t="s">
        <v>57</v>
      </c>
      <c r="C338" s="1" t="s">
        <v>58</v>
      </c>
      <c r="D338" s="1" t="s">
        <v>59</v>
      </c>
      <c r="E338" s="1" t="s">
        <v>29</v>
      </c>
      <c r="F338" s="1" t="s">
        <v>30</v>
      </c>
      <c r="G338" s="2">
        <v>270.02999999999997</v>
      </c>
      <c r="H338" s="1">
        <v>17</v>
      </c>
      <c r="I338" s="1">
        <v>129</v>
      </c>
      <c r="J338" s="1">
        <v>118</v>
      </c>
      <c r="K338" s="1">
        <v>67</v>
      </c>
      <c r="L338" s="1">
        <v>56</v>
      </c>
      <c r="M338" s="1" t="s">
        <v>49</v>
      </c>
      <c r="N338" s="1" t="s">
        <v>60</v>
      </c>
      <c r="O338" s="1" t="s">
        <v>254</v>
      </c>
      <c r="P338" s="2">
        <v>189.02</v>
      </c>
      <c r="Q338" s="1" t="str">
        <f t="shared" si="15"/>
        <v>YES</v>
      </c>
      <c r="R338" s="2">
        <f t="shared" si="16"/>
        <v>243.02699999999999</v>
      </c>
      <c r="S338" s="2">
        <f>J338*G338</f>
        <v>31863.539999999997</v>
      </c>
      <c r="T338" s="1">
        <f t="shared" ca="1" si="17"/>
        <v>145</v>
      </c>
      <c r="U338" s="1" t="s">
        <v>34</v>
      </c>
      <c r="V338" s="1" t="s">
        <v>34</v>
      </c>
      <c r="W338" s="1" t="s">
        <v>34</v>
      </c>
      <c r="X338" s="1" t="s">
        <v>2704</v>
      </c>
      <c r="Y338" s="1">
        <v>9</v>
      </c>
    </row>
    <row r="339" spans="1:25" x14ac:dyDescent="0.3">
      <c r="A339" s="1" t="s">
        <v>524</v>
      </c>
      <c r="B339" s="1" t="s">
        <v>118</v>
      </c>
      <c r="C339" s="1" t="s">
        <v>119</v>
      </c>
      <c r="D339" s="1" t="s">
        <v>97</v>
      </c>
      <c r="E339" s="1" t="s">
        <v>40</v>
      </c>
      <c r="F339" s="1" t="s">
        <v>54</v>
      </c>
      <c r="G339" s="2">
        <v>357.18</v>
      </c>
      <c r="H339" s="1">
        <v>3</v>
      </c>
      <c r="I339" s="1">
        <v>85</v>
      </c>
      <c r="J339" s="1">
        <v>55</v>
      </c>
      <c r="K339" s="1">
        <v>43</v>
      </c>
      <c r="L339" s="1">
        <v>100</v>
      </c>
      <c r="M339" s="1" t="s">
        <v>49</v>
      </c>
      <c r="N339" s="1" t="s">
        <v>32</v>
      </c>
      <c r="O339" s="1" t="s">
        <v>174</v>
      </c>
      <c r="P339" s="2">
        <v>250.03</v>
      </c>
      <c r="Q339" s="1" t="str">
        <f t="shared" si="15"/>
        <v>YES</v>
      </c>
      <c r="R339" s="2">
        <f t="shared" si="16"/>
        <v>321.46199999999999</v>
      </c>
      <c r="S339" s="2">
        <f>J339*G339</f>
        <v>19644.900000000001</v>
      </c>
      <c r="T339" s="1">
        <f t="shared" ca="1" si="17"/>
        <v>88</v>
      </c>
      <c r="U339" s="1" t="s">
        <v>34</v>
      </c>
      <c r="V339" s="1" t="s">
        <v>34</v>
      </c>
      <c r="W339" s="1" t="s">
        <v>34</v>
      </c>
      <c r="X339" s="1" t="s">
        <v>2738</v>
      </c>
      <c r="Y339" s="1">
        <v>9.5</v>
      </c>
    </row>
    <row r="340" spans="1:25" x14ac:dyDescent="0.3">
      <c r="A340" s="1" t="s">
        <v>525</v>
      </c>
      <c r="B340" s="1" t="s">
        <v>299</v>
      </c>
      <c r="C340" s="1" t="s">
        <v>300</v>
      </c>
      <c r="D340" s="1" t="s">
        <v>39</v>
      </c>
      <c r="E340" s="1" t="s">
        <v>40</v>
      </c>
      <c r="F340" s="1" t="s">
        <v>30</v>
      </c>
      <c r="G340" s="2">
        <v>76.41</v>
      </c>
      <c r="H340" s="1">
        <v>18</v>
      </c>
      <c r="I340" s="1">
        <v>144</v>
      </c>
      <c r="J340" s="1">
        <v>118</v>
      </c>
      <c r="K340" s="1">
        <v>115</v>
      </c>
      <c r="L340" s="1">
        <v>53</v>
      </c>
      <c r="M340" s="1" t="s">
        <v>41</v>
      </c>
      <c r="N340" s="1" t="s">
        <v>60</v>
      </c>
      <c r="O340" s="1" t="s">
        <v>116</v>
      </c>
      <c r="P340" s="2">
        <v>53.49</v>
      </c>
      <c r="Q340" s="1" t="str">
        <f t="shared" si="15"/>
        <v>YES</v>
      </c>
      <c r="R340" s="2">
        <f t="shared" si="16"/>
        <v>68.769000000000005</v>
      </c>
      <c r="S340" s="2">
        <f>J340*G340</f>
        <v>9016.3799999999992</v>
      </c>
      <c r="T340" s="1">
        <f t="shared" ca="1" si="17"/>
        <v>87</v>
      </c>
      <c r="U340" s="1" t="s">
        <v>34</v>
      </c>
      <c r="V340" s="1" t="s">
        <v>34</v>
      </c>
      <c r="W340" s="1" t="s">
        <v>34</v>
      </c>
      <c r="X340" s="1" t="s">
        <v>2689</v>
      </c>
      <c r="Y340" s="1">
        <v>5</v>
      </c>
    </row>
    <row r="341" spans="1:25" x14ac:dyDescent="0.3">
      <c r="A341" s="1" t="s">
        <v>526</v>
      </c>
      <c r="B341" s="1" t="s">
        <v>95</v>
      </c>
      <c r="C341" s="1" t="s">
        <v>96</v>
      </c>
      <c r="D341" s="1" t="s">
        <v>97</v>
      </c>
      <c r="E341" s="1" t="s">
        <v>40</v>
      </c>
      <c r="F341" s="1" t="s">
        <v>54</v>
      </c>
      <c r="G341" s="2">
        <v>131.4</v>
      </c>
      <c r="H341" s="1">
        <v>7</v>
      </c>
      <c r="I341" s="1">
        <v>243</v>
      </c>
      <c r="J341" s="1">
        <v>237</v>
      </c>
      <c r="K341" s="1">
        <v>98</v>
      </c>
      <c r="L341" s="1">
        <v>149</v>
      </c>
      <c r="M341" s="1" t="s">
        <v>31</v>
      </c>
      <c r="N341" s="1" t="s">
        <v>42</v>
      </c>
      <c r="O341" s="1" t="s">
        <v>224</v>
      </c>
      <c r="P341" s="2">
        <v>91.98</v>
      </c>
      <c r="Q341" s="1" t="str">
        <f t="shared" si="15"/>
        <v>YES</v>
      </c>
      <c r="R341" s="2">
        <f t="shared" si="16"/>
        <v>118.26</v>
      </c>
      <c r="S341" s="2">
        <f>J341*G341</f>
        <v>31141.800000000003</v>
      </c>
      <c r="T341" s="1">
        <f t="shared" ca="1" si="17"/>
        <v>140</v>
      </c>
      <c r="U341" s="1" t="s">
        <v>34</v>
      </c>
      <c r="V341" s="1" t="s">
        <v>34</v>
      </c>
      <c r="W341" s="1" t="s">
        <v>34</v>
      </c>
      <c r="X341" s="1" t="s">
        <v>2739</v>
      </c>
      <c r="Y341" s="1">
        <v>5.5</v>
      </c>
    </row>
    <row r="342" spans="1:25" x14ac:dyDescent="0.3">
      <c r="A342" s="1" t="s">
        <v>527</v>
      </c>
      <c r="B342" s="1" t="s">
        <v>192</v>
      </c>
      <c r="C342" s="1" t="s">
        <v>193</v>
      </c>
      <c r="D342" s="1" t="s">
        <v>85</v>
      </c>
      <c r="E342" s="1" t="s">
        <v>40</v>
      </c>
      <c r="F342" s="1" t="s">
        <v>54</v>
      </c>
      <c r="G342" s="2">
        <v>73.67</v>
      </c>
      <c r="H342" s="1">
        <v>17</v>
      </c>
      <c r="I342" s="1">
        <v>100</v>
      </c>
      <c r="J342" s="1">
        <v>65</v>
      </c>
      <c r="K342" s="1">
        <v>106</v>
      </c>
      <c r="L342" s="1">
        <v>79</v>
      </c>
      <c r="M342" s="1" t="s">
        <v>41</v>
      </c>
      <c r="N342" s="1" t="s">
        <v>60</v>
      </c>
      <c r="O342" s="1" t="s">
        <v>43</v>
      </c>
      <c r="P342" s="2">
        <v>51.57</v>
      </c>
      <c r="Q342" s="1" t="str">
        <f t="shared" si="15"/>
        <v>NO</v>
      </c>
      <c r="R342" s="2">
        <f t="shared" si="16"/>
        <v>73.67</v>
      </c>
      <c r="S342" s="2">
        <f>J342*G342</f>
        <v>4788.55</v>
      </c>
      <c r="T342" s="1">
        <f t="shared" ca="1" si="17"/>
        <v>117</v>
      </c>
      <c r="U342" s="1" t="s">
        <v>34</v>
      </c>
      <c r="V342" s="1" t="s">
        <v>34</v>
      </c>
      <c r="W342" s="1" t="s">
        <v>34</v>
      </c>
      <c r="X342" s="1" t="s">
        <v>2740</v>
      </c>
      <c r="Y342" s="1">
        <v>6</v>
      </c>
    </row>
    <row r="343" spans="1:25" x14ac:dyDescent="0.3">
      <c r="A343" s="1" t="s">
        <v>528</v>
      </c>
      <c r="B343" s="1" t="s">
        <v>166</v>
      </c>
      <c r="C343" s="1" t="s">
        <v>167</v>
      </c>
      <c r="D343" s="1" t="s">
        <v>59</v>
      </c>
      <c r="E343" s="1" t="s">
        <v>40</v>
      </c>
      <c r="F343" s="1" t="s">
        <v>48</v>
      </c>
      <c r="G343" s="2">
        <v>411.44</v>
      </c>
      <c r="H343" s="1">
        <v>17</v>
      </c>
      <c r="I343" s="1">
        <v>144</v>
      </c>
      <c r="J343" s="1">
        <v>127</v>
      </c>
      <c r="K343" s="1">
        <v>107</v>
      </c>
      <c r="L343" s="1">
        <v>84</v>
      </c>
      <c r="M343" s="1" t="s">
        <v>41</v>
      </c>
      <c r="N343" s="1" t="s">
        <v>32</v>
      </c>
      <c r="O343" s="1" t="s">
        <v>61</v>
      </c>
      <c r="P343" s="2">
        <v>288.01</v>
      </c>
      <c r="Q343" s="1" t="str">
        <f t="shared" si="15"/>
        <v>YES</v>
      </c>
      <c r="R343" s="2">
        <f t="shared" si="16"/>
        <v>370.29599999999999</v>
      </c>
      <c r="S343" s="2">
        <f>J343*G343</f>
        <v>52252.88</v>
      </c>
      <c r="T343" s="1">
        <f t="shared" ca="1" si="17"/>
        <v>73</v>
      </c>
      <c r="U343" s="1" t="s">
        <v>34</v>
      </c>
      <c r="V343" s="1" t="s">
        <v>34</v>
      </c>
      <c r="W343" s="1" t="s">
        <v>34</v>
      </c>
      <c r="X343" s="1" t="s">
        <v>2741</v>
      </c>
      <c r="Y343" s="1">
        <v>6.5</v>
      </c>
    </row>
    <row r="344" spans="1:25" x14ac:dyDescent="0.3">
      <c r="A344" s="1" t="s">
        <v>529</v>
      </c>
      <c r="B344" s="1" t="s">
        <v>45</v>
      </c>
      <c r="C344" s="1" t="s">
        <v>46</v>
      </c>
      <c r="D344" s="1" t="s">
        <v>47</v>
      </c>
      <c r="E344" s="1" t="s">
        <v>74</v>
      </c>
      <c r="F344" s="1" t="s">
        <v>54</v>
      </c>
      <c r="G344" s="2">
        <v>386.72</v>
      </c>
      <c r="H344" s="1">
        <v>5</v>
      </c>
      <c r="I344" s="1">
        <v>275</v>
      </c>
      <c r="J344" s="1">
        <v>263</v>
      </c>
      <c r="K344" s="1">
        <v>116</v>
      </c>
      <c r="L344" s="1">
        <v>72</v>
      </c>
      <c r="M344" s="1" t="s">
        <v>49</v>
      </c>
      <c r="N344" s="1" t="s">
        <v>42</v>
      </c>
      <c r="O344" s="1" t="s">
        <v>43</v>
      </c>
      <c r="P344" s="2">
        <v>270.7</v>
      </c>
      <c r="Q344" s="1" t="str">
        <f t="shared" si="15"/>
        <v>YES</v>
      </c>
      <c r="R344" s="2">
        <f t="shared" si="16"/>
        <v>348.04800000000006</v>
      </c>
      <c r="S344" s="2">
        <f>J344*G344</f>
        <v>101707.36</v>
      </c>
      <c r="T344" s="1">
        <f t="shared" ca="1" si="17"/>
        <v>117</v>
      </c>
      <c r="U344" s="1" t="s">
        <v>34</v>
      </c>
      <c r="V344" s="1" t="s">
        <v>34</v>
      </c>
      <c r="W344" s="1" t="s">
        <v>34</v>
      </c>
      <c r="X344" s="1" t="s">
        <v>2742</v>
      </c>
      <c r="Y344" s="1">
        <v>7</v>
      </c>
    </row>
    <row r="345" spans="1:25" x14ac:dyDescent="0.3">
      <c r="A345" s="1" t="s">
        <v>530</v>
      </c>
      <c r="B345" s="1" t="s">
        <v>192</v>
      </c>
      <c r="C345" s="1" t="s">
        <v>193</v>
      </c>
      <c r="D345" s="1" t="s">
        <v>85</v>
      </c>
      <c r="E345" s="1" t="s">
        <v>29</v>
      </c>
      <c r="F345" s="1" t="s">
        <v>54</v>
      </c>
      <c r="G345" s="2">
        <v>320.32</v>
      </c>
      <c r="H345" s="1">
        <v>12</v>
      </c>
      <c r="I345" s="1">
        <v>235</v>
      </c>
      <c r="J345" s="1">
        <v>199</v>
      </c>
      <c r="K345" s="1">
        <v>92</v>
      </c>
      <c r="L345" s="1">
        <v>79</v>
      </c>
      <c r="M345" s="1" t="s">
        <v>41</v>
      </c>
      <c r="N345" s="1" t="s">
        <v>32</v>
      </c>
      <c r="O345" s="1" t="s">
        <v>347</v>
      </c>
      <c r="P345" s="2">
        <v>224.22</v>
      </c>
      <c r="Q345" s="1" t="str">
        <f t="shared" si="15"/>
        <v>YES</v>
      </c>
      <c r="R345" s="2">
        <f t="shared" si="16"/>
        <v>288.28800000000001</v>
      </c>
      <c r="S345" s="2">
        <f>J345*G345</f>
        <v>63743.68</v>
      </c>
      <c r="T345" s="1">
        <f t="shared" ca="1" si="17"/>
        <v>79</v>
      </c>
      <c r="U345" s="1" t="s">
        <v>34</v>
      </c>
      <c r="V345" s="1" t="s">
        <v>34</v>
      </c>
      <c r="W345" s="1" t="s">
        <v>34</v>
      </c>
      <c r="X345" s="1" t="s">
        <v>2743</v>
      </c>
      <c r="Y345" s="1">
        <v>7.5</v>
      </c>
    </row>
    <row r="346" spans="1:25" x14ac:dyDescent="0.3">
      <c r="A346" s="1" t="s">
        <v>531</v>
      </c>
      <c r="B346" s="1" t="s">
        <v>45</v>
      </c>
      <c r="C346" s="1" t="s">
        <v>46</v>
      </c>
      <c r="D346" s="1" t="s">
        <v>47</v>
      </c>
      <c r="E346" s="1" t="s">
        <v>40</v>
      </c>
      <c r="F346" s="1" t="s">
        <v>54</v>
      </c>
      <c r="G346" s="2">
        <v>316.45999999999998</v>
      </c>
      <c r="H346" s="1">
        <v>21</v>
      </c>
      <c r="I346" s="1">
        <v>119</v>
      </c>
      <c r="J346" s="1">
        <v>105</v>
      </c>
      <c r="K346" s="1">
        <v>76</v>
      </c>
      <c r="L346" s="1">
        <v>89</v>
      </c>
      <c r="M346" s="1" t="s">
        <v>31</v>
      </c>
      <c r="N346" s="1" t="s">
        <v>32</v>
      </c>
      <c r="O346" s="1" t="s">
        <v>209</v>
      </c>
      <c r="P346" s="2">
        <v>221.52</v>
      </c>
      <c r="Q346" s="1" t="str">
        <f t="shared" si="15"/>
        <v>YES</v>
      </c>
      <c r="R346" s="2">
        <f t="shared" si="16"/>
        <v>284.81399999999996</v>
      </c>
      <c r="S346" s="2">
        <f>J346*G346</f>
        <v>33228.299999999996</v>
      </c>
      <c r="T346" s="1">
        <f t="shared" ca="1" si="17"/>
        <v>127</v>
      </c>
      <c r="U346" s="1" t="s">
        <v>34</v>
      </c>
      <c r="V346" s="1" t="s">
        <v>34</v>
      </c>
      <c r="W346" s="1" t="s">
        <v>34</v>
      </c>
      <c r="X346" s="1" t="s">
        <v>2744</v>
      </c>
      <c r="Y346" s="1">
        <v>8</v>
      </c>
    </row>
    <row r="347" spans="1:25" x14ac:dyDescent="0.3">
      <c r="A347" s="1" t="s">
        <v>532</v>
      </c>
      <c r="B347" s="1" t="s">
        <v>172</v>
      </c>
      <c r="C347" s="1" t="s">
        <v>173</v>
      </c>
      <c r="D347" s="1" t="s">
        <v>132</v>
      </c>
      <c r="E347" s="1" t="s">
        <v>40</v>
      </c>
      <c r="F347" s="1" t="s">
        <v>54</v>
      </c>
      <c r="G347" s="2">
        <v>446.07</v>
      </c>
      <c r="H347" s="1">
        <v>20</v>
      </c>
      <c r="I347" s="1">
        <v>84</v>
      </c>
      <c r="J347" s="1">
        <v>80</v>
      </c>
      <c r="K347" s="1">
        <v>71</v>
      </c>
      <c r="L347" s="1">
        <v>92</v>
      </c>
      <c r="M347" s="1" t="s">
        <v>41</v>
      </c>
      <c r="N347" s="1" t="s">
        <v>60</v>
      </c>
      <c r="O347" s="1" t="s">
        <v>135</v>
      </c>
      <c r="P347" s="2">
        <v>312.25</v>
      </c>
      <c r="Q347" s="1" t="str">
        <f t="shared" si="15"/>
        <v>YES</v>
      </c>
      <c r="R347" s="2">
        <f t="shared" si="16"/>
        <v>401.46300000000002</v>
      </c>
      <c r="S347" s="2">
        <f>J347*G347</f>
        <v>35685.599999999999</v>
      </c>
      <c r="T347" s="1">
        <f t="shared" ca="1" si="17"/>
        <v>71</v>
      </c>
      <c r="U347" s="1" t="s">
        <v>34</v>
      </c>
      <c r="V347" s="1" t="s">
        <v>34</v>
      </c>
      <c r="W347" s="1" t="s">
        <v>34</v>
      </c>
      <c r="X347" s="1" t="s">
        <v>2745</v>
      </c>
      <c r="Y347" s="1">
        <v>8.5</v>
      </c>
    </row>
    <row r="348" spans="1:25" x14ac:dyDescent="0.3">
      <c r="A348" s="1" t="s">
        <v>533</v>
      </c>
      <c r="B348" s="1" t="s">
        <v>52</v>
      </c>
      <c r="C348" s="1" t="s">
        <v>53</v>
      </c>
      <c r="D348" s="1" t="s">
        <v>47</v>
      </c>
      <c r="E348" s="1" t="s">
        <v>29</v>
      </c>
      <c r="F348" s="1" t="s">
        <v>30</v>
      </c>
      <c r="G348" s="2">
        <v>91</v>
      </c>
      <c r="H348" s="1">
        <v>21</v>
      </c>
      <c r="I348" s="1">
        <v>179</v>
      </c>
      <c r="J348" s="1">
        <v>143</v>
      </c>
      <c r="K348" s="1">
        <v>51</v>
      </c>
      <c r="L348" s="1">
        <v>69</v>
      </c>
      <c r="M348" s="1" t="s">
        <v>49</v>
      </c>
      <c r="N348" s="1" t="s">
        <v>32</v>
      </c>
      <c r="O348" s="1" t="s">
        <v>137</v>
      </c>
      <c r="P348" s="2">
        <v>63.7</v>
      </c>
      <c r="Q348" s="1" t="str">
        <f t="shared" si="15"/>
        <v>YES</v>
      </c>
      <c r="R348" s="2">
        <f t="shared" si="16"/>
        <v>81.900000000000006</v>
      </c>
      <c r="S348" s="2">
        <f>J348*G348</f>
        <v>13013</v>
      </c>
      <c r="T348" s="1">
        <f t="shared" ca="1" si="17"/>
        <v>107</v>
      </c>
      <c r="U348" s="1" t="s">
        <v>34</v>
      </c>
      <c r="V348" s="1" t="s">
        <v>34</v>
      </c>
      <c r="W348" s="1" t="s">
        <v>34</v>
      </c>
      <c r="X348" s="1" t="s">
        <v>2746</v>
      </c>
      <c r="Y348" s="1">
        <v>9</v>
      </c>
    </row>
    <row r="349" spans="1:25" x14ac:dyDescent="0.3">
      <c r="A349" s="1" t="s">
        <v>534</v>
      </c>
      <c r="B349" s="1" t="s">
        <v>63</v>
      </c>
      <c r="C349" s="1" t="s">
        <v>64</v>
      </c>
      <c r="D349" s="1" t="s">
        <v>28</v>
      </c>
      <c r="E349" s="1" t="s">
        <v>40</v>
      </c>
      <c r="F349" s="1" t="s">
        <v>30</v>
      </c>
      <c r="G349" s="2">
        <v>92.09</v>
      </c>
      <c r="H349" s="1">
        <v>7</v>
      </c>
      <c r="I349" s="1">
        <v>176</v>
      </c>
      <c r="J349" s="1">
        <v>166</v>
      </c>
      <c r="K349" s="1">
        <v>42</v>
      </c>
      <c r="L349" s="1">
        <v>73</v>
      </c>
      <c r="M349" s="1" t="s">
        <v>41</v>
      </c>
      <c r="N349" s="1" t="s">
        <v>32</v>
      </c>
      <c r="O349" s="1" t="s">
        <v>212</v>
      </c>
      <c r="P349" s="2">
        <v>64.459999999999994</v>
      </c>
      <c r="Q349" s="1" t="str">
        <f t="shared" si="15"/>
        <v>YES</v>
      </c>
      <c r="R349" s="2">
        <f t="shared" si="16"/>
        <v>82.881</v>
      </c>
      <c r="S349" s="2">
        <f>J349*G349</f>
        <v>15286.94</v>
      </c>
      <c r="T349" s="1">
        <f t="shared" ca="1" si="17"/>
        <v>78</v>
      </c>
      <c r="U349" s="1" t="s">
        <v>34</v>
      </c>
      <c r="V349" s="1" t="s">
        <v>34</v>
      </c>
      <c r="W349" s="1" t="s">
        <v>34</v>
      </c>
      <c r="X349" s="1" t="s">
        <v>2747</v>
      </c>
      <c r="Y349" s="1">
        <v>9.5</v>
      </c>
    </row>
    <row r="350" spans="1:25" x14ac:dyDescent="0.3">
      <c r="A350" s="1" t="s">
        <v>535</v>
      </c>
      <c r="B350" s="1" t="s">
        <v>52</v>
      </c>
      <c r="C350" s="1" t="s">
        <v>53</v>
      </c>
      <c r="D350" s="1" t="s">
        <v>47</v>
      </c>
      <c r="E350" s="1" t="s">
        <v>40</v>
      </c>
      <c r="F350" s="1" t="s">
        <v>48</v>
      </c>
      <c r="G350" s="2">
        <v>370.81</v>
      </c>
      <c r="H350" s="1">
        <v>11</v>
      </c>
      <c r="I350" s="1">
        <v>186</v>
      </c>
      <c r="J350" s="1">
        <v>151</v>
      </c>
      <c r="K350" s="1">
        <v>102</v>
      </c>
      <c r="L350" s="1">
        <v>86</v>
      </c>
      <c r="M350" s="1" t="s">
        <v>41</v>
      </c>
      <c r="N350" s="1" t="s">
        <v>42</v>
      </c>
      <c r="O350" s="1" t="s">
        <v>139</v>
      </c>
      <c r="P350" s="2">
        <v>259.57</v>
      </c>
      <c r="Q350" s="1" t="str">
        <f t="shared" si="15"/>
        <v>YES</v>
      </c>
      <c r="R350" s="2">
        <f t="shared" si="16"/>
        <v>333.72899999999998</v>
      </c>
      <c r="S350" s="2">
        <f>J350*G350</f>
        <v>55992.31</v>
      </c>
      <c r="T350" s="1">
        <f t="shared" ca="1" si="17"/>
        <v>75</v>
      </c>
      <c r="U350" s="1" t="s">
        <v>34</v>
      </c>
      <c r="V350" s="1" t="s">
        <v>34</v>
      </c>
      <c r="W350" s="1" t="s">
        <v>34</v>
      </c>
      <c r="X350" s="1" t="s">
        <v>2527</v>
      </c>
      <c r="Y350" s="1">
        <v>5</v>
      </c>
    </row>
    <row r="351" spans="1:25" x14ac:dyDescent="0.3">
      <c r="A351" s="1" t="s">
        <v>536</v>
      </c>
      <c r="B351" s="1" t="s">
        <v>197</v>
      </c>
      <c r="C351" s="1" t="s">
        <v>198</v>
      </c>
      <c r="D351" s="1" t="s">
        <v>104</v>
      </c>
      <c r="E351" s="1" t="s">
        <v>74</v>
      </c>
      <c r="F351" s="1" t="s">
        <v>30</v>
      </c>
      <c r="G351" s="2">
        <v>419.7</v>
      </c>
      <c r="H351" s="1">
        <v>2</v>
      </c>
      <c r="I351" s="1">
        <v>206</v>
      </c>
      <c r="J351" s="1">
        <v>183</v>
      </c>
      <c r="K351" s="1">
        <v>87</v>
      </c>
      <c r="L351" s="1">
        <v>65</v>
      </c>
      <c r="M351" s="1" t="s">
        <v>31</v>
      </c>
      <c r="N351" s="1" t="s">
        <v>32</v>
      </c>
      <c r="O351" s="1" t="s">
        <v>105</v>
      </c>
      <c r="P351" s="2">
        <v>293.79000000000002</v>
      </c>
      <c r="Q351" s="1" t="str">
        <f t="shared" si="15"/>
        <v>YES</v>
      </c>
      <c r="R351" s="2">
        <f t="shared" si="16"/>
        <v>377.73</v>
      </c>
      <c r="S351" s="2">
        <f>J351*G351</f>
        <v>76805.099999999991</v>
      </c>
      <c r="T351" s="1">
        <f t="shared" ca="1" si="17"/>
        <v>144</v>
      </c>
      <c r="U351" s="1" t="s">
        <v>34</v>
      </c>
      <c r="V351" s="1" t="s">
        <v>34</v>
      </c>
      <c r="W351" s="1" t="s">
        <v>34</v>
      </c>
      <c r="X351" s="1" t="s">
        <v>2589</v>
      </c>
      <c r="Y351" s="1">
        <v>5.5</v>
      </c>
    </row>
    <row r="352" spans="1:25" x14ac:dyDescent="0.3">
      <c r="A352" s="1" t="s">
        <v>537</v>
      </c>
      <c r="B352" s="1" t="s">
        <v>63</v>
      </c>
      <c r="C352" s="1" t="s">
        <v>64</v>
      </c>
      <c r="D352" s="1" t="s">
        <v>28</v>
      </c>
      <c r="E352" s="1" t="s">
        <v>74</v>
      </c>
      <c r="F352" s="1" t="s">
        <v>30</v>
      </c>
      <c r="G352" s="2">
        <v>492.32</v>
      </c>
      <c r="H352" s="1">
        <v>1</v>
      </c>
      <c r="I352" s="1">
        <v>152</v>
      </c>
      <c r="J352" s="1">
        <v>142</v>
      </c>
      <c r="K352" s="1">
        <v>89</v>
      </c>
      <c r="L352" s="1">
        <v>93</v>
      </c>
      <c r="M352" s="1" t="s">
        <v>31</v>
      </c>
      <c r="N352" s="1" t="s">
        <v>32</v>
      </c>
      <c r="O352" s="1" t="s">
        <v>55</v>
      </c>
      <c r="P352" s="2">
        <v>344.62</v>
      </c>
      <c r="Q352" s="1" t="str">
        <f t="shared" si="15"/>
        <v>YES</v>
      </c>
      <c r="R352" s="2">
        <f t="shared" si="16"/>
        <v>443.08800000000002</v>
      </c>
      <c r="S352" s="2">
        <f>J352*G352</f>
        <v>69909.440000000002</v>
      </c>
      <c r="T352" s="1">
        <f t="shared" ca="1" si="17"/>
        <v>91</v>
      </c>
      <c r="U352" s="1" t="s">
        <v>34</v>
      </c>
      <c r="V352" s="1" t="s">
        <v>34</v>
      </c>
      <c r="W352" s="1" t="s">
        <v>34</v>
      </c>
      <c r="X352" s="1" t="s">
        <v>2666</v>
      </c>
      <c r="Y352" s="1">
        <v>6</v>
      </c>
    </row>
    <row r="353" spans="1:25" x14ac:dyDescent="0.3">
      <c r="A353" s="1" t="s">
        <v>538</v>
      </c>
      <c r="B353" s="1" t="s">
        <v>118</v>
      </c>
      <c r="C353" s="1" t="s">
        <v>119</v>
      </c>
      <c r="D353" s="1" t="s">
        <v>97</v>
      </c>
      <c r="E353" s="1" t="s">
        <v>74</v>
      </c>
      <c r="F353" s="1" t="s">
        <v>48</v>
      </c>
      <c r="G353" s="2">
        <v>291.89</v>
      </c>
      <c r="H353" s="1">
        <v>19</v>
      </c>
      <c r="I353" s="1">
        <v>275</v>
      </c>
      <c r="J353" s="1">
        <v>241</v>
      </c>
      <c r="K353" s="1">
        <v>120</v>
      </c>
      <c r="L353" s="1">
        <v>73</v>
      </c>
      <c r="M353" s="1" t="s">
        <v>31</v>
      </c>
      <c r="N353" s="1" t="s">
        <v>32</v>
      </c>
      <c r="O353" s="1" t="s">
        <v>81</v>
      </c>
      <c r="P353" s="2">
        <v>204.32</v>
      </c>
      <c r="Q353" s="1" t="str">
        <f t="shared" si="15"/>
        <v>YES</v>
      </c>
      <c r="R353" s="2">
        <f t="shared" si="16"/>
        <v>262.70100000000002</v>
      </c>
      <c r="S353" s="2">
        <f>J353*G353</f>
        <v>70345.489999999991</v>
      </c>
      <c r="T353" s="1">
        <f t="shared" ca="1" si="17"/>
        <v>81</v>
      </c>
      <c r="U353" s="1" t="s">
        <v>34</v>
      </c>
      <c r="V353" s="1" t="s">
        <v>34</v>
      </c>
      <c r="W353" s="1" t="s">
        <v>34</v>
      </c>
      <c r="X353" s="1" t="s">
        <v>2748</v>
      </c>
      <c r="Y353" s="1">
        <v>6.5</v>
      </c>
    </row>
    <row r="354" spans="1:25" x14ac:dyDescent="0.3">
      <c r="A354" s="1" t="s">
        <v>539</v>
      </c>
      <c r="B354" s="1" t="s">
        <v>143</v>
      </c>
      <c r="C354" s="1" t="s">
        <v>144</v>
      </c>
      <c r="D354" s="1" t="s">
        <v>47</v>
      </c>
      <c r="E354" s="1" t="s">
        <v>29</v>
      </c>
      <c r="F354" s="1" t="s">
        <v>30</v>
      </c>
      <c r="G354" s="2">
        <v>61.9</v>
      </c>
      <c r="H354" s="1">
        <v>9</v>
      </c>
      <c r="I354" s="1">
        <v>252</v>
      </c>
      <c r="J354" s="1">
        <v>227</v>
      </c>
      <c r="K354" s="1">
        <v>109</v>
      </c>
      <c r="L354" s="1">
        <v>139</v>
      </c>
      <c r="M354" s="1" t="s">
        <v>31</v>
      </c>
      <c r="N354" s="1" t="s">
        <v>32</v>
      </c>
      <c r="O354" s="1" t="s">
        <v>105</v>
      </c>
      <c r="P354" s="2">
        <v>43.33</v>
      </c>
      <c r="Q354" s="1" t="str">
        <f t="shared" si="15"/>
        <v>YES</v>
      </c>
      <c r="R354" s="2">
        <f t="shared" si="16"/>
        <v>55.71</v>
      </c>
      <c r="S354" s="2">
        <f>J354*G354</f>
        <v>14051.3</v>
      </c>
      <c r="T354" s="1">
        <f t="shared" ca="1" si="17"/>
        <v>144</v>
      </c>
      <c r="U354" s="1" t="s">
        <v>34</v>
      </c>
      <c r="V354" s="1" t="s">
        <v>34</v>
      </c>
      <c r="W354" s="1" t="s">
        <v>34</v>
      </c>
      <c r="X354" s="1" t="s">
        <v>2670</v>
      </c>
      <c r="Y354" s="1">
        <v>7</v>
      </c>
    </row>
    <row r="355" spans="1:25" x14ac:dyDescent="0.3">
      <c r="A355" s="1" t="s">
        <v>540</v>
      </c>
      <c r="B355" s="1" t="s">
        <v>166</v>
      </c>
      <c r="C355" s="1" t="s">
        <v>167</v>
      </c>
      <c r="D355" s="1" t="s">
        <v>59</v>
      </c>
      <c r="E355" s="1" t="s">
        <v>29</v>
      </c>
      <c r="F355" s="1" t="s">
        <v>30</v>
      </c>
      <c r="G355" s="2">
        <v>464.69</v>
      </c>
      <c r="H355" s="1">
        <v>9</v>
      </c>
      <c r="I355" s="1">
        <v>172</v>
      </c>
      <c r="J355" s="1">
        <v>141</v>
      </c>
      <c r="K355" s="1">
        <v>117</v>
      </c>
      <c r="L355" s="1">
        <v>53</v>
      </c>
      <c r="M355" s="1" t="s">
        <v>31</v>
      </c>
      <c r="N355" s="1" t="s">
        <v>42</v>
      </c>
      <c r="O355" s="1" t="s">
        <v>398</v>
      </c>
      <c r="P355" s="2">
        <v>325.27999999999997</v>
      </c>
      <c r="Q355" s="1" t="str">
        <f t="shared" si="15"/>
        <v>YES</v>
      </c>
      <c r="R355" s="2">
        <f t="shared" si="16"/>
        <v>418.221</v>
      </c>
      <c r="S355" s="2">
        <f>J355*G355</f>
        <v>65521.29</v>
      </c>
      <c r="T355" s="1">
        <f t="shared" ca="1" si="17"/>
        <v>86</v>
      </c>
      <c r="U355" s="1" t="s">
        <v>34</v>
      </c>
      <c r="V355" s="1" t="s">
        <v>34</v>
      </c>
      <c r="W355" s="1" t="s">
        <v>34</v>
      </c>
      <c r="X355" s="1" t="s">
        <v>2617</v>
      </c>
      <c r="Y355" s="1">
        <v>7.5</v>
      </c>
    </row>
    <row r="356" spans="1:25" x14ac:dyDescent="0.3">
      <c r="A356" s="1" t="s">
        <v>541</v>
      </c>
      <c r="B356" s="1" t="s">
        <v>63</v>
      </c>
      <c r="C356" s="1" t="s">
        <v>64</v>
      </c>
      <c r="D356" s="1" t="s">
        <v>28</v>
      </c>
      <c r="E356" s="1" t="s">
        <v>29</v>
      </c>
      <c r="F356" s="1" t="s">
        <v>48</v>
      </c>
      <c r="G356" s="2">
        <v>395.33</v>
      </c>
      <c r="H356" s="1">
        <v>3</v>
      </c>
      <c r="I356" s="1">
        <v>255</v>
      </c>
      <c r="J356" s="1">
        <v>245</v>
      </c>
      <c r="K356" s="1">
        <v>42</v>
      </c>
      <c r="L356" s="1">
        <v>96</v>
      </c>
      <c r="M356" s="1" t="s">
        <v>31</v>
      </c>
      <c r="N356" s="1" t="s">
        <v>60</v>
      </c>
      <c r="O356" s="1" t="s">
        <v>292</v>
      </c>
      <c r="P356" s="2">
        <v>276.73</v>
      </c>
      <c r="Q356" s="1" t="str">
        <f t="shared" si="15"/>
        <v>YES</v>
      </c>
      <c r="R356" s="2">
        <f t="shared" si="16"/>
        <v>355.79699999999997</v>
      </c>
      <c r="S356" s="2">
        <f>J356*G356</f>
        <v>96855.849999999991</v>
      </c>
      <c r="T356" s="1">
        <f t="shared" ca="1" si="17"/>
        <v>83</v>
      </c>
      <c r="U356" s="1" t="s">
        <v>34</v>
      </c>
      <c r="V356" s="1" t="s">
        <v>34</v>
      </c>
      <c r="W356" s="1" t="s">
        <v>34</v>
      </c>
      <c r="X356" s="1" t="s">
        <v>2686</v>
      </c>
      <c r="Y356" s="1">
        <v>8</v>
      </c>
    </row>
    <row r="357" spans="1:25" x14ac:dyDescent="0.3">
      <c r="A357" s="1" t="s">
        <v>542</v>
      </c>
      <c r="B357" s="1" t="s">
        <v>72</v>
      </c>
      <c r="C357" s="1" t="s">
        <v>73</v>
      </c>
      <c r="D357" s="1" t="s">
        <v>47</v>
      </c>
      <c r="E357" s="1" t="s">
        <v>29</v>
      </c>
      <c r="F357" s="1" t="s">
        <v>54</v>
      </c>
      <c r="G357" s="2">
        <v>277.91000000000003</v>
      </c>
      <c r="H357" s="1">
        <v>17</v>
      </c>
      <c r="I357" s="1">
        <v>132</v>
      </c>
      <c r="J357" s="1">
        <v>122</v>
      </c>
      <c r="K357" s="1">
        <v>44</v>
      </c>
      <c r="L357" s="1">
        <v>132</v>
      </c>
      <c r="M357" s="1" t="s">
        <v>41</v>
      </c>
      <c r="N357" s="1" t="s">
        <v>32</v>
      </c>
      <c r="O357" s="1" t="s">
        <v>116</v>
      </c>
      <c r="P357" s="2">
        <v>194.54</v>
      </c>
      <c r="Q357" s="1" t="str">
        <f t="shared" si="15"/>
        <v>YES</v>
      </c>
      <c r="R357" s="2">
        <f t="shared" si="16"/>
        <v>250.11900000000003</v>
      </c>
      <c r="S357" s="2">
        <f>J357*G357</f>
        <v>33905.020000000004</v>
      </c>
      <c r="T357" s="1">
        <f t="shared" ca="1" si="17"/>
        <v>87</v>
      </c>
      <c r="U357" s="1" t="s">
        <v>34</v>
      </c>
      <c r="V357" s="1" t="s">
        <v>34</v>
      </c>
      <c r="W357" s="1" t="s">
        <v>34</v>
      </c>
      <c r="X357" s="1" t="s">
        <v>2691</v>
      </c>
      <c r="Y357" s="1">
        <v>8.5</v>
      </c>
    </row>
    <row r="358" spans="1:25" x14ac:dyDescent="0.3">
      <c r="A358" s="1" t="s">
        <v>543</v>
      </c>
      <c r="B358" s="1" t="s">
        <v>45</v>
      </c>
      <c r="C358" s="1" t="s">
        <v>46</v>
      </c>
      <c r="D358" s="1" t="s">
        <v>47</v>
      </c>
      <c r="E358" s="1" t="s">
        <v>74</v>
      </c>
      <c r="F358" s="1" t="s">
        <v>48</v>
      </c>
      <c r="G358" s="2">
        <v>248.06</v>
      </c>
      <c r="H358" s="1">
        <v>15</v>
      </c>
      <c r="I358" s="1">
        <v>114</v>
      </c>
      <c r="J358" s="1">
        <v>75</v>
      </c>
      <c r="K358" s="1">
        <v>73</v>
      </c>
      <c r="L358" s="1">
        <v>101</v>
      </c>
      <c r="M358" s="1" t="s">
        <v>31</v>
      </c>
      <c r="N358" s="1" t="s">
        <v>32</v>
      </c>
      <c r="O358" s="1" t="s">
        <v>35</v>
      </c>
      <c r="P358" s="2">
        <v>173.64</v>
      </c>
      <c r="Q358" s="1" t="str">
        <f t="shared" si="15"/>
        <v>YES</v>
      </c>
      <c r="R358" s="2">
        <f t="shared" si="16"/>
        <v>223.25400000000002</v>
      </c>
      <c r="S358" s="2">
        <f>J358*G358</f>
        <v>18604.5</v>
      </c>
      <c r="T358" s="1">
        <f t="shared" ca="1" si="17"/>
        <v>85</v>
      </c>
      <c r="U358" s="1" t="s">
        <v>34</v>
      </c>
      <c r="V358" s="1" t="s">
        <v>34</v>
      </c>
      <c r="W358" s="1" t="s">
        <v>34</v>
      </c>
      <c r="X358" s="1" t="s">
        <v>2660</v>
      </c>
      <c r="Y358" s="1">
        <v>9</v>
      </c>
    </row>
    <row r="359" spans="1:25" x14ac:dyDescent="0.3">
      <c r="A359" s="1" t="s">
        <v>544</v>
      </c>
      <c r="B359" s="1" t="s">
        <v>57</v>
      </c>
      <c r="C359" s="1" t="s">
        <v>58</v>
      </c>
      <c r="D359" s="1" t="s">
        <v>59</v>
      </c>
      <c r="E359" s="1" t="s">
        <v>40</v>
      </c>
      <c r="F359" s="1" t="s">
        <v>30</v>
      </c>
      <c r="G359" s="2">
        <v>341.18</v>
      </c>
      <c r="H359" s="1">
        <v>5</v>
      </c>
      <c r="I359" s="1">
        <v>107</v>
      </c>
      <c r="J359" s="1">
        <v>89</v>
      </c>
      <c r="K359" s="1">
        <v>94</v>
      </c>
      <c r="L359" s="1">
        <v>120</v>
      </c>
      <c r="M359" s="1" t="s">
        <v>31</v>
      </c>
      <c r="N359" s="1" t="s">
        <v>32</v>
      </c>
      <c r="O359" s="1" t="s">
        <v>377</v>
      </c>
      <c r="P359" s="2">
        <v>238.83</v>
      </c>
      <c r="Q359" s="1" t="str">
        <f t="shared" si="15"/>
        <v>NO</v>
      </c>
      <c r="R359" s="2">
        <f t="shared" si="16"/>
        <v>341.18</v>
      </c>
      <c r="S359" s="2">
        <f>J359*G359</f>
        <v>30365.02</v>
      </c>
      <c r="T359" s="1">
        <f t="shared" ca="1" si="17"/>
        <v>65</v>
      </c>
      <c r="U359" s="1" t="s">
        <v>34</v>
      </c>
      <c r="V359" s="1" t="s">
        <v>34</v>
      </c>
      <c r="W359" s="1" t="s">
        <v>34</v>
      </c>
      <c r="X359" s="1" t="s">
        <v>2644</v>
      </c>
      <c r="Y359" s="1">
        <v>9.5</v>
      </c>
    </row>
    <row r="360" spans="1:25" x14ac:dyDescent="0.3">
      <c r="A360" s="1" t="s">
        <v>545</v>
      </c>
      <c r="B360" s="1" t="s">
        <v>57</v>
      </c>
      <c r="C360" s="1" t="s">
        <v>58</v>
      </c>
      <c r="D360" s="1" t="s">
        <v>59</v>
      </c>
      <c r="E360" s="1" t="s">
        <v>74</v>
      </c>
      <c r="F360" s="1" t="s">
        <v>48</v>
      </c>
      <c r="G360" s="2">
        <v>193.6</v>
      </c>
      <c r="H360" s="1">
        <v>24</v>
      </c>
      <c r="I360" s="1">
        <v>295</v>
      </c>
      <c r="J360" s="1">
        <v>295</v>
      </c>
      <c r="K360" s="1">
        <v>119</v>
      </c>
      <c r="L360" s="1">
        <v>80</v>
      </c>
      <c r="M360" s="1" t="s">
        <v>49</v>
      </c>
      <c r="N360" s="1" t="s">
        <v>42</v>
      </c>
      <c r="O360" s="1" t="s">
        <v>86</v>
      </c>
      <c r="P360" s="2">
        <v>135.52000000000001</v>
      </c>
      <c r="Q360" s="1" t="str">
        <f t="shared" si="15"/>
        <v>YES</v>
      </c>
      <c r="R360" s="2">
        <f t="shared" si="16"/>
        <v>174.24</v>
      </c>
      <c r="S360" s="2">
        <f>J360*G360</f>
        <v>57112</v>
      </c>
      <c r="T360" s="1">
        <f t="shared" ca="1" si="17"/>
        <v>121</v>
      </c>
      <c r="U360" s="1" t="s">
        <v>34</v>
      </c>
      <c r="V360" s="1" t="s">
        <v>34</v>
      </c>
      <c r="W360" s="1" t="s">
        <v>34</v>
      </c>
      <c r="X360" s="1" t="s">
        <v>2529</v>
      </c>
      <c r="Y360" s="1">
        <v>5</v>
      </c>
    </row>
    <row r="361" spans="1:25" x14ac:dyDescent="0.3">
      <c r="A361" s="1" t="s">
        <v>546</v>
      </c>
      <c r="B361" s="1" t="s">
        <v>57</v>
      </c>
      <c r="C361" s="1" t="s">
        <v>58</v>
      </c>
      <c r="D361" s="1" t="s">
        <v>59</v>
      </c>
      <c r="E361" s="1" t="s">
        <v>40</v>
      </c>
      <c r="F361" s="1" t="s">
        <v>54</v>
      </c>
      <c r="G361" s="2">
        <v>479.73</v>
      </c>
      <c r="H361" s="1">
        <v>3</v>
      </c>
      <c r="I361" s="1">
        <v>137</v>
      </c>
      <c r="J361" s="1">
        <v>124</v>
      </c>
      <c r="K361" s="1">
        <v>87</v>
      </c>
      <c r="L361" s="1">
        <v>92</v>
      </c>
      <c r="M361" s="1" t="s">
        <v>31</v>
      </c>
      <c r="N361" s="1" t="s">
        <v>32</v>
      </c>
      <c r="O361" s="1" t="s">
        <v>257</v>
      </c>
      <c r="P361" s="2">
        <v>335.81</v>
      </c>
      <c r="Q361" s="1" t="str">
        <f t="shared" si="15"/>
        <v>YES</v>
      </c>
      <c r="R361" s="2">
        <f t="shared" si="16"/>
        <v>431.75700000000001</v>
      </c>
      <c r="S361" s="2">
        <f>J361*G361</f>
        <v>59486.520000000004</v>
      </c>
      <c r="T361" s="1">
        <f t="shared" ca="1" si="17"/>
        <v>113</v>
      </c>
      <c r="U361" s="1" t="s">
        <v>34</v>
      </c>
      <c r="V361" s="1" t="s">
        <v>34</v>
      </c>
      <c r="W361" s="1" t="s">
        <v>34</v>
      </c>
      <c r="X361" s="1" t="s">
        <v>2597</v>
      </c>
      <c r="Y361" s="1">
        <v>5.5</v>
      </c>
    </row>
    <row r="362" spans="1:25" x14ac:dyDescent="0.3">
      <c r="A362" s="1" t="s">
        <v>547</v>
      </c>
      <c r="B362" s="1" t="s">
        <v>37</v>
      </c>
      <c r="C362" s="1" t="s">
        <v>38</v>
      </c>
      <c r="D362" s="1" t="s">
        <v>39</v>
      </c>
      <c r="E362" s="1" t="s">
        <v>29</v>
      </c>
      <c r="F362" s="1" t="s">
        <v>48</v>
      </c>
      <c r="G362" s="2">
        <v>412.37</v>
      </c>
      <c r="H362" s="1">
        <v>13</v>
      </c>
      <c r="I362" s="1">
        <v>192</v>
      </c>
      <c r="J362" s="1">
        <v>163</v>
      </c>
      <c r="K362" s="1">
        <v>112</v>
      </c>
      <c r="L362" s="1">
        <v>61</v>
      </c>
      <c r="M362" s="1" t="s">
        <v>31</v>
      </c>
      <c r="N362" s="1" t="s">
        <v>42</v>
      </c>
      <c r="O362" s="1" t="s">
        <v>287</v>
      </c>
      <c r="P362" s="2">
        <v>288.66000000000003</v>
      </c>
      <c r="Q362" s="1" t="str">
        <f t="shared" si="15"/>
        <v>YES</v>
      </c>
      <c r="R362" s="2">
        <f t="shared" si="16"/>
        <v>371.13300000000004</v>
      </c>
      <c r="S362" s="2">
        <f>J362*G362</f>
        <v>67216.31</v>
      </c>
      <c r="T362" s="1">
        <f t="shared" ca="1" si="17"/>
        <v>143</v>
      </c>
      <c r="U362" s="1" t="s">
        <v>34</v>
      </c>
      <c r="V362" s="1" t="s">
        <v>34</v>
      </c>
      <c r="W362" s="1" t="s">
        <v>34</v>
      </c>
      <c r="X362" s="1" t="s">
        <v>2749</v>
      </c>
      <c r="Y362" s="1">
        <v>6</v>
      </c>
    </row>
    <row r="363" spans="1:25" x14ac:dyDescent="0.3">
      <c r="A363" s="1" t="s">
        <v>548</v>
      </c>
      <c r="B363" s="1" t="s">
        <v>262</v>
      </c>
      <c r="C363" s="1" t="s">
        <v>263</v>
      </c>
      <c r="D363" s="1" t="s">
        <v>104</v>
      </c>
      <c r="E363" s="1" t="s">
        <v>40</v>
      </c>
      <c r="F363" s="1" t="s">
        <v>30</v>
      </c>
      <c r="G363" s="2">
        <v>486.74</v>
      </c>
      <c r="H363" s="1">
        <v>3</v>
      </c>
      <c r="I363" s="1">
        <v>123</v>
      </c>
      <c r="J363" s="1">
        <v>105</v>
      </c>
      <c r="K363" s="1">
        <v>85</v>
      </c>
      <c r="L363" s="1">
        <v>127</v>
      </c>
      <c r="M363" s="1" t="s">
        <v>41</v>
      </c>
      <c r="N363" s="1" t="s">
        <v>60</v>
      </c>
      <c r="O363" s="1" t="s">
        <v>157</v>
      </c>
      <c r="P363" s="2">
        <v>340.72</v>
      </c>
      <c r="Q363" s="1" t="str">
        <f t="shared" si="15"/>
        <v>YES</v>
      </c>
      <c r="R363" s="2">
        <f t="shared" si="16"/>
        <v>438.06600000000003</v>
      </c>
      <c r="S363" s="2">
        <f>J363*G363</f>
        <v>51107.700000000004</v>
      </c>
      <c r="T363" s="1">
        <f t="shared" ca="1" si="17"/>
        <v>103</v>
      </c>
      <c r="U363" s="1" t="s">
        <v>34</v>
      </c>
      <c r="V363" s="1" t="s">
        <v>34</v>
      </c>
      <c r="W363" s="1" t="s">
        <v>34</v>
      </c>
      <c r="X363" s="1" t="s">
        <v>2632</v>
      </c>
      <c r="Y363" s="1">
        <v>6.5</v>
      </c>
    </row>
    <row r="364" spans="1:25" x14ac:dyDescent="0.3">
      <c r="A364" s="1" t="s">
        <v>549</v>
      </c>
      <c r="B364" s="1" t="s">
        <v>102</v>
      </c>
      <c r="C364" s="1" t="s">
        <v>103</v>
      </c>
      <c r="D364" s="1" t="s">
        <v>104</v>
      </c>
      <c r="E364" s="1" t="s">
        <v>74</v>
      </c>
      <c r="F364" s="1" t="s">
        <v>54</v>
      </c>
      <c r="G364" s="2">
        <v>260.67</v>
      </c>
      <c r="H364" s="1">
        <v>12</v>
      </c>
      <c r="I364" s="1">
        <v>166</v>
      </c>
      <c r="J364" s="1">
        <v>139</v>
      </c>
      <c r="K364" s="1">
        <v>106</v>
      </c>
      <c r="L364" s="1">
        <v>147</v>
      </c>
      <c r="M364" s="1" t="s">
        <v>49</v>
      </c>
      <c r="N364" s="1" t="s">
        <v>42</v>
      </c>
      <c r="O364" s="1" t="s">
        <v>347</v>
      </c>
      <c r="P364" s="2">
        <v>182.47</v>
      </c>
      <c r="Q364" s="1" t="str">
        <f t="shared" si="15"/>
        <v>YES</v>
      </c>
      <c r="R364" s="2">
        <f t="shared" si="16"/>
        <v>234.60300000000001</v>
      </c>
      <c r="S364" s="2">
        <f>J364*G364</f>
        <v>36233.130000000005</v>
      </c>
      <c r="T364" s="1">
        <f t="shared" ca="1" si="17"/>
        <v>79</v>
      </c>
      <c r="U364" s="1" t="s">
        <v>34</v>
      </c>
      <c r="V364" s="1" t="s">
        <v>34</v>
      </c>
      <c r="W364" s="1" t="s">
        <v>34</v>
      </c>
      <c r="X364" s="1" t="s">
        <v>2546</v>
      </c>
      <c r="Y364" s="1">
        <v>7</v>
      </c>
    </row>
    <row r="365" spans="1:25" x14ac:dyDescent="0.3">
      <c r="A365" s="1" t="s">
        <v>550</v>
      </c>
      <c r="B365" s="1" t="s">
        <v>63</v>
      </c>
      <c r="C365" s="1" t="s">
        <v>64</v>
      </c>
      <c r="D365" s="1" t="s">
        <v>28</v>
      </c>
      <c r="E365" s="1" t="s">
        <v>74</v>
      </c>
      <c r="F365" s="1" t="s">
        <v>54</v>
      </c>
      <c r="G365" s="2">
        <v>87.03</v>
      </c>
      <c r="H365" s="1">
        <v>15</v>
      </c>
      <c r="I365" s="1">
        <v>88</v>
      </c>
      <c r="J365" s="1">
        <v>48</v>
      </c>
      <c r="K365" s="1">
        <v>89</v>
      </c>
      <c r="L365" s="1">
        <v>125</v>
      </c>
      <c r="M365" s="1" t="s">
        <v>49</v>
      </c>
      <c r="N365" s="1" t="s">
        <v>42</v>
      </c>
      <c r="O365" s="1" t="s">
        <v>75</v>
      </c>
      <c r="P365" s="2">
        <v>60.92</v>
      </c>
      <c r="Q365" s="1" t="str">
        <f t="shared" si="15"/>
        <v>NO</v>
      </c>
      <c r="R365" s="2">
        <f t="shared" si="16"/>
        <v>87.03</v>
      </c>
      <c r="S365" s="2">
        <f>J365*G365</f>
        <v>4177.4400000000005</v>
      </c>
      <c r="T365" s="1">
        <f t="shared" ca="1" si="17"/>
        <v>123</v>
      </c>
      <c r="U365" s="1" t="s">
        <v>34</v>
      </c>
      <c r="V365" s="1" t="s">
        <v>34</v>
      </c>
      <c r="W365" s="1" t="s">
        <v>34</v>
      </c>
      <c r="X365" s="1" t="s">
        <v>2580</v>
      </c>
      <c r="Y365" s="1">
        <v>7.5</v>
      </c>
    </row>
    <row r="366" spans="1:25" x14ac:dyDescent="0.3">
      <c r="A366" s="1" t="s">
        <v>551</v>
      </c>
      <c r="B366" s="1" t="s">
        <v>63</v>
      </c>
      <c r="C366" s="1" t="s">
        <v>64</v>
      </c>
      <c r="D366" s="1" t="s">
        <v>28</v>
      </c>
      <c r="E366" s="1" t="s">
        <v>74</v>
      </c>
      <c r="F366" s="1" t="s">
        <v>30</v>
      </c>
      <c r="G366" s="2">
        <v>374.02</v>
      </c>
      <c r="H366" s="1">
        <v>17</v>
      </c>
      <c r="I366" s="1">
        <v>98</v>
      </c>
      <c r="J366" s="1">
        <v>59</v>
      </c>
      <c r="K366" s="1">
        <v>59</v>
      </c>
      <c r="L366" s="1">
        <v>143</v>
      </c>
      <c r="M366" s="1" t="s">
        <v>49</v>
      </c>
      <c r="N366" s="1" t="s">
        <v>32</v>
      </c>
      <c r="O366" s="1" t="s">
        <v>159</v>
      </c>
      <c r="P366" s="2">
        <v>261.81</v>
      </c>
      <c r="Q366" s="1" t="str">
        <f t="shared" si="15"/>
        <v>NO</v>
      </c>
      <c r="R366" s="2">
        <f t="shared" si="16"/>
        <v>374.02</v>
      </c>
      <c r="S366" s="2">
        <f>J366*G366</f>
        <v>22067.18</v>
      </c>
      <c r="T366" s="1">
        <f t="shared" ca="1" si="17"/>
        <v>134</v>
      </c>
      <c r="U366" s="1" t="s">
        <v>34</v>
      </c>
      <c r="V366" s="1" t="s">
        <v>34</v>
      </c>
      <c r="W366" s="1" t="s">
        <v>34</v>
      </c>
      <c r="X366" s="1" t="s">
        <v>2521</v>
      </c>
      <c r="Y366" s="1">
        <v>8</v>
      </c>
    </row>
    <row r="367" spans="1:25" x14ac:dyDescent="0.3">
      <c r="A367" s="1" t="s">
        <v>552</v>
      </c>
      <c r="B367" s="1" t="s">
        <v>192</v>
      </c>
      <c r="C367" s="1" t="s">
        <v>193</v>
      </c>
      <c r="D367" s="1" t="s">
        <v>85</v>
      </c>
      <c r="E367" s="1" t="s">
        <v>40</v>
      </c>
      <c r="F367" s="1" t="s">
        <v>54</v>
      </c>
      <c r="G367" s="2">
        <v>256.79000000000002</v>
      </c>
      <c r="H367" s="1">
        <v>12</v>
      </c>
      <c r="I367" s="1">
        <v>227</v>
      </c>
      <c r="J367" s="1">
        <v>189</v>
      </c>
      <c r="K367" s="1">
        <v>41</v>
      </c>
      <c r="L367" s="1">
        <v>69</v>
      </c>
      <c r="M367" s="1" t="s">
        <v>41</v>
      </c>
      <c r="N367" s="1" t="s">
        <v>42</v>
      </c>
      <c r="O367" s="1" t="s">
        <v>150</v>
      </c>
      <c r="P367" s="2">
        <v>179.75</v>
      </c>
      <c r="Q367" s="1" t="str">
        <f t="shared" si="15"/>
        <v>YES</v>
      </c>
      <c r="R367" s="2">
        <f t="shared" si="16"/>
        <v>231.11100000000002</v>
      </c>
      <c r="S367" s="2">
        <f>J367*G367</f>
        <v>48533.310000000005</v>
      </c>
      <c r="T367" s="1">
        <f t="shared" ca="1" si="17"/>
        <v>116</v>
      </c>
      <c r="U367" s="1" t="s">
        <v>34</v>
      </c>
      <c r="V367" s="1" t="s">
        <v>34</v>
      </c>
      <c r="W367" s="1" t="s">
        <v>34</v>
      </c>
      <c r="X367" s="1" t="s">
        <v>2750</v>
      </c>
      <c r="Y367" s="1">
        <v>8.5</v>
      </c>
    </row>
    <row r="368" spans="1:25" x14ac:dyDescent="0.3">
      <c r="A368" s="1" t="s">
        <v>553</v>
      </c>
      <c r="B368" s="1" t="s">
        <v>83</v>
      </c>
      <c r="C368" s="1" t="s">
        <v>84</v>
      </c>
      <c r="D368" s="1" t="s">
        <v>85</v>
      </c>
      <c r="E368" s="1" t="s">
        <v>40</v>
      </c>
      <c r="F368" s="1" t="s">
        <v>48</v>
      </c>
      <c r="G368" s="2">
        <v>70.75</v>
      </c>
      <c r="H368" s="1">
        <v>19</v>
      </c>
      <c r="I368" s="1">
        <v>210</v>
      </c>
      <c r="J368" s="1">
        <v>193</v>
      </c>
      <c r="K368" s="1">
        <v>72</v>
      </c>
      <c r="L368" s="1">
        <v>76</v>
      </c>
      <c r="M368" s="1" t="s">
        <v>31</v>
      </c>
      <c r="N368" s="1" t="s">
        <v>32</v>
      </c>
      <c r="O368" s="1" t="s">
        <v>67</v>
      </c>
      <c r="P368" s="2">
        <v>49.52</v>
      </c>
      <c r="Q368" s="1" t="str">
        <f t="shared" si="15"/>
        <v>YES</v>
      </c>
      <c r="R368" s="2">
        <f t="shared" si="16"/>
        <v>63.675000000000004</v>
      </c>
      <c r="S368" s="2">
        <f>J368*G368</f>
        <v>13654.75</v>
      </c>
      <c r="T368" s="1">
        <f t="shared" ca="1" si="17"/>
        <v>97</v>
      </c>
      <c r="U368" s="1" t="s">
        <v>34</v>
      </c>
      <c r="V368" s="1" t="s">
        <v>34</v>
      </c>
      <c r="W368" s="1" t="s">
        <v>34</v>
      </c>
      <c r="X368" s="1" t="s">
        <v>2575</v>
      </c>
      <c r="Y368" s="1">
        <v>9</v>
      </c>
    </row>
    <row r="369" spans="1:25" x14ac:dyDescent="0.3">
      <c r="A369" s="1" t="s">
        <v>554</v>
      </c>
      <c r="B369" s="1" t="s">
        <v>77</v>
      </c>
      <c r="C369" s="1" t="s">
        <v>78</v>
      </c>
      <c r="D369" s="1" t="s">
        <v>47</v>
      </c>
      <c r="E369" s="1" t="s">
        <v>40</v>
      </c>
      <c r="F369" s="1" t="s">
        <v>30</v>
      </c>
      <c r="G369" s="2">
        <v>382.53</v>
      </c>
      <c r="H369" s="1">
        <v>23</v>
      </c>
      <c r="I369" s="1">
        <v>128</v>
      </c>
      <c r="J369" s="1">
        <v>125</v>
      </c>
      <c r="K369" s="1">
        <v>46</v>
      </c>
      <c r="L369" s="1">
        <v>90</v>
      </c>
      <c r="M369" s="1" t="s">
        <v>49</v>
      </c>
      <c r="N369" s="1" t="s">
        <v>32</v>
      </c>
      <c r="O369" s="1" t="s">
        <v>309</v>
      </c>
      <c r="P369" s="2">
        <v>267.77</v>
      </c>
      <c r="Q369" s="1" t="str">
        <f t="shared" si="15"/>
        <v>YES</v>
      </c>
      <c r="R369" s="2">
        <f t="shared" si="16"/>
        <v>344.27699999999999</v>
      </c>
      <c r="S369" s="2">
        <f>J369*G369</f>
        <v>47816.25</v>
      </c>
      <c r="T369" s="1">
        <f t="shared" ca="1" si="17"/>
        <v>67</v>
      </c>
      <c r="U369" s="1" t="s">
        <v>34</v>
      </c>
      <c r="V369" s="1" t="s">
        <v>34</v>
      </c>
      <c r="W369" s="1" t="s">
        <v>34</v>
      </c>
      <c r="X369" s="1" t="s">
        <v>2751</v>
      </c>
      <c r="Y369" s="1">
        <v>9.5</v>
      </c>
    </row>
    <row r="370" spans="1:25" x14ac:dyDescent="0.3">
      <c r="A370" s="1" t="s">
        <v>555</v>
      </c>
      <c r="B370" s="1" t="s">
        <v>299</v>
      </c>
      <c r="C370" s="1" t="s">
        <v>300</v>
      </c>
      <c r="D370" s="1" t="s">
        <v>39</v>
      </c>
      <c r="E370" s="1" t="s">
        <v>40</v>
      </c>
      <c r="F370" s="1" t="s">
        <v>54</v>
      </c>
      <c r="G370" s="2">
        <v>113.38</v>
      </c>
      <c r="H370" s="1">
        <v>17</v>
      </c>
      <c r="I370" s="1">
        <v>154</v>
      </c>
      <c r="J370" s="1">
        <v>115</v>
      </c>
      <c r="K370" s="1">
        <v>73</v>
      </c>
      <c r="L370" s="1">
        <v>79</v>
      </c>
      <c r="M370" s="1" t="s">
        <v>49</v>
      </c>
      <c r="N370" s="1" t="s">
        <v>32</v>
      </c>
      <c r="O370" s="1" t="s">
        <v>159</v>
      </c>
      <c r="P370" s="2">
        <v>79.37</v>
      </c>
      <c r="Q370" s="1" t="str">
        <f t="shared" si="15"/>
        <v>YES</v>
      </c>
      <c r="R370" s="2">
        <f t="shared" si="16"/>
        <v>102.042</v>
      </c>
      <c r="S370" s="2">
        <f>J370*G370</f>
        <v>13038.699999999999</v>
      </c>
      <c r="T370" s="1">
        <f t="shared" ca="1" si="17"/>
        <v>134</v>
      </c>
      <c r="U370" s="1" t="s">
        <v>34</v>
      </c>
      <c r="V370" s="1" t="s">
        <v>34</v>
      </c>
      <c r="W370" s="1" t="s">
        <v>34</v>
      </c>
      <c r="X370" s="1" t="s">
        <v>2752</v>
      </c>
      <c r="Y370" s="1">
        <v>5</v>
      </c>
    </row>
    <row r="371" spans="1:25" x14ac:dyDescent="0.3">
      <c r="A371" s="1" t="s">
        <v>556</v>
      </c>
      <c r="B371" s="1" t="s">
        <v>57</v>
      </c>
      <c r="C371" s="1" t="s">
        <v>58</v>
      </c>
      <c r="D371" s="1" t="s">
        <v>59</v>
      </c>
      <c r="E371" s="1" t="s">
        <v>74</v>
      </c>
      <c r="F371" s="1" t="s">
        <v>54</v>
      </c>
      <c r="G371" s="2">
        <v>49.95</v>
      </c>
      <c r="H371" s="1">
        <v>25</v>
      </c>
      <c r="I371" s="1">
        <v>271</v>
      </c>
      <c r="J371" s="1">
        <v>253</v>
      </c>
      <c r="K371" s="1">
        <v>48</v>
      </c>
      <c r="L371" s="1">
        <v>126</v>
      </c>
      <c r="M371" s="1" t="s">
        <v>41</v>
      </c>
      <c r="N371" s="1" t="s">
        <v>60</v>
      </c>
      <c r="O371" s="1" t="s">
        <v>43</v>
      </c>
      <c r="P371" s="2">
        <v>34.96</v>
      </c>
      <c r="Q371" s="1" t="str">
        <f t="shared" si="15"/>
        <v>YES</v>
      </c>
      <c r="R371" s="2">
        <f t="shared" si="16"/>
        <v>44.955000000000005</v>
      </c>
      <c r="S371" s="2">
        <f>J371*G371</f>
        <v>12637.35</v>
      </c>
      <c r="T371" s="1">
        <f t="shared" ca="1" si="17"/>
        <v>117</v>
      </c>
      <c r="U371" s="1" t="s">
        <v>34</v>
      </c>
      <c r="V371" s="1" t="s">
        <v>34</v>
      </c>
      <c r="W371" s="1" t="s">
        <v>34</v>
      </c>
      <c r="X371" s="1" t="s">
        <v>2605</v>
      </c>
      <c r="Y371" s="1">
        <v>5.5</v>
      </c>
    </row>
    <row r="372" spans="1:25" x14ac:dyDescent="0.3">
      <c r="A372" s="1" t="s">
        <v>557</v>
      </c>
      <c r="B372" s="1" t="s">
        <v>37</v>
      </c>
      <c r="C372" s="1" t="s">
        <v>38</v>
      </c>
      <c r="D372" s="1" t="s">
        <v>39</v>
      </c>
      <c r="E372" s="1" t="s">
        <v>74</v>
      </c>
      <c r="F372" s="1" t="s">
        <v>48</v>
      </c>
      <c r="G372" s="2">
        <v>44.63</v>
      </c>
      <c r="H372" s="1">
        <v>6</v>
      </c>
      <c r="I372" s="1">
        <v>91</v>
      </c>
      <c r="J372" s="1">
        <v>66</v>
      </c>
      <c r="K372" s="1">
        <v>72</v>
      </c>
      <c r="L372" s="1">
        <v>122</v>
      </c>
      <c r="M372" s="1" t="s">
        <v>49</v>
      </c>
      <c r="N372" s="1" t="s">
        <v>60</v>
      </c>
      <c r="O372" s="1" t="s">
        <v>139</v>
      </c>
      <c r="P372" s="2">
        <v>31.24</v>
      </c>
      <c r="Q372" s="1" t="str">
        <f t="shared" si="15"/>
        <v>NO</v>
      </c>
      <c r="R372" s="2">
        <f t="shared" si="16"/>
        <v>44.63</v>
      </c>
      <c r="S372" s="2">
        <f>J372*G372</f>
        <v>2945.5800000000004</v>
      </c>
      <c r="T372" s="1">
        <f t="shared" ca="1" si="17"/>
        <v>75</v>
      </c>
      <c r="U372" s="1" t="s">
        <v>34</v>
      </c>
      <c r="V372" s="1" t="s">
        <v>34</v>
      </c>
      <c r="W372" s="1" t="s">
        <v>34</v>
      </c>
      <c r="X372" s="1" t="s">
        <v>2753</v>
      </c>
      <c r="Y372" s="1">
        <v>6</v>
      </c>
    </row>
    <row r="373" spans="1:25" x14ac:dyDescent="0.3">
      <c r="A373" s="1" t="s">
        <v>558</v>
      </c>
      <c r="B373" s="1" t="s">
        <v>52</v>
      </c>
      <c r="C373" s="1" t="s">
        <v>53</v>
      </c>
      <c r="D373" s="1" t="s">
        <v>47</v>
      </c>
      <c r="E373" s="1" t="s">
        <v>40</v>
      </c>
      <c r="F373" s="1" t="s">
        <v>48</v>
      </c>
      <c r="G373" s="2">
        <v>489.37</v>
      </c>
      <c r="H373" s="1">
        <v>10</v>
      </c>
      <c r="I373" s="1">
        <v>131</v>
      </c>
      <c r="J373" s="1">
        <v>130</v>
      </c>
      <c r="K373" s="1">
        <v>83</v>
      </c>
      <c r="L373" s="1">
        <v>106</v>
      </c>
      <c r="M373" s="1" t="s">
        <v>49</v>
      </c>
      <c r="N373" s="1" t="s">
        <v>42</v>
      </c>
      <c r="O373" s="1" t="s">
        <v>92</v>
      </c>
      <c r="P373" s="2">
        <v>342.56</v>
      </c>
      <c r="Q373" s="1" t="str">
        <f t="shared" si="15"/>
        <v>YES</v>
      </c>
      <c r="R373" s="2">
        <f t="shared" si="16"/>
        <v>440.43299999999999</v>
      </c>
      <c r="S373" s="2">
        <f>J373*G373</f>
        <v>63618.1</v>
      </c>
      <c r="T373" s="1">
        <f t="shared" ca="1" si="17"/>
        <v>64</v>
      </c>
      <c r="U373" s="1" t="s">
        <v>34</v>
      </c>
      <c r="V373" s="1" t="s">
        <v>34</v>
      </c>
      <c r="W373" s="1" t="s">
        <v>34</v>
      </c>
      <c r="X373" s="1" t="s">
        <v>2598</v>
      </c>
      <c r="Y373" s="1">
        <v>6.5</v>
      </c>
    </row>
    <row r="374" spans="1:25" x14ac:dyDescent="0.3">
      <c r="A374" s="1" t="s">
        <v>559</v>
      </c>
      <c r="B374" s="1" t="s">
        <v>45</v>
      </c>
      <c r="C374" s="1" t="s">
        <v>46</v>
      </c>
      <c r="D374" s="1" t="s">
        <v>47</v>
      </c>
      <c r="E374" s="1" t="s">
        <v>74</v>
      </c>
      <c r="F374" s="1" t="s">
        <v>54</v>
      </c>
      <c r="G374" s="2">
        <v>412</v>
      </c>
      <c r="H374" s="1">
        <v>4</v>
      </c>
      <c r="I374" s="1">
        <v>212</v>
      </c>
      <c r="J374" s="1">
        <v>180</v>
      </c>
      <c r="K374" s="1">
        <v>71</v>
      </c>
      <c r="L374" s="1">
        <v>110</v>
      </c>
      <c r="M374" s="1" t="s">
        <v>49</v>
      </c>
      <c r="N374" s="1" t="s">
        <v>60</v>
      </c>
      <c r="O374" s="1" t="s">
        <v>55</v>
      </c>
      <c r="P374" s="2">
        <v>288.39999999999998</v>
      </c>
      <c r="Q374" s="1" t="str">
        <f t="shared" si="15"/>
        <v>YES</v>
      </c>
      <c r="R374" s="2">
        <f t="shared" si="16"/>
        <v>370.8</v>
      </c>
      <c r="S374" s="2">
        <f>J374*G374</f>
        <v>74160</v>
      </c>
      <c r="T374" s="1">
        <f t="shared" ca="1" si="17"/>
        <v>91</v>
      </c>
      <c r="U374" s="1" t="s">
        <v>34</v>
      </c>
      <c r="V374" s="1" t="s">
        <v>34</v>
      </c>
      <c r="W374" s="1" t="s">
        <v>34</v>
      </c>
      <c r="X374" s="1" t="s">
        <v>2754</v>
      </c>
      <c r="Y374" s="1">
        <v>7</v>
      </c>
    </row>
    <row r="375" spans="1:25" x14ac:dyDescent="0.3">
      <c r="A375" s="1" t="s">
        <v>560</v>
      </c>
      <c r="B375" s="1" t="s">
        <v>172</v>
      </c>
      <c r="C375" s="1" t="s">
        <v>173</v>
      </c>
      <c r="D375" s="1" t="s">
        <v>132</v>
      </c>
      <c r="E375" s="1" t="s">
        <v>74</v>
      </c>
      <c r="F375" s="1" t="s">
        <v>48</v>
      </c>
      <c r="G375" s="2">
        <v>391.13</v>
      </c>
      <c r="H375" s="1">
        <v>20</v>
      </c>
      <c r="I375" s="1">
        <v>249</v>
      </c>
      <c r="J375" s="1">
        <v>241</v>
      </c>
      <c r="K375" s="1">
        <v>89</v>
      </c>
      <c r="L375" s="1">
        <v>97</v>
      </c>
      <c r="M375" s="1" t="s">
        <v>31</v>
      </c>
      <c r="N375" s="1" t="s">
        <v>60</v>
      </c>
      <c r="O375" s="1" t="s">
        <v>133</v>
      </c>
      <c r="P375" s="2">
        <v>273.79000000000002</v>
      </c>
      <c r="Q375" s="1" t="str">
        <f t="shared" si="15"/>
        <v>YES</v>
      </c>
      <c r="R375" s="2">
        <f t="shared" si="16"/>
        <v>352.017</v>
      </c>
      <c r="S375" s="2">
        <f>J375*G375</f>
        <v>94262.33</v>
      </c>
      <c r="T375" s="1">
        <f t="shared" ca="1" si="17"/>
        <v>76</v>
      </c>
      <c r="U375" s="1" t="s">
        <v>34</v>
      </c>
      <c r="V375" s="1" t="s">
        <v>34</v>
      </c>
      <c r="W375" s="1" t="s">
        <v>34</v>
      </c>
      <c r="X375" s="1" t="s">
        <v>2585</v>
      </c>
      <c r="Y375" s="1">
        <v>7.5</v>
      </c>
    </row>
    <row r="376" spans="1:25" x14ac:dyDescent="0.3">
      <c r="A376" s="1" t="s">
        <v>561</v>
      </c>
      <c r="B376" s="1" t="s">
        <v>126</v>
      </c>
      <c r="C376" s="1" t="s">
        <v>127</v>
      </c>
      <c r="D376" s="1" t="s">
        <v>85</v>
      </c>
      <c r="E376" s="1" t="s">
        <v>29</v>
      </c>
      <c r="F376" s="1" t="s">
        <v>48</v>
      </c>
      <c r="G376" s="2">
        <v>310.43</v>
      </c>
      <c r="H376" s="1">
        <v>7</v>
      </c>
      <c r="I376" s="1">
        <v>157</v>
      </c>
      <c r="J376" s="1">
        <v>157</v>
      </c>
      <c r="K376" s="1">
        <v>77</v>
      </c>
      <c r="L376" s="1">
        <v>88</v>
      </c>
      <c r="M376" s="1" t="s">
        <v>31</v>
      </c>
      <c r="N376" s="1" t="s">
        <v>32</v>
      </c>
      <c r="O376" s="1" t="s">
        <v>340</v>
      </c>
      <c r="P376" s="2">
        <v>217.3</v>
      </c>
      <c r="Q376" s="1" t="str">
        <f t="shared" si="15"/>
        <v>YES</v>
      </c>
      <c r="R376" s="2">
        <f t="shared" si="16"/>
        <v>279.387</v>
      </c>
      <c r="S376" s="2">
        <f>J376*G376</f>
        <v>48737.51</v>
      </c>
      <c r="T376" s="1">
        <f t="shared" ca="1" si="17"/>
        <v>138</v>
      </c>
      <c r="U376" s="1" t="s">
        <v>34</v>
      </c>
      <c r="V376" s="1" t="s">
        <v>34</v>
      </c>
      <c r="W376" s="1" t="s">
        <v>34</v>
      </c>
      <c r="X376" s="1" t="s">
        <v>2594</v>
      </c>
      <c r="Y376" s="1">
        <v>8</v>
      </c>
    </row>
    <row r="377" spans="1:25" x14ac:dyDescent="0.3">
      <c r="A377" s="1" t="s">
        <v>562</v>
      </c>
      <c r="B377" s="1" t="s">
        <v>197</v>
      </c>
      <c r="C377" s="1" t="s">
        <v>198</v>
      </c>
      <c r="D377" s="1" t="s">
        <v>104</v>
      </c>
      <c r="E377" s="1" t="s">
        <v>74</v>
      </c>
      <c r="F377" s="1" t="s">
        <v>54</v>
      </c>
      <c r="G377" s="2">
        <v>402.35</v>
      </c>
      <c r="H377" s="1">
        <v>21</v>
      </c>
      <c r="I377" s="1">
        <v>161</v>
      </c>
      <c r="J377" s="1">
        <v>122</v>
      </c>
      <c r="K377" s="1">
        <v>70</v>
      </c>
      <c r="L377" s="1">
        <v>134</v>
      </c>
      <c r="M377" s="1" t="s">
        <v>41</v>
      </c>
      <c r="N377" s="1" t="s">
        <v>60</v>
      </c>
      <c r="O377" s="1" t="s">
        <v>133</v>
      </c>
      <c r="P377" s="2">
        <v>281.64</v>
      </c>
      <c r="Q377" s="1" t="str">
        <f t="shared" si="15"/>
        <v>YES</v>
      </c>
      <c r="R377" s="2">
        <f t="shared" si="16"/>
        <v>362.11500000000001</v>
      </c>
      <c r="S377" s="2">
        <f>J377*G377</f>
        <v>49086.700000000004</v>
      </c>
      <c r="T377" s="1">
        <f t="shared" ca="1" si="17"/>
        <v>76</v>
      </c>
      <c r="U377" s="1" t="s">
        <v>34</v>
      </c>
      <c r="V377" s="1" t="s">
        <v>34</v>
      </c>
      <c r="W377" s="1" t="s">
        <v>34</v>
      </c>
      <c r="X377" s="1" t="s">
        <v>2581</v>
      </c>
      <c r="Y377" s="1">
        <v>8.5</v>
      </c>
    </row>
    <row r="378" spans="1:25" x14ac:dyDescent="0.3">
      <c r="A378" s="1" t="s">
        <v>563</v>
      </c>
      <c r="B378" s="1" t="s">
        <v>123</v>
      </c>
      <c r="C378" s="1" t="s">
        <v>124</v>
      </c>
      <c r="D378" s="1" t="s">
        <v>47</v>
      </c>
      <c r="E378" s="1" t="s">
        <v>40</v>
      </c>
      <c r="F378" s="1" t="s">
        <v>30</v>
      </c>
      <c r="G378" s="2">
        <v>102.25</v>
      </c>
      <c r="H378" s="1">
        <v>3</v>
      </c>
      <c r="I378" s="1">
        <v>237</v>
      </c>
      <c r="J378" s="1">
        <v>234</v>
      </c>
      <c r="K378" s="1">
        <v>68</v>
      </c>
      <c r="L378" s="1">
        <v>112</v>
      </c>
      <c r="M378" s="1" t="s">
        <v>31</v>
      </c>
      <c r="N378" s="1" t="s">
        <v>60</v>
      </c>
      <c r="O378" s="1" t="s">
        <v>280</v>
      </c>
      <c r="P378" s="2">
        <v>71.569999999999993</v>
      </c>
      <c r="Q378" s="1" t="str">
        <f t="shared" si="15"/>
        <v>YES</v>
      </c>
      <c r="R378" s="2">
        <f t="shared" si="16"/>
        <v>92.025000000000006</v>
      </c>
      <c r="S378" s="2">
        <f>J378*G378</f>
        <v>23926.5</v>
      </c>
      <c r="T378" s="1">
        <f t="shared" ca="1" si="17"/>
        <v>108</v>
      </c>
      <c r="U378" s="1" t="s">
        <v>34</v>
      </c>
      <c r="V378" s="1" t="s">
        <v>34</v>
      </c>
      <c r="W378" s="1" t="s">
        <v>34</v>
      </c>
      <c r="X378" s="1" t="s">
        <v>2755</v>
      </c>
      <c r="Y378" s="1">
        <v>9</v>
      </c>
    </row>
    <row r="379" spans="1:25" x14ac:dyDescent="0.3">
      <c r="A379" s="1" t="s">
        <v>564</v>
      </c>
      <c r="B379" s="1" t="s">
        <v>189</v>
      </c>
      <c r="C379" s="1" t="s">
        <v>190</v>
      </c>
      <c r="D379" s="1" t="s">
        <v>59</v>
      </c>
      <c r="E379" s="1" t="s">
        <v>74</v>
      </c>
      <c r="F379" s="1" t="s">
        <v>54</v>
      </c>
      <c r="G379" s="2">
        <v>267.3</v>
      </c>
      <c r="H379" s="1">
        <v>15</v>
      </c>
      <c r="I379" s="1">
        <v>191</v>
      </c>
      <c r="J379" s="1">
        <v>160</v>
      </c>
      <c r="K379" s="1">
        <v>109</v>
      </c>
      <c r="L379" s="1">
        <v>56</v>
      </c>
      <c r="M379" s="1" t="s">
        <v>31</v>
      </c>
      <c r="N379" s="1" t="s">
        <v>42</v>
      </c>
      <c r="O379" s="1" t="s">
        <v>242</v>
      </c>
      <c r="P379" s="2">
        <v>187.11</v>
      </c>
      <c r="Q379" s="1" t="str">
        <f t="shared" si="15"/>
        <v>YES</v>
      </c>
      <c r="R379" s="2">
        <f t="shared" si="16"/>
        <v>240.57000000000002</v>
      </c>
      <c r="S379" s="2">
        <f>J379*G379</f>
        <v>42768</v>
      </c>
      <c r="T379" s="1">
        <f t="shared" ca="1" si="17"/>
        <v>105</v>
      </c>
      <c r="U379" s="1" t="s">
        <v>34</v>
      </c>
      <c r="V379" s="1" t="s">
        <v>34</v>
      </c>
      <c r="W379" s="1" t="s">
        <v>34</v>
      </c>
      <c r="X379" s="1" t="s">
        <v>2756</v>
      </c>
      <c r="Y379" s="1">
        <v>9.5</v>
      </c>
    </row>
    <row r="380" spans="1:25" x14ac:dyDescent="0.3">
      <c r="A380" s="1" t="s">
        <v>565</v>
      </c>
      <c r="B380" s="1" t="s">
        <v>26</v>
      </c>
      <c r="C380" s="1" t="s">
        <v>27</v>
      </c>
      <c r="D380" s="1" t="s">
        <v>28</v>
      </c>
      <c r="E380" s="1" t="s">
        <v>74</v>
      </c>
      <c r="F380" s="1" t="s">
        <v>48</v>
      </c>
      <c r="G380" s="2">
        <v>421.95</v>
      </c>
      <c r="H380" s="1">
        <v>10</v>
      </c>
      <c r="I380" s="1">
        <v>196</v>
      </c>
      <c r="J380" s="1">
        <v>169</v>
      </c>
      <c r="K380" s="1">
        <v>78</v>
      </c>
      <c r="L380" s="1">
        <v>135</v>
      </c>
      <c r="M380" s="1" t="s">
        <v>41</v>
      </c>
      <c r="N380" s="1" t="s">
        <v>42</v>
      </c>
      <c r="O380" s="1" t="s">
        <v>384</v>
      </c>
      <c r="P380" s="2">
        <v>295.36</v>
      </c>
      <c r="Q380" s="1" t="str">
        <f t="shared" si="15"/>
        <v>YES</v>
      </c>
      <c r="R380" s="2">
        <f t="shared" si="16"/>
        <v>379.755</v>
      </c>
      <c r="S380" s="2">
        <f>J380*G380</f>
        <v>71309.55</v>
      </c>
      <c r="T380" s="1">
        <f t="shared" ca="1" si="17"/>
        <v>147</v>
      </c>
      <c r="U380" s="1" t="s">
        <v>34</v>
      </c>
      <c r="V380" s="1" t="s">
        <v>34</v>
      </c>
      <c r="W380" s="1" t="s">
        <v>34</v>
      </c>
      <c r="X380" s="1" t="s">
        <v>2757</v>
      </c>
      <c r="Y380" s="1">
        <v>5</v>
      </c>
    </row>
    <row r="381" spans="1:25" x14ac:dyDescent="0.3">
      <c r="A381" s="1" t="s">
        <v>566</v>
      </c>
      <c r="B381" s="1" t="s">
        <v>172</v>
      </c>
      <c r="C381" s="1" t="s">
        <v>173</v>
      </c>
      <c r="D381" s="1" t="s">
        <v>132</v>
      </c>
      <c r="E381" s="1" t="s">
        <v>74</v>
      </c>
      <c r="F381" s="1" t="s">
        <v>54</v>
      </c>
      <c r="G381" s="2">
        <v>202.01</v>
      </c>
      <c r="H381" s="1">
        <v>1</v>
      </c>
      <c r="I381" s="1">
        <v>133</v>
      </c>
      <c r="J381" s="1">
        <v>109</v>
      </c>
      <c r="K381" s="1">
        <v>57</v>
      </c>
      <c r="L381" s="1">
        <v>115</v>
      </c>
      <c r="M381" s="1" t="s">
        <v>49</v>
      </c>
      <c r="N381" s="1" t="s">
        <v>32</v>
      </c>
      <c r="O381" s="1" t="s">
        <v>135</v>
      </c>
      <c r="P381" s="2">
        <v>141.41</v>
      </c>
      <c r="Q381" s="1" t="str">
        <f t="shared" si="15"/>
        <v>YES</v>
      </c>
      <c r="R381" s="2">
        <f t="shared" si="16"/>
        <v>181.809</v>
      </c>
      <c r="S381" s="2">
        <f>J381*G381</f>
        <v>22019.09</v>
      </c>
      <c r="T381" s="1">
        <f t="shared" ca="1" si="17"/>
        <v>71</v>
      </c>
      <c r="U381" s="1" t="s">
        <v>34</v>
      </c>
      <c r="V381" s="1" t="s">
        <v>34</v>
      </c>
      <c r="W381" s="1" t="s">
        <v>34</v>
      </c>
      <c r="X381" s="1" t="s">
        <v>2546</v>
      </c>
      <c r="Y381" s="1">
        <v>5.5</v>
      </c>
    </row>
    <row r="382" spans="1:25" x14ac:dyDescent="0.3">
      <c r="A382" s="1" t="s">
        <v>567</v>
      </c>
      <c r="B382" s="1" t="s">
        <v>126</v>
      </c>
      <c r="C382" s="1" t="s">
        <v>127</v>
      </c>
      <c r="D382" s="1" t="s">
        <v>85</v>
      </c>
      <c r="E382" s="1" t="s">
        <v>40</v>
      </c>
      <c r="F382" s="1" t="s">
        <v>48</v>
      </c>
      <c r="G382" s="2">
        <v>192.34</v>
      </c>
      <c r="H382" s="1">
        <v>23</v>
      </c>
      <c r="I382" s="1">
        <v>180</v>
      </c>
      <c r="J382" s="1">
        <v>158</v>
      </c>
      <c r="K382" s="1">
        <v>111</v>
      </c>
      <c r="L382" s="1">
        <v>119</v>
      </c>
      <c r="M382" s="1" t="s">
        <v>31</v>
      </c>
      <c r="N382" s="1" t="s">
        <v>32</v>
      </c>
      <c r="O382" s="1" t="s">
        <v>178</v>
      </c>
      <c r="P382" s="2">
        <v>134.63999999999999</v>
      </c>
      <c r="Q382" s="1" t="str">
        <f t="shared" si="15"/>
        <v>YES</v>
      </c>
      <c r="R382" s="2">
        <f t="shared" si="16"/>
        <v>173.10599999999999</v>
      </c>
      <c r="S382" s="2">
        <f>J382*G382</f>
        <v>30389.72</v>
      </c>
      <c r="T382" s="1">
        <f t="shared" ca="1" si="17"/>
        <v>90</v>
      </c>
      <c r="U382" s="1" t="s">
        <v>34</v>
      </c>
      <c r="V382" s="1" t="s">
        <v>34</v>
      </c>
      <c r="W382" s="1" t="s">
        <v>34</v>
      </c>
      <c r="X382" s="1" t="s">
        <v>2555</v>
      </c>
      <c r="Y382" s="1">
        <v>6</v>
      </c>
    </row>
    <row r="383" spans="1:25" x14ac:dyDescent="0.3">
      <c r="A383" s="1" t="s">
        <v>568</v>
      </c>
      <c r="B383" s="1" t="s">
        <v>111</v>
      </c>
      <c r="C383" s="1" t="s">
        <v>112</v>
      </c>
      <c r="D383" s="1" t="s">
        <v>97</v>
      </c>
      <c r="E383" s="1" t="s">
        <v>74</v>
      </c>
      <c r="F383" s="1" t="s">
        <v>30</v>
      </c>
      <c r="G383" s="2">
        <v>387</v>
      </c>
      <c r="H383" s="1">
        <v>23</v>
      </c>
      <c r="I383" s="1">
        <v>106</v>
      </c>
      <c r="J383" s="1">
        <v>88</v>
      </c>
      <c r="K383" s="1">
        <v>102</v>
      </c>
      <c r="L383" s="1">
        <v>94</v>
      </c>
      <c r="M383" s="1" t="s">
        <v>49</v>
      </c>
      <c r="N383" s="1" t="s">
        <v>42</v>
      </c>
      <c r="O383" s="1" t="s">
        <v>266</v>
      </c>
      <c r="P383" s="2">
        <v>270.89999999999998</v>
      </c>
      <c r="Q383" s="1" t="str">
        <f t="shared" si="15"/>
        <v>NO</v>
      </c>
      <c r="R383" s="2">
        <f t="shared" si="16"/>
        <v>387</v>
      </c>
      <c r="S383" s="2">
        <f>J383*G383</f>
        <v>34056</v>
      </c>
      <c r="T383" s="1">
        <f t="shared" ca="1" si="17"/>
        <v>139</v>
      </c>
      <c r="U383" s="1" t="s">
        <v>34</v>
      </c>
      <c r="V383" s="1" t="s">
        <v>34</v>
      </c>
      <c r="W383" s="1" t="s">
        <v>34</v>
      </c>
      <c r="X383" s="1" t="s">
        <v>2657</v>
      </c>
      <c r="Y383" s="1">
        <v>6.5</v>
      </c>
    </row>
    <row r="384" spans="1:25" x14ac:dyDescent="0.3">
      <c r="A384" s="1" t="s">
        <v>569</v>
      </c>
      <c r="B384" s="1" t="s">
        <v>63</v>
      </c>
      <c r="C384" s="1" t="s">
        <v>64</v>
      </c>
      <c r="D384" s="1" t="s">
        <v>28</v>
      </c>
      <c r="E384" s="1" t="s">
        <v>29</v>
      </c>
      <c r="F384" s="1" t="s">
        <v>48</v>
      </c>
      <c r="G384" s="2">
        <v>411.88</v>
      </c>
      <c r="H384" s="1">
        <v>14</v>
      </c>
      <c r="I384" s="1">
        <v>282</v>
      </c>
      <c r="J384" s="1">
        <v>257</v>
      </c>
      <c r="K384" s="1">
        <v>45</v>
      </c>
      <c r="L384" s="1">
        <v>107</v>
      </c>
      <c r="M384" s="1" t="s">
        <v>49</v>
      </c>
      <c r="N384" s="1" t="s">
        <v>42</v>
      </c>
      <c r="O384" s="1" t="s">
        <v>81</v>
      </c>
      <c r="P384" s="2">
        <v>288.32</v>
      </c>
      <c r="Q384" s="1" t="str">
        <f t="shared" si="15"/>
        <v>YES</v>
      </c>
      <c r="R384" s="2">
        <f t="shared" si="16"/>
        <v>370.69200000000001</v>
      </c>
      <c r="S384" s="2">
        <f>J384*G384</f>
        <v>105853.16</v>
      </c>
      <c r="T384" s="1">
        <f t="shared" ca="1" si="17"/>
        <v>81</v>
      </c>
      <c r="U384" s="1" t="s">
        <v>34</v>
      </c>
      <c r="V384" s="1" t="s">
        <v>34</v>
      </c>
      <c r="W384" s="1" t="s">
        <v>34</v>
      </c>
      <c r="X384" s="1" t="s">
        <v>2631</v>
      </c>
      <c r="Y384" s="1">
        <v>7</v>
      </c>
    </row>
    <row r="385" spans="1:25" x14ac:dyDescent="0.3">
      <c r="A385" s="1" t="s">
        <v>570</v>
      </c>
      <c r="B385" s="1" t="s">
        <v>111</v>
      </c>
      <c r="C385" s="1" t="s">
        <v>112</v>
      </c>
      <c r="D385" s="1" t="s">
        <v>97</v>
      </c>
      <c r="E385" s="1" t="s">
        <v>40</v>
      </c>
      <c r="F385" s="1" t="s">
        <v>48</v>
      </c>
      <c r="G385" s="2">
        <v>269.20999999999998</v>
      </c>
      <c r="H385" s="1">
        <v>24</v>
      </c>
      <c r="I385" s="1">
        <v>261</v>
      </c>
      <c r="J385" s="1">
        <v>248</v>
      </c>
      <c r="K385" s="1">
        <v>47</v>
      </c>
      <c r="L385" s="1">
        <v>79</v>
      </c>
      <c r="M385" s="1" t="s">
        <v>41</v>
      </c>
      <c r="N385" s="1" t="s">
        <v>60</v>
      </c>
      <c r="O385" s="1" t="s">
        <v>212</v>
      </c>
      <c r="P385" s="2">
        <v>188.45</v>
      </c>
      <c r="Q385" s="1" t="str">
        <f t="shared" si="15"/>
        <v>YES</v>
      </c>
      <c r="R385" s="2">
        <f t="shared" si="16"/>
        <v>242.28899999999999</v>
      </c>
      <c r="S385" s="2">
        <f>J385*G385</f>
        <v>66764.08</v>
      </c>
      <c r="T385" s="1">
        <f t="shared" ca="1" si="17"/>
        <v>78</v>
      </c>
      <c r="U385" s="1" t="s">
        <v>34</v>
      </c>
      <c r="V385" s="1" t="s">
        <v>34</v>
      </c>
      <c r="W385" s="1" t="s">
        <v>34</v>
      </c>
      <c r="X385" s="1" t="s">
        <v>2758</v>
      </c>
      <c r="Y385" s="1">
        <v>7.5</v>
      </c>
    </row>
    <row r="386" spans="1:25" x14ac:dyDescent="0.3">
      <c r="A386" s="1" t="s">
        <v>571</v>
      </c>
      <c r="B386" s="1" t="s">
        <v>197</v>
      </c>
      <c r="C386" s="1" t="s">
        <v>198</v>
      </c>
      <c r="D386" s="1" t="s">
        <v>104</v>
      </c>
      <c r="E386" s="1" t="s">
        <v>74</v>
      </c>
      <c r="F386" s="1" t="s">
        <v>48</v>
      </c>
      <c r="G386" s="2">
        <v>236.67</v>
      </c>
      <c r="H386" s="1">
        <v>21</v>
      </c>
      <c r="I386" s="1">
        <v>186</v>
      </c>
      <c r="J386" s="1">
        <v>162</v>
      </c>
      <c r="K386" s="1">
        <v>72</v>
      </c>
      <c r="L386" s="1">
        <v>51</v>
      </c>
      <c r="M386" s="1" t="s">
        <v>31</v>
      </c>
      <c r="N386" s="1" t="s">
        <v>42</v>
      </c>
      <c r="O386" s="1" t="s">
        <v>153</v>
      </c>
      <c r="P386" s="2">
        <v>165.67</v>
      </c>
      <c r="Q386" s="1" t="str">
        <f t="shared" ref="Q386:Q449" si="18">IF(J386&gt;K386,"YES","NO")</f>
        <v>YES</v>
      </c>
      <c r="R386" s="2">
        <f t="shared" ref="R386:R449" si="19">IF(Q386="YES",G386*0.9,G386)</f>
        <v>213.00299999999999</v>
      </c>
      <c r="S386" s="2">
        <f>J386*G386</f>
        <v>38340.54</v>
      </c>
      <c r="T386" s="1">
        <f t="shared" ref="T386:T449" ca="1" si="20">TODAY()-DATE(MID(O386,7,4),MID(O386,4,2),LEFT(O386,2))</f>
        <v>135</v>
      </c>
      <c r="U386" s="1" t="s">
        <v>34</v>
      </c>
      <c r="V386" s="1" t="s">
        <v>34</v>
      </c>
      <c r="W386" s="1" t="s">
        <v>34</v>
      </c>
      <c r="X386" s="1" t="s">
        <v>2759</v>
      </c>
      <c r="Y386" s="1">
        <v>8</v>
      </c>
    </row>
    <row r="387" spans="1:25" x14ac:dyDescent="0.3">
      <c r="A387" s="1" t="s">
        <v>572</v>
      </c>
      <c r="B387" s="1" t="s">
        <v>45</v>
      </c>
      <c r="C387" s="1" t="s">
        <v>46</v>
      </c>
      <c r="D387" s="1" t="s">
        <v>47</v>
      </c>
      <c r="E387" s="1" t="s">
        <v>40</v>
      </c>
      <c r="F387" s="1" t="s">
        <v>30</v>
      </c>
      <c r="G387" s="2">
        <v>225.22</v>
      </c>
      <c r="H387" s="1">
        <v>20</v>
      </c>
      <c r="I387" s="1">
        <v>149</v>
      </c>
      <c r="J387" s="1">
        <v>130</v>
      </c>
      <c r="K387" s="1">
        <v>68</v>
      </c>
      <c r="L387" s="1">
        <v>149</v>
      </c>
      <c r="M387" s="1" t="s">
        <v>31</v>
      </c>
      <c r="N387" s="1" t="s">
        <v>42</v>
      </c>
      <c r="O387" s="1" t="s">
        <v>361</v>
      </c>
      <c r="P387" s="2">
        <v>157.65</v>
      </c>
      <c r="Q387" s="1" t="str">
        <f t="shared" si="18"/>
        <v>YES</v>
      </c>
      <c r="R387" s="2">
        <f t="shared" si="19"/>
        <v>202.69800000000001</v>
      </c>
      <c r="S387" s="2">
        <f>J387*G387</f>
        <v>29278.6</v>
      </c>
      <c r="T387" s="1">
        <f t="shared" ca="1" si="20"/>
        <v>99</v>
      </c>
      <c r="U387" s="1" t="s">
        <v>34</v>
      </c>
      <c r="V387" s="1" t="s">
        <v>34</v>
      </c>
      <c r="W387" s="1" t="s">
        <v>34</v>
      </c>
      <c r="X387" s="1" t="s">
        <v>2617</v>
      </c>
      <c r="Y387" s="1">
        <v>8.5</v>
      </c>
    </row>
    <row r="388" spans="1:25" x14ac:dyDescent="0.3">
      <c r="A388" s="1" t="s">
        <v>573</v>
      </c>
      <c r="B388" s="1" t="s">
        <v>45</v>
      </c>
      <c r="C388" s="1" t="s">
        <v>46</v>
      </c>
      <c r="D388" s="1" t="s">
        <v>47</v>
      </c>
      <c r="E388" s="1" t="s">
        <v>40</v>
      </c>
      <c r="F388" s="1" t="s">
        <v>30</v>
      </c>
      <c r="G388" s="2">
        <v>343.25</v>
      </c>
      <c r="H388" s="1">
        <v>18</v>
      </c>
      <c r="I388" s="1">
        <v>278</v>
      </c>
      <c r="J388" s="1">
        <v>247</v>
      </c>
      <c r="K388" s="1">
        <v>80</v>
      </c>
      <c r="L388" s="1">
        <v>81</v>
      </c>
      <c r="M388" s="1" t="s">
        <v>31</v>
      </c>
      <c r="N388" s="1" t="s">
        <v>60</v>
      </c>
      <c r="O388" s="1" t="s">
        <v>121</v>
      </c>
      <c r="P388" s="2">
        <v>240.27</v>
      </c>
      <c r="Q388" s="1" t="str">
        <f t="shared" si="18"/>
        <v>YES</v>
      </c>
      <c r="R388" s="2">
        <f t="shared" si="19"/>
        <v>308.92500000000001</v>
      </c>
      <c r="S388" s="2">
        <f>J388*G388</f>
        <v>84782.75</v>
      </c>
      <c r="T388" s="1">
        <f t="shared" ca="1" si="20"/>
        <v>130</v>
      </c>
      <c r="U388" s="1" t="s">
        <v>34</v>
      </c>
      <c r="V388" s="1" t="s">
        <v>34</v>
      </c>
      <c r="W388" s="1" t="s">
        <v>34</v>
      </c>
      <c r="X388" s="1" t="s">
        <v>2760</v>
      </c>
      <c r="Y388" s="1">
        <v>9</v>
      </c>
    </row>
    <row r="389" spans="1:25" x14ac:dyDescent="0.3">
      <c r="A389" s="1" t="s">
        <v>574</v>
      </c>
      <c r="B389" s="1" t="s">
        <v>262</v>
      </c>
      <c r="C389" s="1" t="s">
        <v>263</v>
      </c>
      <c r="D389" s="1" t="s">
        <v>104</v>
      </c>
      <c r="E389" s="1" t="s">
        <v>74</v>
      </c>
      <c r="F389" s="1" t="s">
        <v>54</v>
      </c>
      <c r="G389" s="2">
        <v>236.22</v>
      </c>
      <c r="H389" s="1">
        <v>13</v>
      </c>
      <c r="I389" s="1">
        <v>154</v>
      </c>
      <c r="J389" s="1">
        <v>129</v>
      </c>
      <c r="K389" s="1">
        <v>46</v>
      </c>
      <c r="L389" s="1">
        <v>139</v>
      </c>
      <c r="M389" s="1" t="s">
        <v>31</v>
      </c>
      <c r="N389" s="1" t="s">
        <v>60</v>
      </c>
      <c r="O389" s="1" t="s">
        <v>220</v>
      </c>
      <c r="P389" s="2">
        <v>165.35</v>
      </c>
      <c r="Q389" s="1" t="str">
        <f t="shared" si="18"/>
        <v>YES</v>
      </c>
      <c r="R389" s="2">
        <f t="shared" si="19"/>
        <v>212.59800000000001</v>
      </c>
      <c r="S389" s="2">
        <f>J389*G389</f>
        <v>30472.38</v>
      </c>
      <c r="T389" s="1">
        <f t="shared" ca="1" si="20"/>
        <v>106</v>
      </c>
      <c r="U389" s="1" t="s">
        <v>34</v>
      </c>
      <c r="V389" s="1" t="s">
        <v>34</v>
      </c>
      <c r="W389" s="1" t="s">
        <v>34</v>
      </c>
      <c r="X389" s="1" t="s">
        <v>2555</v>
      </c>
      <c r="Y389" s="1">
        <v>9.5</v>
      </c>
    </row>
    <row r="390" spans="1:25" x14ac:dyDescent="0.3">
      <c r="A390" s="1" t="s">
        <v>575</v>
      </c>
      <c r="B390" s="1" t="s">
        <v>237</v>
      </c>
      <c r="C390" s="1" t="s">
        <v>238</v>
      </c>
      <c r="D390" s="1" t="s">
        <v>85</v>
      </c>
      <c r="E390" s="1" t="s">
        <v>74</v>
      </c>
      <c r="F390" s="1" t="s">
        <v>48</v>
      </c>
      <c r="G390" s="2">
        <v>80.95</v>
      </c>
      <c r="H390" s="1">
        <v>5</v>
      </c>
      <c r="I390" s="1">
        <v>186</v>
      </c>
      <c r="J390" s="1">
        <v>147</v>
      </c>
      <c r="K390" s="1">
        <v>104</v>
      </c>
      <c r="L390" s="1">
        <v>74</v>
      </c>
      <c r="M390" s="1" t="s">
        <v>41</v>
      </c>
      <c r="N390" s="1" t="s">
        <v>32</v>
      </c>
      <c r="O390" s="1" t="s">
        <v>309</v>
      </c>
      <c r="P390" s="2">
        <v>56.66</v>
      </c>
      <c r="Q390" s="1" t="str">
        <f t="shared" si="18"/>
        <v>YES</v>
      </c>
      <c r="R390" s="2">
        <f t="shared" si="19"/>
        <v>72.855000000000004</v>
      </c>
      <c r="S390" s="2">
        <f>J390*G390</f>
        <v>11899.65</v>
      </c>
      <c r="T390" s="1">
        <f t="shared" ca="1" si="20"/>
        <v>67</v>
      </c>
      <c r="U390" s="1" t="s">
        <v>34</v>
      </c>
      <c r="V390" s="1" t="s">
        <v>34</v>
      </c>
      <c r="W390" s="1" t="s">
        <v>34</v>
      </c>
      <c r="X390" s="1" t="s">
        <v>2761</v>
      </c>
      <c r="Y390" s="1">
        <v>5</v>
      </c>
    </row>
    <row r="391" spans="1:25" x14ac:dyDescent="0.3">
      <c r="A391" s="1" t="s">
        <v>576</v>
      </c>
      <c r="B391" s="1" t="s">
        <v>102</v>
      </c>
      <c r="C391" s="1" t="s">
        <v>103</v>
      </c>
      <c r="D391" s="1" t="s">
        <v>104</v>
      </c>
      <c r="E391" s="1" t="s">
        <v>74</v>
      </c>
      <c r="F391" s="1" t="s">
        <v>48</v>
      </c>
      <c r="G391" s="2">
        <v>164.92</v>
      </c>
      <c r="H391" s="1">
        <v>2</v>
      </c>
      <c r="I391" s="1">
        <v>173</v>
      </c>
      <c r="J391" s="1">
        <v>164</v>
      </c>
      <c r="K391" s="1">
        <v>61</v>
      </c>
      <c r="L391" s="1">
        <v>72</v>
      </c>
      <c r="M391" s="1" t="s">
        <v>31</v>
      </c>
      <c r="N391" s="1" t="s">
        <v>60</v>
      </c>
      <c r="O391" s="1" t="s">
        <v>145</v>
      </c>
      <c r="P391" s="2">
        <v>115.44</v>
      </c>
      <c r="Q391" s="1" t="str">
        <f t="shared" si="18"/>
        <v>YES</v>
      </c>
      <c r="R391" s="2">
        <f t="shared" si="19"/>
        <v>148.428</v>
      </c>
      <c r="S391" s="2">
        <f>J391*G391</f>
        <v>27046.879999999997</v>
      </c>
      <c r="T391" s="1">
        <f t="shared" ca="1" si="20"/>
        <v>68</v>
      </c>
      <c r="U391" s="1" t="s">
        <v>34</v>
      </c>
      <c r="V391" s="1" t="s">
        <v>34</v>
      </c>
      <c r="W391" s="1" t="s">
        <v>34</v>
      </c>
      <c r="X391" s="1" t="s">
        <v>2570</v>
      </c>
      <c r="Y391" s="1">
        <v>5.5</v>
      </c>
    </row>
    <row r="392" spans="1:25" x14ac:dyDescent="0.3">
      <c r="A392" s="1" t="s">
        <v>577</v>
      </c>
      <c r="B392" s="1" t="s">
        <v>83</v>
      </c>
      <c r="C392" s="1" t="s">
        <v>84</v>
      </c>
      <c r="D392" s="1" t="s">
        <v>85</v>
      </c>
      <c r="E392" s="1" t="s">
        <v>40</v>
      </c>
      <c r="F392" s="1" t="s">
        <v>54</v>
      </c>
      <c r="G392" s="2">
        <v>191.85</v>
      </c>
      <c r="H392" s="1">
        <v>8</v>
      </c>
      <c r="I392" s="1">
        <v>140</v>
      </c>
      <c r="J392" s="1">
        <v>133</v>
      </c>
      <c r="K392" s="1">
        <v>97</v>
      </c>
      <c r="L392" s="1">
        <v>101</v>
      </c>
      <c r="M392" s="1" t="s">
        <v>31</v>
      </c>
      <c r="N392" s="1" t="s">
        <v>32</v>
      </c>
      <c r="O392" s="1" t="s">
        <v>395</v>
      </c>
      <c r="P392" s="2">
        <v>134.29</v>
      </c>
      <c r="Q392" s="1" t="str">
        <f t="shared" si="18"/>
        <v>YES</v>
      </c>
      <c r="R392" s="2">
        <f t="shared" si="19"/>
        <v>172.66499999999999</v>
      </c>
      <c r="S392" s="2">
        <f>J392*G392</f>
        <v>25516.05</v>
      </c>
      <c r="T392" s="1">
        <f t="shared" ca="1" si="20"/>
        <v>101</v>
      </c>
      <c r="U392" s="1" t="s">
        <v>34</v>
      </c>
      <c r="V392" s="1" t="s">
        <v>34</v>
      </c>
      <c r="W392" s="1" t="s">
        <v>34</v>
      </c>
      <c r="X392" s="1" t="s">
        <v>2762</v>
      </c>
      <c r="Y392" s="1">
        <v>6</v>
      </c>
    </row>
    <row r="393" spans="1:25" x14ac:dyDescent="0.3">
      <c r="A393" s="1" t="s">
        <v>578</v>
      </c>
      <c r="B393" s="1" t="s">
        <v>111</v>
      </c>
      <c r="C393" s="1" t="s">
        <v>112</v>
      </c>
      <c r="D393" s="1" t="s">
        <v>97</v>
      </c>
      <c r="E393" s="1" t="s">
        <v>29</v>
      </c>
      <c r="F393" s="1" t="s">
        <v>48</v>
      </c>
      <c r="G393" s="2">
        <v>101.75</v>
      </c>
      <c r="H393" s="1">
        <v>3</v>
      </c>
      <c r="I393" s="1">
        <v>251</v>
      </c>
      <c r="J393" s="1">
        <v>219</v>
      </c>
      <c r="K393" s="1">
        <v>64</v>
      </c>
      <c r="L393" s="1">
        <v>68</v>
      </c>
      <c r="M393" s="1" t="s">
        <v>41</v>
      </c>
      <c r="N393" s="1" t="s">
        <v>32</v>
      </c>
      <c r="O393" s="1" t="s">
        <v>284</v>
      </c>
      <c r="P393" s="2">
        <v>71.22</v>
      </c>
      <c r="Q393" s="1" t="str">
        <f t="shared" si="18"/>
        <v>YES</v>
      </c>
      <c r="R393" s="2">
        <f t="shared" si="19"/>
        <v>91.575000000000003</v>
      </c>
      <c r="S393" s="2">
        <f>J393*G393</f>
        <v>22283.25</v>
      </c>
      <c r="T393" s="1">
        <f t="shared" ca="1" si="20"/>
        <v>119</v>
      </c>
      <c r="U393" s="1" t="s">
        <v>34</v>
      </c>
      <c r="V393" s="1" t="s">
        <v>34</v>
      </c>
      <c r="W393" s="1" t="s">
        <v>34</v>
      </c>
      <c r="X393" s="1" t="s">
        <v>2763</v>
      </c>
      <c r="Y393" s="1">
        <v>6.5</v>
      </c>
    </row>
    <row r="394" spans="1:25" x14ac:dyDescent="0.3">
      <c r="A394" s="1" t="s">
        <v>579</v>
      </c>
      <c r="B394" s="1" t="s">
        <v>130</v>
      </c>
      <c r="C394" s="1" t="s">
        <v>131</v>
      </c>
      <c r="D394" s="1" t="s">
        <v>132</v>
      </c>
      <c r="E394" s="1" t="s">
        <v>40</v>
      </c>
      <c r="F394" s="1" t="s">
        <v>54</v>
      </c>
      <c r="G394" s="2">
        <v>309.8</v>
      </c>
      <c r="H394" s="1">
        <v>1</v>
      </c>
      <c r="I394" s="1">
        <v>221</v>
      </c>
      <c r="J394" s="1">
        <v>209</v>
      </c>
      <c r="K394" s="1">
        <v>59</v>
      </c>
      <c r="L394" s="1">
        <v>133</v>
      </c>
      <c r="M394" s="1" t="s">
        <v>31</v>
      </c>
      <c r="N394" s="1" t="s">
        <v>32</v>
      </c>
      <c r="O394" s="1" t="s">
        <v>79</v>
      </c>
      <c r="P394" s="2">
        <v>216.86</v>
      </c>
      <c r="Q394" s="1" t="str">
        <f t="shared" si="18"/>
        <v>YES</v>
      </c>
      <c r="R394" s="2">
        <f t="shared" si="19"/>
        <v>278.82</v>
      </c>
      <c r="S394" s="2">
        <f>J394*G394</f>
        <v>64748.200000000004</v>
      </c>
      <c r="T394" s="1">
        <f t="shared" ca="1" si="20"/>
        <v>93</v>
      </c>
      <c r="U394" s="1" t="s">
        <v>34</v>
      </c>
      <c r="V394" s="1" t="s">
        <v>34</v>
      </c>
      <c r="W394" s="1" t="s">
        <v>34</v>
      </c>
      <c r="X394" s="1" t="s">
        <v>2749</v>
      </c>
      <c r="Y394" s="1">
        <v>7</v>
      </c>
    </row>
    <row r="395" spans="1:25" x14ac:dyDescent="0.3">
      <c r="A395" s="1" t="s">
        <v>580</v>
      </c>
      <c r="B395" s="1" t="s">
        <v>143</v>
      </c>
      <c r="C395" s="1" t="s">
        <v>144</v>
      </c>
      <c r="D395" s="1" t="s">
        <v>47</v>
      </c>
      <c r="E395" s="1" t="s">
        <v>29</v>
      </c>
      <c r="F395" s="1" t="s">
        <v>54</v>
      </c>
      <c r="G395" s="2">
        <v>378.48</v>
      </c>
      <c r="H395" s="1">
        <v>12</v>
      </c>
      <c r="I395" s="1">
        <v>265</v>
      </c>
      <c r="J395" s="1">
        <v>265</v>
      </c>
      <c r="K395" s="1">
        <v>118</v>
      </c>
      <c r="L395" s="1">
        <v>127</v>
      </c>
      <c r="M395" s="1" t="s">
        <v>41</v>
      </c>
      <c r="N395" s="1" t="s">
        <v>32</v>
      </c>
      <c r="O395" s="1" t="s">
        <v>121</v>
      </c>
      <c r="P395" s="2">
        <v>264.94</v>
      </c>
      <c r="Q395" s="1" t="str">
        <f t="shared" si="18"/>
        <v>YES</v>
      </c>
      <c r="R395" s="2">
        <f t="shared" si="19"/>
        <v>340.63200000000001</v>
      </c>
      <c r="S395" s="2">
        <f>J395*G395</f>
        <v>100297.20000000001</v>
      </c>
      <c r="T395" s="1">
        <f t="shared" ca="1" si="20"/>
        <v>130</v>
      </c>
      <c r="U395" s="1" t="s">
        <v>34</v>
      </c>
      <c r="V395" s="1" t="s">
        <v>34</v>
      </c>
      <c r="W395" s="1" t="s">
        <v>34</v>
      </c>
      <c r="X395" s="1" t="s">
        <v>2764</v>
      </c>
      <c r="Y395" s="1">
        <v>7.5</v>
      </c>
    </row>
    <row r="396" spans="1:25" x14ac:dyDescent="0.3">
      <c r="A396" s="1" t="s">
        <v>581</v>
      </c>
      <c r="B396" s="1" t="s">
        <v>118</v>
      </c>
      <c r="C396" s="1" t="s">
        <v>119</v>
      </c>
      <c r="D396" s="1" t="s">
        <v>97</v>
      </c>
      <c r="E396" s="1" t="s">
        <v>40</v>
      </c>
      <c r="F396" s="1" t="s">
        <v>48</v>
      </c>
      <c r="G396" s="2">
        <v>369.83</v>
      </c>
      <c r="H396" s="1">
        <v>7</v>
      </c>
      <c r="I396" s="1">
        <v>195</v>
      </c>
      <c r="J396" s="1">
        <v>157</v>
      </c>
      <c r="K396" s="1">
        <v>109</v>
      </c>
      <c r="L396" s="1">
        <v>76</v>
      </c>
      <c r="M396" s="1" t="s">
        <v>31</v>
      </c>
      <c r="N396" s="1" t="s">
        <v>60</v>
      </c>
      <c r="O396" s="1" t="s">
        <v>137</v>
      </c>
      <c r="P396" s="2">
        <v>258.88</v>
      </c>
      <c r="Q396" s="1" t="str">
        <f t="shared" si="18"/>
        <v>YES</v>
      </c>
      <c r="R396" s="2">
        <f t="shared" si="19"/>
        <v>332.84699999999998</v>
      </c>
      <c r="S396" s="2">
        <f>J396*G396</f>
        <v>58063.31</v>
      </c>
      <c r="T396" s="1">
        <f t="shared" ca="1" si="20"/>
        <v>107</v>
      </c>
      <c r="U396" s="1" t="s">
        <v>34</v>
      </c>
      <c r="V396" s="1" t="s">
        <v>34</v>
      </c>
      <c r="W396" s="1" t="s">
        <v>34</v>
      </c>
      <c r="X396" s="1" t="s">
        <v>2689</v>
      </c>
      <c r="Y396" s="1">
        <v>8</v>
      </c>
    </row>
    <row r="397" spans="1:25" x14ac:dyDescent="0.3">
      <c r="A397" s="1" t="s">
        <v>582</v>
      </c>
      <c r="B397" s="1" t="s">
        <v>130</v>
      </c>
      <c r="C397" s="1" t="s">
        <v>131</v>
      </c>
      <c r="D397" s="1" t="s">
        <v>132</v>
      </c>
      <c r="E397" s="1" t="s">
        <v>40</v>
      </c>
      <c r="F397" s="1" t="s">
        <v>54</v>
      </c>
      <c r="G397" s="2">
        <v>353.78</v>
      </c>
      <c r="H397" s="1">
        <v>2</v>
      </c>
      <c r="I397" s="1">
        <v>268</v>
      </c>
      <c r="J397" s="1">
        <v>253</v>
      </c>
      <c r="K397" s="1">
        <v>107</v>
      </c>
      <c r="L397" s="1">
        <v>81</v>
      </c>
      <c r="M397" s="1" t="s">
        <v>49</v>
      </c>
      <c r="N397" s="1" t="s">
        <v>60</v>
      </c>
      <c r="O397" s="1" t="s">
        <v>284</v>
      </c>
      <c r="P397" s="2">
        <v>247.65</v>
      </c>
      <c r="Q397" s="1" t="str">
        <f t="shared" si="18"/>
        <v>YES</v>
      </c>
      <c r="R397" s="2">
        <f t="shared" si="19"/>
        <v>318.40199999999999</v>
      </c>
      <c r="S397" s="2">
        <f>J397*G397</f>
        <v>89506.34</v>
      </c>
      <c r="T397" s="1">
        <f t="shared" ca="1" si="20"/>
        <v>119</v>
      </c>
      <c r="U397" s="1" t="s">
        <v>34</v>
      </c>
      <c r="V397" s="1" t="s">
        <v>34</v>
      </c>
      <c r="W397" s="1" t="s">
        <v>34</v>
      </c>
      <c r="X397" s="1" t="s">
        <v>2726</v>
      </c>
      <c r="Y397" s="1">
        <v>8.5</v>
      </c>
    </row>
    <row r="398" spans="1:25" x14ac:dyDescent="0.3">
      <c r="A398" s="1" t="s">
        <v>583</v>
      </c>
      <c r="B398" s="1" t="s">
        <v>83</v>
      </c>
      <c r="C398" s="1" t="s">
        <v>84</v>
      </c>
      <c r="D398" s="1" t="s">
        <v>85</v>
      </c>
      <c r="E398" s="1" t="s">
        <v>40</v>
      </c>
      <c r="F398" s="1" t="s">
        <v>54</v>
      </c>
      <c r="G398" s="2">
        <v>217.46</v>
      </c>
      <c r="H398" s="1">
        <v>23</v>
      </c>
      <c r="I398" s="1">
        <v>246</v>
      </c>
      <c r="J398" s="1">
        <v>237</v>
      </c>
      <c r="K398" s="1">
        <v>115</v>
      </c>
      <c r="L398" s="1">
        <v>98</v>
      </c>
      <c r="M398" s="1" t="s">
        <v>31</v>
      </c>
      <c r="N398" s="1" t="s">
        <v>32</v>
      </c>
      <c r="O398" s="1" t="s">
        <v>33</v>
      </c>
      <c r="P398" s="2">
        <v>152.22</v>
      </c>
      <c r="Q398" s="1" t="str">
        <f t="shared" si="18"/>
        <v>YES</v>
      </c>
      <c r="R398" s="2">
        <f t="shared" si="19"/>
        <v>195.714</v>
      </c>
      <c r="S398" s="2">
        <f>J398*G398</f>
        <v>51538.020000000004</v>
      </c>
      <c r="T398" s="1">
        <f t="shared" ca="1" si="20"/>
        <v>141</v>
      </c>
      <c r="U398" s="1" t="s">
        <v>34</v>
      </c>
      <c r="V398" s="1" t="s">
        <v>34</v>
      </c>
      <c r="W398" s="1" t="s">
        <v>34</v>
      </c>
      <c r="X398" s="1" t="s">
        <v>2599</v>
      </c>
      <c r="Y398" s="1">
        <v>9</v>
      </c>
    </row>
    <row r="399" spans="1:25" x14ac:dyDescent="0.3">
      <c r="A399" s="1" t="s">
        <v>584</v>
      </c>
      <c r="B399" s="1" t="s">
        <v>123</v>
      </c>
      <c r="C399" s="1" t="s">
        <v>124</v>
      </c>
      <c r="D399" s="1" t="s">
        <v>47</v>
      </c>
      <c r="E399" s="1" t="s">
        <v>29</v>
      </c>
      <c r="F399" s="1" t="s">
        <v>54</v>
      </c>
      <c r="G399" s="2">
        <v>113.09</v>
      </c>
      <c r="H399" s="1">
        <v>5</v>
      </c>
      <c r="I399" s="1">
        <v>99</v>
      </c>
      <c r="J399" s="1">
        <v>79</v>
      </c>
      <c r="K399" s="1">
        <v>41</v>
      </c>
      <c r="L399" s="1">
        <v>59</v>
      </c>
      <c r="M399" s="1" t="s">
        <v>31</v>
      </c>
      <c r="N399" s="1" t="s">
        <v>60</v>
      </c>
      <c r="O399" s="1" t="s">
        <v>88</v>
      </c>
      <c r="P399" s="2">
        <v>79.16</v>
      </c>
      <c r="Q399" s="1" t="str">
        <f t="shared" si="18"/>
        <v>YES</v>
      </c>
      <c r="R399" s="2">
        <f t="shared" si="19"/>
        <v>101.78100000000001</v>
      </c>
      <c r="S399" s="2">
        <f>J399*G399</f>
        <v>8934.11</v>
      </c>
      <c r="T399" s="1">
        <f t="shared" ca="1" si="20"/>
        <v>124</v>
      </c>
      <c r="U399" s="1" t="s">
        <v>34</v>
      </c>
      <c r="V399" s="1" t="s">
        <v>34</v>
      </c>
      <c r="W399" s="1" t="s">
        <v>34</v>
      </c>
      <c r="X399" s="1" t="s">
        <v>2765</v>
      </c>
      <c r="Y399" s="1">
        <v>9.5</v>
      </c>
    </row>
    <row r="400" spans="1:25" x14ac:dyDescent="0.3">
      <c r="A400" s="1" t="s">
        <v>585</v>
      </c>
      <c r="B400" s="1" t="s">
        <v>37</v>
      </c>
      <c r="C400" s="1" t="s">
        <v>38</v>
      </c>
      <c r="D400" s="1" t="s">
        <v>39</v>
      </c>
      <c r="E400" s="1" t="s">
        <v>40</v>
      </c>
      <c r="F400" s="1" t="s">
        <v>54</v>
      </c>
      <c r="G400" s="2">
        <v>128.41</v>
      </c>
      <c r="H400" s="1">
        <v>15</v>
      </c>
      <c r="I400" s="1">
        <v>291</v>
      </c>
      <c r="J400" s="1">
        <v>273</v>
      </c>
      <c r="K400" s="1">
        <v>52</v>
      </c>
      <c r="L400" s="1">
        <v>65</v>
      </c>
      <c r="M400" s="1" t="s">
        <v>49</v>
      </c>
      <c r="N400" s="1" t="s">
        <v>42</v>
      </c>
      <c r="O400" s="1" t="s">
        <v>361</v>
      </c>
      <c r="P400" s="2">
        <v>89.89</v>
      </c>
      <c r="Q400" s="1" t="str">
        <f t="shared" si="18"/>
        <v>YES</v>
      </c>
      <c r="R400" s="2">
        <f t="shared" si="19"/>
        <v>115.569</v>
      </c>
      <c r="S400" s="2">
        <f>J400*G400</f>
        <v>35055.93</v>
      </c>
      <c r="T400" s="1">
        <f t="shared" ca="1" si="20"/>
        <v>99</v>
      </c>
      <c r="U400" s="1" t="s">
        <v>34</v>
      </c>
      <c r="V400" s="1" t="s">
        <v>34</v>
      </c>
      <c r="W400" s="1" t="s">
        <v>34</v>
      </c>
      <c r="X400" s="1" t="s">
        <v>2522</v>
      </c>
      <c r="Y400" s="1">
        <v>5</v>
      </c>
    </row>
    <row r="401" spans="1:25" x14ac:dyDescent="0.3">
      <c r="A401" s="1" t="s">
        <v>586</v>
      </c>
      <c r="B401" s="1" t="s">
        <v>95</v>
      </c>
      <c r="C401" s="1" t="s">
        <v>96</v>
      </c>
      <c r="D401" s="1" t="s">
        <v>97</v>
      </c>
      <c r="E401" s="1" t="s">
        <v>74</v>
      </c>
      <c r="F401" s="1" t="s">
        <v>30</v>
      </c>
      <c r="G401" s="2">
        <v>343.19</v>
      </c>
      <c r="H401" s="1">
        <v>8</v>
      </c>
      <c r="I401" s="1">
        <v>193</v>
      </c>
      <c r="J401" s="1">
        <v>185</v>
      </c>
      <c r="K401" s="1">
        <v>84</v>
      </c>
      <c r="L401" s="1">
        <v>137</v>
      </c>
      <c r="M401" s="1" t="s">
        <v>41</v>
      </c>
      <c r="N401" s="1" t="s">
        <v>60</v>
      </c>
      <c r="O401" s="1" t="s">
        <v>292</v>
      </c>
      <c r="P401" s="2">
        <v>240.23</v>
      </c>
      <c r="Q401" s="1" t="str">
        <f t="shared" si="18"/>
        <v>YES</v>
      </c>
      <c r="R401" s="2">
        <f t="shared" si="19"/>
        <v>308.87099999999998</v>
      </c>
      <c r="S401" s="2">
        <f>J401*G401</f>
        <v>63490.15</v>
      </c>
      <c r="T401" s="1">
        <f t="shared" ca="1" si="20"/>
        <v>83</v>
      </c>
      <c r="U401" s="1" t="s">
        <v>34</v>
      </c>
      <c r="V401" s="1" t="s">
        <v>34</v>
      </c>
      <c r="W401" s="1" t="s">
        <v>34</v>
      </c>
      <c r="X401" s="1" t="s">
        <v>2766</v>
      </c>
      <c r="Y401" s="1">
        <v>5.5</v>
      </c>
    </row>
    <row r="402" spans="1:25" x14ac:dyDescent="0.3">
      <c r="A402" s="1" t="s">
        <v>587</v>
      </c>
      <c r="B402" s="1" t="s">
        <v>37</v>
      </c>
      <c r="C402" s="1" t="s">
        <v>38</v>
      </c>
      <c r="D402" s="1" t="s">
        <v>39</v>
      </c>
      <c r="E402" s="1" t="s">
        <v>29</v>
      </c>
      <c r="F402" s="1" t="s">
        <v>48</v>
      </c>
      <c r="G402" s="2">
        <v>430.85</v>
      </c>
      <c r="H402" s="1">
        <v>25</v>
      </c>
      <c r="I402" s="1">
        <v>199</v>
      </c>
      <c r="J402" s="1">
        <v>182</v>
      </c>
      <c r="K402" s="1">
        <v>71</v>
      </c>
      <c r="L402" s="1">
        <v>128</v>
      </c>
      <c r="M402" s="1" t="s">
        <v>31</v>
      </c>
      <c r="N402" s="1" t="s">
        <v>42</v>
      </c>
      <c r="O402" s="1" t="s">
        <v>284</v>
      </c>
      <c r="P402" s="2">
        <v>301.58999999999997</v>
      </c>
      <c r="Q402" s="1" t="str">
        <f t="shared" si="18"/>
        <v>YES</v>
      </c>
      <c r="R402" s="2">
        <f t="shared" si="19"/>
        <v>387.76500000000004</v>
      </c>
      <c r="S402" s="2">
        <f>J402*G402</f>
        <v>78414.7</v>
      </c>
      <c r="T402" s="1">
        <f t="shared" ca="1" si="20"/>
        <v>119</v>
      </c>
      <c r="U402" s="1" t="s">
        <v>34</v>
      </c>
      <c r="V402" s="1" t="s">
        <v>34</v>
      </c>
      <c r="W402" s="1" t="s">
        <v>34</v>
      </c>
      <c r="X402" s="1" t="s">
        <v>2583</v>
      </c>
      <c r="Y402" s="1">
        <v>6</v>
      </c>
    </row>
    <row r="403" spans="1:25" x14ac:dyDescent="0.3">
      <c r="A403" s="1" t="s">
        <v>588</v>
      </c>
      <c r="B403" s="1" t="s">
        <v>52</v>
      </c>
      <c r="C403" s="1" t="s">
        <v>53</v>
      </c>
      <c r="D403" s="1" t="s">
        <v>47</v>
      </c>
      <c r="E403" s="1" t="s">
        <v>40</v>
      </c>
      <c r="F403" s="1" t="s">
        <v>30</v>
      </c>
      <c r="G403" s="2">
        <v>243.74</v>
      </c>
      <c r="H403" s="1">
        <v>0</v>
      </c>
      <c r="I403" s="1">
        <v>138</v>
      </c>
      <c r="J403" s="1">
        <v>104</v>
      </c>
      <c r="K403" s="1">
        <v>68</v>
      </c>
      <c r="L403" s="1">
        <v>66</v>
      </c>
      <c r="M403" s="1" t="s">
        <v>41</v>
      </c>
      <c r="N403" s="1" t="s">
        <v>60</v>
      </c>
      <c r="O403" s="1" t="s">
        <v>257</v>
      </c>
      <c r="P403" s="2">
        <v>170.62</v>
      </c>
      <c r="Q403" s="1" t="str">
        <f t="shared" si="18"/>
        <v>YES</v>
      </c>
      <c r="R403" s="2">
        <f t="shared" si="19"/>
        <v>219.36600000000001</v>
      </c>
      <c r="S403" s="2">
        <f>J403*G403</f>
        <v>25348.959999999999</v>
      </c>
      <c r="T403" s="1">
        <f t="shared" ca="1" si="20"/>
        <v>113</v>
      </c>
      <c r="U403" s="1" t="s">
        <v>34</v>
      </c>
      <c r="V403" s="1" t="s">
        <v>34</v>
      </c>
      <c r="W403" s="1" t="s">
        <v>34</v>
      </c>
      <c r="X403" s="1" t="s">
        <v>2767</v>
      </c>
      <c r="Y403" s="1">
        <v>6.5</v>
      </c>
    </row>
    <row r="404" spans="1:25" x14ac:dyDescent="0.3">
      <c r="A404" s="1" t="s">
        <v>589</v>
      </c>
      <c r="B404" s="1" t="s">
        <v>126</v>
      </c>
      <c r="C404" s="1" t="s">
        <v>127</v>
      </c>
      <c r="D404" s="1" t="s">
        <v>85</v>
      </c>
      <c r="E404" s="1" t="s">
        <v>40</v>
      </c>
      <c r="F404" s="1" t="s">
        <v>48</v>
      </c>
      <c r="G404" s="2">
        <v>320.14</v>
      </c>
      <c r="H404" s="1">
        <v>13</v>
      </c>
      <c r="I404" s="1">
        <v>84</v>
      </c>
      <c r="J404" s="1">
        <v>47</v>
      </c>
      <c r="K404" s="1">
        <v>41</v>
      </c>
      <c r="L404" s="1">
        <v>123</v>
      </c>
      <c r="M404" s="1" t="s">
        <v>31</v>
      </c>
      <c r="N404" s="1" t="s">
        <v>42</v>
      </c>
      <c r="O404" s="1" t="s">
        <v>203</v>
      </c>
      <c r="P404" s="2">
        <v>224.1</v>
      </c>
      <c r="Q404" s="1" t="str">
        <f t="shared" si="18"/>
        <v>YES</v>
      </c>
      <c r="R404" s="2">
        <f t="shared" si="19"/>
        <v>288.12599999999998</v>
      </c>
      <c r="S404" s="2">
        <f>J404*G404</f>
        <v>15046.58</v>
      </c>
      <c r="T404" s="1">
        <f t="shared" ca="1" si="20"/>
        <v>102</v>
      </c>
      <c r="U404" s="1" t="s">
        <v>34</v>
      </c>
      <c r="V404" s="1" t="s">
        <v>34</v>
      </c>
      <c r="W404" s="1" t="s">
        <v>34</v>
      </c>
      <c r="X404" s="1" t="s">
        <v>2768</v>
      </c>
      <c r="Y404" s="1">
        <v>7</v>
      </c>
    </row>
    <row r="405" spans="1:25" x14ac:dyDescent="0.3">
      <c r="A405" s="1" t="s">
        <v>590</v>
      </c>
      <c r="B405" s="1" t="s">
        <v>143</v>
      </c>
      <c r="C405" s="1" t="s">
        <v>144</v>
      </c>
      <c r="D405" s="1" t="s">
        <v>47</v>
      </c>
      <c r="E405" s="1" t="s">
        <v>40</v>
      </c>
      <c r="F405" s="1" t="s">
        <v>30</v>
      </c>
      <c r="G405" s="2">
        <v>409.06</v>
      </c>
      <c r="H405" s="1">
        <v>18</v>
      </c>
      <c r="I405" s="1">
        <v>285</v>
      </c>
      <c r="J405" s="1">
        <v>256</v>
      </c>
      <c r="K405" s="1">
        <v>107</v>
      </c>
      <c r="L405" s="1">
        <v>63</v>
      </c>
      <c r="M405" s="1" t="s">
        <v>41</v>
      </c>
      <c r="N405" s="1" t="s">
        <v>32</v>
      </c>
      <c r="O405" s="1" t="s">
        <v>150</v>
      </c>
      <c r="P405" s="2">
        <v>286.33999999999997</v>
      </c>
      <c r="Q405" s="1" t="str">
        <f t="shared" si="18"/>
        <v>YES</v>
      </c>
      <c r="R405" s="2">
        <f t="shared" si="19"/>
        <v>368.154</v>
      </c>
      <c r="S405" s="2">
        <f>J405*G405</f>
        <v>104719.36</v>
      </c>
      <c r="T405" s="1">
        <f t="shared" ca="1" si="20"/>
        <v>116</v>
      </c>
      <c r="U405" s="1" t="s">
        <v>34</v>
      </c>
      <c r="V405" s="1" t="s">
        <v>34</v>
      </c>
      <c r="W405" s="1" t="s">
        <v>34</v>
      </c>
      <c r="X405" s="1" t="s">
        <v>2752</v>
      </c>
      <c r="Y405" s="1">
        <v>7.5</v>
      </c>
    </row>
    <row r="406" spans="1:25" x14ac:dyDescent="0.3">
      <c r="A406" s="1" t="s">
        <v>591</v>
      </c>
      <c r="B406" s="1" t="s">
        <v>192</v>
      </c>
      <c r="C406" s="1" t="s">
        <v>193</v>
      </c>
      <c r="D406" s="1" t="s">
        <v>85</v>
      </c>
      <c r="E406" s="1" t="s">
        <v>74</v>
      </c>
      <c r="F406" s="1" t="s">
        <v>54</v>
      </c>
      <c r="G406" s="2">
        <v>373.41</v>
      </c>
      <c r="H406" s="1">
        <v>19</v>
      </c>
      <c r="I406" s="1">
        <v>85</v>
      </c>
      <c r="J406" s="1">
        <v>78</v>
      </c>
      <c r="K406" s="1">
        <v>56</v>
      </c>
      <c r="L406" s="1">
        <v>107</v>
      </c>
      <c r="M406" s="1" t="s">
        <v>31</v>
      </c>
      <c r="N406" s="1" t="s">
        <v>60</v>
      </c>
      <c r="O406" s="1" t="s">
        <v>410</v>
      </c>
      <c r="P406" s="2">
        <v>261.39</v>
      </c>
      <c r="Q406" s="1" t="str">
        <f t="shared" si="18"/>
        <v>YES</v>
      </c>
      <c r="R406" s="2">
        <f t="shared" si="19"/>
        <v>336.06900000000002</v>
      </c>
      <c r="S406" s="2">
        <f>J406*G406</f>
        <v>29125.980000000003</v>
      </c>
      <c r="T406" s="1">
        <f t="shared" ca="1" si="20"/>
        <v>136</v>
      </c>
      <c r="U406" s="1" t="s">
        <v>34</v>
      </c>
      <c r="V406" s="1" t="s">
        <v>34</v>
      </c>
      <c r="W406" s="1" t="s">
        <v>34</v>
      </c>
      <c r="X406" s="1" t="s">
        <v>2769</v>
      </c>
      <c r="Y406" s="1">
        <v>8</v>
      </c>
    </row>
    <row r="407" spans="1:25" x14ac:dyDescent="0.3">
      <c r="A407" s="1" t="s">
        <v>592</v>
      </c>
      <c r="B407" s="1" t="s">
        <v>45</v>
      </c>
      <c r="C407" s="1" t="s">
        <v>46</v>
      </c>
      <c r="D407" s="1" t="s">
        <v>47</v>
      </c>
      <c r="E407" s="1" t="s">
        <v>29</v>
      </c>
      <c r="F407" s="1" t="s">
        <v>54</v>
      </c>
      <c r="G407" s="2">
        <v>378.48</v>
      </c>
      <c r="H407" s="1">
        <v>4</v>
      </c>
      <c r="I407" s="1">
        <v>104</v>
      </c>
      <c r="J407" s="1">
        <v>88</v>
      </c>
      <c r="K407" s="1">
        <v>77</v>
      </c>
      <c r="L407" s="1">
        <v>149</v>
      </c>
      <c r="M407" s="1" t="s">
        <v>31</v>
      </c>
      <c r="N407" s="1" t="s">
        <v>42</v>
      </c>
      <c r="O407" s="1" t="s">
        <v>287</v>
      </c>
      <c r="P407" s="2">
        <v>264.94</v>
      </c>
      <c r="Q407" s="1" t="str">
        <f t="shared" si="18"/>
        <v>YES</v>
      </c>
      <c r="R407" s="2">
        <f t="shared" si="19"/>
        <v>340.63200000000001</v>
      </c>
      <c r="S407" s="2">
        <f>J407*G407</f>
        <v>33306.240000000005</v>
      </c>
      <c r="T407" s="1">
        <f t="shared" ca="1" si="20"/>
        <v>143</v>
      </c>
      <c r="U407" s="1" t="s">
        <v>34</v>
      </c>
      <c r="V407" s="1" t="s">
        <v>34</v>
      </c>
      <c r="W407" s="1" t="s">
        <v>34</v>
      </c>
      <c r="X407" s="1" t="s">
        <v>2770</v>
      </c>
      <c r="Y407" s="1">
        <v>8.5</v>
      </c>
    </row>
    <row r="408" spans="1:25" x14ac:dyDescent="0.3">
      <c r="A408" s="1" t="s">
        <v>593</v>
      </c>
      <c r="B408" s="1" t="s">
        <v>299</v>
      </c>
      <c r="C408" s="1" t="s">
        <v>300</v>
      </c>
      <c r="D408" s="1" t="s">
        <v>39</v>
      </c>
      <c r="E408" s="1" t="s">
        <v>74</v>
      </c>
      <c r="F408" s="1" t="s">
        <v>30</v>
      </c>
      <c r="G408" s="2">
        <v>385.29</v>
      </c>
      <c r="H408" s="1">
        <v>6</v>
      </c>
      <c r="I408" s="1">
        <v>81</v>
      </c>
      <c r="J408" s="1">
        <v>53</v>
      </c>
      <c r="K408" s="1">
        <v>69</v>
      </c>
      <c r="L408" s="1">
        <v>132</v>
      </c>
      <c r="M408" s="1" t="s">
        <v>41</v>
      </c>
      <c r="N408" s="1" t="s">
        <v>60</v>
      </c>
      <c r="O408" s="1" t="s">
        <v>473</v>
      </c>
      <c r="P408" s="2">
        <v>269.7</v>
      </c>
      <c r="Q408" s="1" t="str">
        <f t="shared" si="18"/>
        <v>NO</v>
      </c>
      <c r="R408" s="2">
        <f t="shared" si="19"/>
        <v>385.29</v>
      </c>
      <c r="S408" s="2">
        <f>J408*G408</f>
        <v>20420.370000000003</v>
      </c>
      <c r="T408" s="1">
        <f t="shared" ca="1" si="20"/>
        <v>146</v>
      </c>
      <c r="U408" s="1" t="s">
        <v>34</v>
      </c>
      <c r="V408" s="1" t="s">
        <v>34</v>
      </c>
      <c r="W408" s="1" t="s">
        <v>34</v>
      </c>
      <c r="X408" s="1" t="s">
        <v>2770</v>
      </c>
      <c r="Y408" s="1">
        <v>9</v>
      </c>
    </row>
    <row r="409" spans="1:25" x14ac:dyDescent="0.3">
      <c r="A409" s="1" t="s">
        <v>594</v>
      </c>
      <c r="B409" s="1" t="s">
        <v>72</v>
      </c>
      <c r="C409" s="1" t="s">
        <v>73</v>
      </c>
      <c r="D409" s="1" t="s">
        <v>47</v>
      </c>
      <c r="E409" s="1" t="s">
        <v>40</v>
      </c>
      <c r="F409" s="1" t="s">
        <v>30</v>
      </c>
      <c r="G409" s="2">
        <v>492.64</v>
      </c>
      <c r="H409" s="1">
        <v>6</v>
      </c>
      <c r="I409" s="1">
        <v>119</v>
      </c>
      <c r="J409" s="1">
        <v>109</v>
      </c>
      <c r="K409" s="1">
        <v>69</v>
      </c>
      <c r="L409" s="1">
        <v>143</v>
      </c>
      <c r="M409" s="1" t="s">
        <v>31</v>
      </c>
      <c r="N409" s="1" t="s">
        <v>32</v>
      </c>
      <c r="O409" s="1" t="s">
        <v>224</v>
      </c>
      <c r="P409" s="2">
        <v>344.85</v>
      </c>
      <c r="Q409" s="1" t="str">
        <f t="shared" si="18"/>
        <v>YES</v>
      </c>
      <c r="R409" s="2">
        <f t="shared" si="19"/>
        <v>443.37599999999998</v>
      </c>
      <c r="S409" s="2">
        <f>J409*G409</f>
        <v>53697.760000000002</v>
      </c>
      <c r="T409" s="1">
        <f t="shared" ca="1" si="20"/>
        <v>140</v>
      </c>
      <c r="U409" s="1" t="s">
        <v>34</v>
      </c>
      <c r="V409" s="1" t="s">
        <v>34</v>
      </c>
      <c r="W409" s="1" t="s">
        <v>34</v>
      </c>
      <c r="X409" s="1" t="s">
        <v>2757</v>
      </c>
      <c r="Y409" s="1">
        <v>9.5</v>
      </c>
    </row>
    <row r="410" spans="1:25" x14ac:dyDescent="0.3">
      <c r="A410" s="1" t="s">
        <v>595</v>
      </c>
      <c r="B410" s="1" t="s">
        <v>130</v>
      </c>
      <c r="C410" s="1" t="s">
        <v>131</v>
      </c>
      <c r="D410" s="1" t="s">
        <v>132</v>
      </c>
      <c r="E410" s="1" t="s">
        <v>74</v>
      </c>
      <c r="F410" s="1" t="s">
        <v>48</v>
      </c>
      <c r="G410" s="2">
        <v>368.05</v>
      </c>
      <c r="H410" s="1">
        <v>8</v>
      </c>
      <c r="I410" s="1">
        <v>294</v>
      </c>
      <c r="J410" s="1">
        <v>259</v>
      </c>
      <c r="K410" s="1">
        <v>60</v>
      </c>
      <c r="L410" s="1">
        <v>115</v>
      </c>
      <c r="M410" s="1" t="s">
        <v>49</v>
      </c>
      <c r="N410" s="1" t="s">
        <v>32</v>
      </c>
      <c r="O410" s="1" t="s">
        <v>61</v>
      </c>
      <c r="P410" s="2">
        <v>257.63</v>
      </c>
      <c r="Q410" s="1" t="str">
        <f t="shared" si="18"/>
        <v>YES</v>
      </c>
      <c r="R410" s="2">
        <f t="shared" si="19"/>
        <v>331.245</v>
      </c>
      <c r="S410" s="2">
        <f>J410*G410</f>
        <v>95324.95</v>
      </c>
      <c r="T410" s="1">
        <f t="shared" ca="1" si="20"/>
        <v>73</v>
      </c>
      <c r="U410" s="1" t="s">
        <v>34</v>
      </c>
      <c r="V410" s="1" t="s">
        <v>34</v>
      </c>
      <c r="W410" s="1" t="s">
        <v>34</v>
      </c>
      <c r="X410" s="1" t="s">
        <v>2771</v>
      </c>
      <c r="Y410" s="1">
        <v>5</v>
      </c>
    </row>
    <row r="411" spans="1:25" x14ac:dyDescent="0.3">
      <c r="A411" s="1" t="s">
        <v>596</v>
      </c>
      <c r="B411" s="1" t="s">
        <v>69</v>
      </c>
      <c r="C411" s="1" t="s">
        <v>70</v>
      </c>
      <c r="D411" s="1" t="s">
        <v>59</v>
      </c>
      <c r="E411" s="1" t="s">
        <v>40</v>
      </c>
      <c r="F411" s="1" t="s">
        <v>54</v>
      </c>
      <c r="G411" s="2">
        <v>283.73</v>
      </c>
      <c r="H411" s="1">
        <v>12</v>
      </c>
      <c r="I411" s="1">
        <v>87</v>
      </c>
      <c r="J411" s="1">
        <v>59</v>
      </c>
      <c r="K411" s="1">
        <v>103</v>
      </c>
      <c r="L411" s="1">
        <v>105</v>
      </c>
      <c r="M411" s="1" t="s">
        <v>49</v>
      </c>
      <c r="N411" s="1" t="s">
        <v>32</v>
      </c>
      <c r="O411" s="1" t="s">
        <v>164</v>
      </c>
      <c r="P411" s="2">
        <v>198.61</v>
      </c>
      <c r="Q411" s="1" t="str">
        <f t="shared" si="18"/>
        <v>NO</v>
      </c>
      <c r="R411" s="2">
        <f t="shared" si="19"/>
        <v>283.73</v>
      </c>
      <c r="S411" s="2">
        <f>J411*G411</f>
        <v>16740.07</v>
      </c>
      <c r="T411" s="1">
        <f t="shared" ca="1" si="20"/>
        <v>126</v>
      </c>
      <c r="U411" s="1" t="s">
        <v>34</v>
      </c>
      <c r="V411" s="1" t="s">
        <v>34</v>
      </c>
      <c r="W411" s="1" t="s">
        <v>34</v>
      </c>
      <c r="X411" s="1" t="s">
        <v>2530</v>
      </c>
      <c r="Y411" s="1">
        <v>5.5</v>
      </c>
    </row>
    <row r="412" spans="1:25" x14ac:dyDescent="0.3">
      <c r="A412" s="1" t="s">
        <v>597</v>
      </c>
      <c r="B412" s="1" t="s">
        <v>262</v>
      </c>
      <c r="C412" s="1" t="s">
        <v>263</v>
      </c>
      <c r="D412" s="1" t="s">
        <v>104</v>
      </c>
      <c r="E412" s="1" t="s">
        <v>40</v>
      </c>
      <c r="F412" s="1" t="s">
        <v>48</v>
      </c>
      <c r="G412" s="2">
        <v>108.58</v>
      </c>
      <c r="H412" s="1">
        <v>16</v>
      </c>
      <c r="I412" s="1">
        <v>85</v>
      </c>
      <c r="J412" s="1">
        <v>45</v>
      </c>
      <c r="K412" s="1">
        <v>47</v>
      </c>
      <c r="L412" s="1">
        <v>103</v>
      </c>
      <c r="M412" s="1" t="s">
        <v>49</v>
      </c>
      <c r="N412" s="1" t="s">
        <v>42</v>
      </c>
      <c r="O412" s="1" t="s">
        <v>473</v>
      </c>
      <c r="P412" s="2">
        <v>76.010000000000005</v>
      </c>
      <c r="Q412" s="1" t="str">
        <f t="shared" si="18"/>
        <v>NO</v>
      </c>
      <c r="R412" s="2">
        <f t="shared" si="19"/>
        <v>108.58</v>
      </c>
      <c r="S412" s="2">
        <f>J412*G412</f>
        <v>4886.1000000000004</v>
      </c>
      <c r="T412" s="1">
        <f t="shared" ca="1" si="20"/>
        <v>146</v>
      </c>
      <c r="U412" s="1" t="s">
        <v>34</v>
      </c>
      <c r="V412" s="1" t="s">
        <v>34</v>
      </c>
      <c r="W412" s="1" t="s">
        <v>34</v>
      </c>
      <c r="X412" s="1" t="s">
        <v>2518</v>
      </c>
      <c r="Y412" s="1">
        <v>6</v>
      </c>
    </row>
    <row r="413" spans="1:25" x14ac:dyDescent="0.3">
      <c r="A413" s="1" t="s">
        <v>598</v>
      </c>
      <c r="B413" s="1" t="s">
        <v>172</v>
      </c>
      <c r="C413" s="1" t="s">
        <v>173</v>
      </c>
      <c r="D413" s="1" t="s">
        <v>132</v>
      </c>
      <c r="E413" s="1" t="s">
        <v>29</v>
      </c>
      <c r="F413" s="1" t="s">
        <v>48</v>
      </c>
      <c r="G413" s="2">
        <v>367.14</v>
      </c>
      <c r="H413" s="1">
        <v>19</v>
      </c>
      <c r="I413" s="1">
        <v>299</v>
      </c>
      <c r="J413" s="1">
        <v>293</v>
      </c>
      <c r="K413" s="1">
        <v>48</v>
      </c>
      <c r="L413" s="1">
        <v>56</v>
      </c>
      <c r="M413" s="1" t="s">
        <v>41</v>
      </c>
      <c r="N413" s="1" t="s">
        <v>32</v>
      </c>
      <c r="O413" s="1" t="s">
        <v>333</v>
      </c>
      <c r="P413" s="2">
        <v>257</v>
      </c>
      <c r="Q413" s="1" t="str">
        <f t="shared" si="18"/>
        <v>YES</v>
      </c>
      <c r="R413" s="2">
        <f t="shared" si="19"/>
        <v>330.42599999999999</v>
      </c>
      <c r="S413" s="2">
        <f>J413*G413</f>
        <v>107572.01999999999</v>
      </c>
      <c r="T413" s="1">
        <f t="shared" ca="1" si="20"/>
        <v>109</v>
      </c>
      <c r="U413" s="1" t="s">
        <v>34</v>
      </c>
      <c r="V413" s="1" t="s">
        <v>34</v>
      </c>
      <c r="W413" s="1" t="s">
        <v>34</v>
      </c>
      <c r="X413" s="1" t="s">
        <v>2569</v>
      </c>
      <c r="Y413" s="1">
        <v>6.5</v>
      </c>
    </row>
    <row r="414" spans="1:25" x14ac:dyDescent="0.3">
      <c r="A414" s="1" t="s">
        <v>599</v>
      </c>
      <c r="B414" s="1" t="s">
        <v>37</v>
      </c>
      <c r="C414" s="1" t="s">
        <v>38</v>
      </c>
      <c r="D414" s="1" t="s">
        <v>39</v>
      </c>
      <c r="E414" s="1" t="s">
        <v>40</v>
      </c>
      <c r="F414" s="1" t="s">
        <v>30</v>
      </c>
      <c r="G414" s="2">
        <v>115.18</v>
      </c>
      <c r="H414" s="1">
        <v>8</v>
      </c>
      <c r="I414" s="1">
        <v>245</v>
      </c>
      <c r="J414" s="1">
        <v>235</v>
      </c>
      <c r="K414" s="1">
        <v>82</v>
      </c>
      <c r="L414" s="1">
        <v>103</v>
      </c>
      <c r="M414" s="1" t="s">
        <v>41</v>
      </c>
      <c r="N414" s="1" t="s">
        <v>32</v>
      </c>
      <c r="O414" s="1" t="s">
        <v>395</v>
      </c>
      <c r="P414" s="2">
        <v>80.63</v>
      </c>
      <c r="Q414" s="1" t="str">
        <f t="shared" si="18"/>
        <v>YES</v>
      </c>
      <c r="R414" s="2">
        <f t="shared" si="19"/>
        <v>103.66200000000001</v>
      </c>
      <c r="S414" s="2">
        <f>J414*G414</f>
        <v>27067.300000000003</v>
      </c>
      <c r="T414" s="1">
        <f t="shared" ca="1" si="20"/>
        <v>101</v>
      </c>
      <c r="U414" s="1" t="s">
        <v>34</v>
      </c>
      <c r="V414" s="1" t="s">
        <v>34</v>
      </c>
      <c r="W414" s="1" t="s">
        <v>34</v>
      </c>
      <c r="X414" s="1" t="s">
        <v>2772</v>
      </c>
      <c r="Y414" s="1">
        <v>7</v>
      </c>
    </row>
    <row r="415" spans="1:25" x14ac:dyDescent="0.3">
      <c r="A415" s="1" t="s">
        <v>600</v>
      </c>
      <c r="B415" s="1" t="s">
        <v>45</v>
      </c>
      <c r="C415" s="1" t="s">
        <v>46</v>
      </c>
      <c r="D415" s="1" t="s">
        <v>47</v>
      </c>
      <c r="E415" s="1" t="s">
        <v>74</v>
      </c>
      <c r="F415" s="1" t="s">
        <v>30</v>
      </c>
      <c r="G415" s="2">
        <v>491.79</v>
      </c>
      <c r="H415" s="1">
        <v>1</v>
      </c>
      <c r="I415" s="1">
        <v>91</v>
      </c>
      <c r="J415" s="1">
        <v>69</v>
      </c>
      <c r="K415" s="1">
        <v>54</v>
      </c>
      <c r="L415" s="1">
        <v>95</v>
      </c>
      <c r="M415" s="1" t="s">
        <v>31</v>
      </c>
      <c r="N415" s="1" t="s">
        <v>42</v>
      </c>
      <c r="O415" s="1" t="s">
        <v>207</v>
      </c>
      <c r="P415" s="2">
        <v>344.25</v>
      </c>
      <c r="Q415" s="1" t="str">
        <f t="shared" si="18"/>
        <v>YES</v>
      </c>
      <c r="R415" s="2">
        <f t="shared" si="19"/>
        <v>442.61100000000005</v>
      </c>
      <c r="S415" s="2">
        <f>J415*G415</f>
        <v>33933.51</v>
      </c>
      <c r="T415" s="1">
        <f t="shared" ca="1" si="20"/>
        <v>98</v>
      </c>
      <c r="U415" s="1" t="s">
        <v>34</v>
      </c>
      <c r="V415" s="1" t="s">
        <v>34</v>
      </c>
      <c r="W415" s="1" t="s">
        <v>34</v>
      </c>
      <c r="X415" s="1" t="s">
        <v>2773</v>
      </c>
      <c r="Y415" s="1">
        <v>7.5</v>
      </c>
    </row>
    <row r="416" spans="1:25" x14ac:dyDescent="0.3">
      <c r="A416" s="1" t="s">
        <v>601</v>
      </c>
      <c r="B416" s="1" t="s">
        <v>95</v>
      </c>
      <c r="C416" s="1" t="s">
        <v>96</v>
      </c>
      <c r="D416" s="1" t="s">
        <v>97</v>
      </c>
      <c r="E416" s="1" t="s">
        <v>40</v>
      </c>
      <c r="F416" s="1" t="s">
        <v>48</v>
      </c>
      <c r="G416" s="2">
        <v>299.36</v>
      </c>
      <c r="H416" s="1">
        <v>10</v>
      </c>
      <c r="I416" s="1">
        <v>293</v>
      </c>
      <c r="J416" s="1">
        <v>275</v>
      </c>
      <c r="K416" s="1">
        <v>113</v>
      </c>
      <c r="L416" s="1">
        <v>120</v>
      </c>
      <c r="M416" s="1" t="s">
        <v>41</v>
      </c>
      <c r="N416" s="1" t="s">
        <v>60</v>
      </c>
      <c r="O416" s="1" t="s">
        <v>395</v>
      </c>
      <c r="P416" s="2">
        <v>209.55</v>
      </c>
      <c r="Q416" s="1" t="str">
        <f t="shared" si="18"/>
        <v>YES</v>
      </c>
      <c r="R416" s="2">
        <f t="shared" si="19"/>
        <v>269.42400000000004</v>
      </c>
      <c r="S416" s="2">
        <f>J416*G416</f>
        <v>82324</v>
      </c>
      <c r="T416" s="1">
        <f t="shared" ca="1" si="20"/>
        <v>101</v>
      </c>
      <c r="U416" s="1" t="s">
        <v>34</v>
      </c>
      <c r="V416" s="1" t="s">
        <v>34</v>
      </c>
      <c r="W416" s="1" t="s">
        <v>34</v>
      </c>
      <c r="X416" s="1" t="s">
        <v>2774</v>
      </c>
      <c r="Y416" s="1">
        <v>8</v>
      </c>
    </row>
    <row r="417" spans="1:25" x14ac:dyDescent="0.3">
      <c r="A417" s="1" t="s">
        <v>602</v>
      </c>
      <c r="B417" s="1" t="s">
        <v>176</v>
      </c>
      <c r="C417" s="1" t="s">
        <v>177</v>
      </c>
      <c r="D417" s="1" t="s">
        <v>39</v>
      </c>
      <c r="E417" s="1" t="s">
        <v>40</v>
      </c>
      <c r="F417" s="1" t="s">
        <v>48</v>
      </c>
      <c r="G417" s="2">
        <v>394.99</v>
      </c>
      <c r="H417" s="1">
        <v>6</v>
      </c>
      <c r="I417" s="1">
        <v>205</v>
      </c>
      <c r="J417" s="1">
        <v>179</v>
      </c>
      <c r="K417" s="1">
        <v>46</v>
      </c>
      <c r="L417" s="1">
        <v>92</v>
      </c>
      <c r="M417" s="1" t="s">
        <v>49</v>
      </c>
      <c r="N417" s="1" t="s">
        <v>42</v>
      </c>
      <c r="O417" s="1" t="s">
        <v>390</v>
      </c>
      <c r="P417" s="2">
        <v>276.49</v>
      </c>
      <c r="Q417" s="1" t="str">
        <f t="shared" si="18"/>
        <v>YES</v>
      </c>
      <c r="R417" s="2">
        <f t="shared" si="19"/>
        <v>355.49100000000004</v>
      </c>
      <c r="S417" s="2">
        <f>J417*G417</f>
        <v>70703.210000000006</v>
      </c>
      <c r="T417" s="1">
        <f t="shared" ca="1" si="20"/>
        <v>120</v>
      </c>
      <c r="U417" s="1" t="s">
        <v>34</v>
      </c>
      <c r="V417" s="1" t="s">
        <v>34</v>
      </c>
      <c r="W417" s="1" t="s">
        <v>34</v>
      </c>
      <c r="X417" s="1" t="s">
        <v>2750</v>
      </c>
      <c r="Y417" s="1">
        <v>8.5</v>
      </c>
    </row>
    <row r="418" spans="1:25" x14ac:dyDescent="0.3">
      <c r="A418" s="1" t="s">
        <v>603</v>
      </c>
      <c r="B418" s="1" t="s">
        <v>52</v>
      </c>
      <c r="C418" s="1" t="s">
        <v>53</v>
      </c>
      <c r="D418" s="1" t="s">
        <v>47</v>
      </c>
      <c r="E418" s="1" t="s">
        <v>29</v>
      </c>
      <c r="F418" s="1" t="s">
        <v>30</v>
      </c>
      <c r="G418" s="2">
        <v>366.39</v>
      </c>
      <c r="H418" s="1">
        <v>5</v>
      </c>
      <c r="I418" s="1">
        <v>186</v>
      </c>
      <c r="J418" s="1">
        <v>168</v>
      </c>
      <c r="K418" s="1">
        <v>95</v>
      </c>
      <c r="L418" s="1">
        <v>130</v>
      </c>
      <c r="M418" s="1" t="s">
        <v>41</v>
      </c>
      <c r="N418" s="1" t="s">
        <v>60</v>
      </c>
      <c r="O418" s="1" t="s">
        <v>116</v>
      </c>
      <c r="P418" s="2">
        <v>256.47000000000003</v>
      </c>
      <c r="Q418" s="1" t="str">
        <f t="shared" si="18"/>
        <v>YES</v>
      </c>
      <c r="R418" s="2">
        <f t="shared" si="19"/>
        <v>329.75099999999998</v>
      </c>
      <c r="S418" s="2">
        <f>J418*G418</f>
        <v>61553.52</v>
      </c>
      <c r="T418" s="1">
        <f t="shared" ca="1" si="20"/>
        <v>87</v>
      </c>
      <c r="U418" s="1" t="s">
        <v>34</v>
      </c>
      <c r="V418" s="1" t="s">
        <v>34</v>
      </c>
      <c r="W418" s="1" t="s">
        <v>34</v>
      </c>
      <c r="X418" s="1" t="s">
        <v>2583</v>
      </c>
      <c r="Y418" s="1">
        <v>9</v>
      </c>
    </row>
    <row r="419" spans="1:25" x14ac:dyDescent="0.3">
      <c r="A419" s="1" t="s">
        <v>604</v>
      </c>
      <c r="B419" s="1" t="s">
        <v>237</v>
      </c>
      <c r="C419" s="1" t="s">
        <v>238</v>
      </c>
      <c r="D419" s="1" t="s">
        <v>85</v>
      </c>
      <c r="E419" s="1" t="s">
        <v>40</v>
      </c>
      <c r="F419" s="1" t="s">
        <v>48</v>
      </c>
      <c r="G419" s="2">
        <v>436.02</v>
      </c>
      <c r="H419" s="1">
        <v>16</v>
      </c>
      <c r="I419" s="1">
        <v>131</v>
      </c>
      <c r="J419" s="1">
        <v>113</v>
      </c>
      <c r="K419" s="1">
        <v>71</v>
      </c>
      <c r="L419" s="1">
        <v>96</v>
      </c>
      <c r="M419" s="1" t="s">
        <v>31</v>
      </c>
      <c r="N419" s="1" t="s">
        <v>60</v>
      </c>
      <c r="O419" s="1" t="s">
        <v>242</v>
      </c>
      <c r="P419" s="2">
        <v>305.20999999999998</v>
      </c>
      <c r="Q419" s="1" t="str">
        <f t="shared" si="18"/>
        <v>YES</v>
      </c>
      <c r="R419" s="2">
        <f t="shared" si="19"/>
        <v>392.41800000000001</v>
      </c>
      <c r="S419" s="2">
        <f>J419*G419</f>
        <v>49270.259999999995</v>
      </c>
      <c r="T419" s="1">
        <f t="shared" ca="1" si="20"/>
        <v>105</v>
      </c>
      <c r="U419" s="1" t="s">
        <v>34</v>
      </c>
      <c r="V419" s="1" t="s">
        <v>34</v>
      </c>
      <c r="W419" s="1" t="s">
        <v>34</v>
      </c>
      <c r="X419" s="1" t="s">
        <v>2725</v>
      </c>
      <c r="Y419" s="1">
        <v>9.5</v>
      </c>
    </row>
    <row r="420" spans="1:25" x14ac:dyDescent="0.3">
      <c r="A420" s="1" t="s">
        <v>605</v>
      </c>
      <c r="B420" s="1" t="s">
        <v>237</v>
      </c>
      <c r="C420" s="1" t="s">
        <v>238</v>
      </c>
      <c r="D420" s="1" t="s">
        <v>85</v>
      </c>
      <c r="E420" s="1" t="s">
        <v>74</v>
      </c>
      <c r="F420" s="1" t="s">
        <v>54</v>
      </c>
      <c r="G420" s="2">
        <v>80.86</v>
      </c>
      <c r="H420" s="1">
        <v>2</v>
      </c>
      <c r="I420" s="1">
        <v>136</v>
      </c>
      <c r="J420" s="1">
        <v>117</v>
      </c>
      <c r="K420" s="1">
        <v>43</v>
      </c>
      <c r="L420" s="1">
        <v>98</v>
      </c>
      <c r="M420" s="1" t="s">
        <v>49</v>
      </c>
      <c r="N420" s="1" t="s">
        <v>42</v>
      </c>
      <c r="O420" s="1" t="s">
        <v>161</v>
      </c>
      <c r="P420" s="2">
        <v>56.6</v>
      </c>
      <c r="Q420" s="1" t="str">
        <f t="shared" si="18"/>
        <v>YES</v>
      </c>
      <c r="R420" s="2">
        <f t="shared" si="19"/>
        <v>72.774000000000001</v>
      </c>
      <c r="S420" s="2">
        <f>J420*G420</f>
        <v>9460.6200000000008</v>
      </c>
      <c r="T420" s="1">
        <f t="shared" ca="1" si="20"/>
        <v>69</v>
      </c>
      <c r="U420" s="1" t="s">
        <v>34</v>
      </c>
      <c r="V420" s="1" t="s">
        <v>34</v>
      </c>
      <c r="W420" s="1" t="s">
        <v>34</v>
      </c>
      <c r="X420" s="1" t="s">
        <v>2663</v>
      </c>
      <c r="Y420" s="1">
        <v>5</v>
      </c>
    </row>
    <row r="421" spans="1:25" x14ac:dyDescent="0.3">
      <c r="A421" s="1" t="s">
        <v>606</v>
      </c>
      <c r="B421" s="1" t="s">
        <v>102</v>
      </c>
      <c r="C421" s="1" t="s">
        <v>103</v>
      </c>
      <c r="D421" s="1" t="s">
        <v>104</v>
      </c>
      <c r="E421" s="1" t="s">
        <v>29</v>
      </c>
      <c r="F421" s="1" t="s">
        <v>48</v>
      </c>
      <c r="G421" s="2">
        <v>440.86</v>
      </c>
      <c r="H421" s="1">
        <v>20</v>
      </c>
      <c r="I421" s="1">
        <v>122</v>
      </c>
      <c r="J421" s="1">
        <v>100</v>
      </c>
      <c r="K421" s="1">
        <v>98</v>
      </c>
      <c r="L421" s="1">
        <v>130</v>
      </c>
      <c r="M421" s="1" t="s">
        <v>31</v>
      </c>
      <c r="N421" s="1" t="s">
        <v>32</v>
      </c>
      <c r="O421" s="1" t="s">
        <v>100</v>
      </c>
      <c r="P421" s="2">
        <v>308.60000000000002</v>
      </c>
      <c r="Q421" s="1" t="str">
        <f t="shared" si="18"/>
        <v>YES</v>
      </c>
      <c r="R421" s="2">
        <f t="shared" si="19"/>
        <v>396.774</v>
      </c>
      <c r="S421" s="2">
        <f>J421*G421</f>
        <v>44086</v>
      </c>
      <c r="T421" s="1">
        <f t="shared" ca="1" si="20"/>
        <v>137</v>
      </c>
      <c r="U421" s="1" t="s">
        <v>34</v>
      </c>
      <c r="V421" s="1" t="s">
        <v>34</v>
      </c>
      <c r="W421" s="1" t="s">
        <v>34</v>
      </c>
      <c r="X421" s="1" t="s">
        <v>2646</v>
      </c>
      <c r="Y421" s="1">
        <v>5.5</v>
      </c>
    </row>
    <row r="422" spans="1:25" x14ac:dyDescent="0.3">
      <c r="A422" s="1" t="s">
        <v>607</v>
      </c>
      <c r="B422" s="1" t="s">
        <v>189</v>
      </c>
      <c r="C422" s="1" t="s">
        <v>190</v>
      </c>
      <c r="D422" s="1" t="s">
        <v>59</v>
      </c>
      <c r="E422" s="1" t="s">
        <v>29</v>
      </c>
      <c r="F422" s="1" t="s">
        <v>54</v>
      </c>
      <c r="G422" s="2">
        <v>183.3</v>
      </c>
      <c r="H422" s="1">
        <v>22</v>
      </c>
      <c r="I422" s="1">
        <v>174</v>
      </c>
      <c r="J422" s="1">
        <v>169</v>
      </c>
      <c r="K422" s="1">
        <v>93</v>
      </c>
      <c r="L422" s="1">
        <v>103</v>
      </c>
      <c r="M422" s="1" t="s">
        <v>31</v>
      </c>
      <c r="N422" s="1" t="s">
        <v>60</v>
      </c>
      <c r="O422" s="1" t="s">
        <v>141</v>
      </c>
      <c r="P422" s="2">
        <v>128.31</v>
      </c>
      <c r="Q422" s="1" t="str">
        <f t="shared" si="18"/>
        <v>YES</v>
      </c>
      <c r="R422" s="2">
        <f t="shared" si="19"/>
        <v>164.97000000000003</v>
      </c>
      <c r="S422" s="2">
        <f>J422*G422</f>
        <v>30977.7</v>
      </c>
      <c r="T422" s="1">
        <f t="shared" ca="1" si="20"/>
        <v>118</v>
      </c>
      <c r="U422" s="1" t="s">
        <v>34</v>
      </c>
      <c r="V422" s="1" t="s">
        <v>34</v>
      </c>
      <c r="W422" s="1" t="s">
        <v>34</v>
      </c>
      <c r="X422" s="1" t="s">
        <v>2596</v>
      </c>
      <c r="Y422" s="1">
        <v>6</v>
      </c>
    </row>
    <row r="423" spans="1:25" x14ac:dyDescent="0.3">
      <c r="A423" s="1" t="s">
        <v>608</v>
      </c>
      <c r="B423" s="1" t="s">
        <v>172</v>
      </c>
      <c r="C423" s="1" t="s">
        <v>173</v>
      </c>
      <c r="D423" s="1" t="s">
        <v>132</v>
      </c>
      <c r="E423" s="1" t="s">
        <v>29</v>
      </c>
      <c r="F423" s="1" t="s">
        <v>48</v>
      </c>
      <c r="G423" s="2">
        <v>75.459999999999994</v>
      </c>
      <c r="H423" s="1">
        <v>15</v>
      </c>
      <c r="I423" s="1">
        <v>235</v>
      </c>
      <c r="J423" s="1">
        <v>232</v>
      </c>
      <c r="K423" s="1">
        <v>105</v>
      </c>
      <c r="L423" s="1">
        <v>116</v>
      </c>
      <c r="M423" s="1" t="s">
        <v>31</v>
      </c>
      <c r="N423" s="1" t="s">
        <v>60</v>
      </c>
      <c r="O423" s="1" t="s">
        <v>137</v>
      </c>
      <c r="P423" s="2">
        <v>52.82</v>
      </c>
      <c r="Q423" s="1" t="str">
        <f t="shared" si="18"/>
        <v>YES</v>
      </c>
      <c r="R423" s="2">
        <f t="shared" si="19"/>
        <v>67.914000000000001</v>
      </c>
      <c r="S423" s="2">
        <f>J423*G423</f>
        <v>17506.719999999998</v>
      </c>
      <c r="T423" s="1">
        <f t="shared" ca="1" si="20"/>
        <v>107</v>
      </c>
      <c r="U423" s="1" t="s">
        <v>34</v>
      </c>
      <c r="V423" s="1" t="s">
        <v>34</v>
      </c>
      <c r="W423" s="1" t="s">
        <v>34</v>
      </c>
      <c r="X423" s="1" t="s">
        <v>2775</v>
      </c>
      <c r="Y423" s="1">
        <v>6.5</v>
      </c>
    </row>
    <row r="424" spans="1:25" x14ac:dyDescent="0.3">
      <c r="A424" s="1" t="s">
        <v>609</v>
      </c>
      <c r="B424" s="1" t="s">
        <v>37</v>
      </c>
      <c r="C424" s="1" t="s">
        <v>38</v>
      </c>
      <c r="D424" s="1" t="s">
        <v>39</v>
      </c>
      <c r="E424" s="1" t="s">
        <v>74</v>
      </c>
      <c r="F424" s="1" t="s">
        <v>48</v>
      </c>
      <c r="G424" s="2">
        <v>186.38</v>
      </c>
      <c r="H424" s="1">
        <v>13</v>
      </c>
      <c r="I424" s="1">
        <v>150</v>
      </c>
      <c r="J424" s="1">
        <v>126</v>
      </c>
      <c r="K424" s="1">
        <v>63</v>
      </c>
      <c r="L424" s="1">
        <v>135</v>
      </c>
      <c r="M424" s="1" t="s">
        <v>49</v>
      </c>
      <c r="N424" s="1" t="s">
        <v>42</v>
      </c>
      <c r="O424" s="1" t="s">
        <v>159</v>
      </c>
      <c r="P424" s="2">
        <v>130.47</v>
      </c>
      <c r="Q424" s="1" t="str">
        <f t="shared" si="18"/>
        <v>YES</v>
      </c>
      <c r="R424" s="2">
        <f t="shared" si="19"/>
        <v>167.74199999999999</v>
      </c>
      <c r="S424" s="2">
        <f>J424*G424</f>
        <v>23483.88</v>
      </c>
      <c r="T424" s="1">
        <f t="shared" ca="1" si="20"/>
        <v>134</v>
      </c>
      <c r="U424" s="1" t="s">
        <v>34</v>
      </c>
      <c r="V424" s="1" t="s">
        <v>34</v>
      </c>
      <c r="W424" s="1" t="s">
        <v>34</v>
      </c>
      <c r="X424" s="1" t="s">
        <v>2551</v>
      </c>
      <c r="Y424" s="1">
        <v>7</v>
      </c>
    </row>
    <row r="425" spans="1:25" x14ac:dyDescent="0.3">
      <c r="A425" s="1" t="s">
        <v>610</v>
      </c>
      <c r="B425" s="1" t="s">
        <v>37</v>
      </c>
      <c r="C425" s="1" t="s">
        <v>38</v>
      </c>
      <c r="D425" s="1" t="s">
        <v>39</v>
      </c>
      <c r="E425" s="1" t="s">
        <v>74</v>
      </c>
      <c r="F425" s="1" t="s">
        <v>48</v>
      </c>
      <c r="G425" s="2">
        <v>107.14</v>
      </c>
      <c r="H425" s="1">
        <v>13</v>
      </c>
      <c r="I425" s="1">
        <v>282</v>
      </c>
      <c r="J425" s="1">
        <v>245</v>
      </c>
      <c r="K425" s="1">
        <v>99</v>
      </c>
      <c r="L425" s="1">
        <v>125</v>
      </c>
      <c r="M425" s="1" t="s">
        <v>31</v>
      </c>
      <c r="N425" s="1" t="s">
        <v>60</v>
      </c>
      <c r="O425" s="1" t="s">
        <v>133</v>
      </c>
      <c r="P425" s="2">
        <v>75</v>
      </c>
      <c r="Q425" s="1" t="str">
        <f t="shared" si="18"/>
        <v>YES</v>
      </c>
      <c r="R425" s="2">
        <f t="shared" si="19"/>
        <v>96.426000000000002</v>
      </c>
      <c r="S425" s="2">
        <f>J425*G425</f>
        <v>26249.3</v>
      </c>
      <c r="T425" s="1">
        <f t="shared" ca="1" si="20"/>
        <v>76</v>
      </c>
      <c r="U425" s="1" t="s">
        <v>34</v>
      </c>
      <c r="V425" s="1" t="s">
        <v>34</v>
      </c>
      <c r="W425" s="1" t="s">
        <v>34</v>
      </c>
      <c r="X425" s="1" t="s">
        <v>2776</v>
      </c>
      <c r="Y425" s="1">
        <v>7.5</v>
      </c>
    </row>
    <row r="426" spans="1:25" x14ac:dyDescent="0.3">
      <c r="A426" s="1" t="s">
        <v>611</v>
      </c>
      <c r="B426" s="1" t="s">
        <v>299</v>
      </c>
      <c r="C426" s="1" t="s">
        <v>300</v>
      </c>
      <c r="D426" s="1" t="s">
        <v>39</v>
      </c>
      <c r="E426" s="1" t="s">
        <v>74</v>
      </c>
      <c r="F426" s="1" t="s">
        <v>54</v>
      </c>
      <c r="G426" s="2">
        <v>126.57</v>
      </c>
      <c r="H426" s="1">
        <v>14</v>
      </c>
      <c r="I426" s="1">
        <v>184</v>
      </c>
      <c r="J426" s="1">
        <v>154</v>
      </c>
      <c r="K426" s="1">
        <v>95</v>
      </c>
      <c r="L426" s="1">
        <v>76</v>
      </c>
      <c r="M426" s="1" t="s">
        <v>41</v>
      </c>
      <c r="N426" s="1" t="s">
        <v>42</v>
      </c>
      <c r="O426" s="1" t="s">
        <v>224</v>
      </c>
      <c r="P426" s="2">
        <v>88.6</v>
      </c>
      <c r="Q426" s="1" t="str">
        <f t="shared" si="18"/>
        <v>YES</v>
      </c>
      <c r="R426" s="2">
        <f t="shared" si="19"/>
        <v>113.913</v>
      </c>
      <c r="S426" s="2">
        <f>J426*G426</f>
        <v>19491.78</v>
      </c>
      <c r="T426" s="1">
        <f t="shared" ca="1" si="20"/>
        <v>140</v>
      </c>
      <c r="U426" s="1" t="s">
        <v>34</v>
      </c>
      <c r="V426" s="1" t="s">
        <v>34</v>
      </c>
      <c r="W426" s="1" t="s">
        <v>34</v>
      </c>
      <c r="X426" s="1" t="s">
        <v>2777</v>
      </c>
      <c r="Y426" s="1">
        <v>8</v>
      </c>
    </row>
    <row r="427" spans="1:25" x14ac:dyDescent="0.3">
      <c r="A427" s="1" t="s">
        <v>612</v>
      </c>
      <c r="B427" s="1" t="s">
        <v>102</v>
      </c>
      <c r="C427" s="1" t="s">
        <v>103</v>
      </c>
      <c r="D427" s="1" t="s">
        <v>104</v>
      </c>
      <c r="E427" s="1" t="s">
        <v>40</v>
      </c>
      <c r="F427" s="1" t="s">
        <v>30</v>
      </c>
      <c r="G427" s="2">
        <v>293.63</v>
      </c>
      <c r="H427" s="1">
        <v>7</v>
      </c>
      <c r="I427" s="1">
        <v>228</v>
      </c>
      <c r="J427" s="1">
        <v>216</v>
      </c>
      <c r="K427" s="1">
        <v>52</v>
      </c>
      <c r="L427" s="1">
        <v>139</v>
      </c>
      <c r="M427" s="1" t="s">
        <v>31</v>
      </c>
      <c r="N427" s="1" t="s">
        <v>42</v>
      </c>
      <c r="O427" s="1" t="s">
        <v>128</v>
      </c>
      <c r="P427" s="2">
        <v>205.54</v>
      </c>
      <c r="Q427" s="1" t="str">
        <f t="shared" si="18"/>
        <v>YES</v>
      </c>
      <c r="R427" s="2">
        <f t="shared" si="19"/>
        <v>264.267</v>
      </c>
      <c r="S427" s="2">
        <f>J427*G427</f>
        <v>63424.08</v>
      </c>
      <c r="T427" s="1">
        <f t="shared" ca="1" si="20"/>
        <v>77</v>
      </c>
      <c r="U427" s="1" t="s">
        <v>34</v>
      </c>
      <c r="V427" s="1" t="s">
        <v>34</v>
      </c>
      <c r="W427" s="1" t="s">
        <v>34</v>
      </c>
      <c r="X427" s="1" t="s">
        <v>2778</v>
      </c>
      <c r="Y427" s="1">
        <v>8.5</v>
      </c>
    </row>
    <row r="428" spans="1:25" x14ac:dyDescent="0.3">
      <c r="A428" s="1" t="s">
        <v>613</v>
      </c>
      <c r="B428" s="1" t="s">
        <v>197</v>
      </c>
      <c r="C428" s="1" t="s">
        <v>198</v>
      </c>
      <c r="D428" s="1" t="s">
        <v>104</v>
      </c>
      <c r="E428" s="1" t="s">
        <v>74</v>
      </c>
      <c r="F428" s="1" t="s">
        <v>54</v>
      </c>
      <c r="G428" s="2">
        <v>442.56</v>
      </c>
      <c r="H428" s="1">
        <v>10</v>
      </c>
      <c r="I428" s="1">
        <v>235</v>
      </c>
      <c r="J428" s="1">
        <v>220</v>
      </c>
      <c r="K428" s="1">
        <v>41</v>
      </c>
      <c r="L428" s="1">
        <v>67</v>
      </c>
      <c r="M428" s="1" t="s">
        <v>31</v>
      </c>
      <c r="N428" s="1" t="s">
        <v>42</v>
      </c>
      <c r="O428" s="1" t="s">
        <v>361</v>
      </c>
      <c r="P428" s="2">
        <v>309.79000000000002</v>
      </c>
      <c r="Q428" s="1" t="str">
        <f t="shared" si="18"/>
        <v>YES</v>
      </c>
      <c r="R428" s="2">
        <f t="shared" si="19"/>
        <v>398.30400000000003</v>
      </c>
      <c r="S428" s="2">
        <f>J428*G428</f>
        <v>97363.199999999997</v>
      </c>
      <c r="T428" s="1">
        <f t="shared" ca="1" si="20"/>
        <v>99</v>
      </c>
      <c r="U428" s="1" t="s">
        <v>34</v>
      </c>
      <c r="V428" s="1" t="s">
        <v>34</v>
      </c>
      <c r="W428" s="1" t="s">
        <v>34</v>
      </c>
      <c r="X428" s="1" t="s">
        <v>2557</v>
      </c>
      <c r="Y428" s="1">
        <v>9</v>
      </c>
    </row>
    <row r="429" spans="1:25" x14ac:dyDescent="0.3">
      <c r="A429" s="1" t="s">
        <v>614</v>
      </c>
      <c r="B429" s="1" t="s">
        <v>102</v>
      </c>
      <c r="C429" s="1" t="s">
        <v>103</v>
      </c>
      <c r="D429" s="1" t="s">
        <v>104</v>
      </c>
      <c r="E429" s="1" t="s">
        <v>29</v>
      </c>
      <c r="F429" s="1" t="s">
        <v>30</v>
      </c>
      <c r="G429" s="2">
        <v>335.62</v>
      </c>
      <c r="H429" s="1">
        <v>15</v>
      </c>
      <c r="I429" s="1">
        <v>228</v>
      </c>
      <c r="J429" s="1">
        <v>204</v>
      </c>
      <c r="K429" s="1">
        <v>103</v>
      </c>
      <c r="L429" s="1">
        <v>78</v>
      </c>
      <c r="M429" s="1" t="s">
        <v>49</v>
      </c>
      <c r="N429" s="1" t="s">
        <v>32</v>
      </c>
      <c r="O429" s="1" t="s">
        <v>266</v>
      </c>
      <c r="P429" s="2">
        <v>234.93</v>
      </c>
      <c r="Q429" s="1" t="str">
        <f t="shared" si="18"/>
        <v>YES</v>
      </c>
      <c r="R429" s="2">
        <f t="shared" si="19"/>
        <v>302.05799999999999</v>
      </c>
      <c r="S429" s="2">
        <f>J429*G429</f>
        <v>68466.48</v>
      </c>
      <c r="T429" s="1">
        <f t="shared" ca="1" si="20"/>
        <v>139</v>
      </c>
      <c r="U429" s="1" t="s">
        <v>34</v>
      </c>
      <c r="V429" s="1" t="s">
        <v>34</v>
      </c>
      <c r="W429" s="1" t="s">
        <v>34</v>
      </c>
      <c r="X429" s="1" t="s">
        <v>2689</v>
      </c>
      <c r="Y429" s="1">
        <v>9.5</v>
      </c>
    </row>
    <row r="430" spans="1:25" x14ac:dyDescent="0.3">
      <c r="A430" s="1" t="s">
        <v>615</v>
      </c>
      <c r="B430" s="1" t="s">
        <v>107</v>
      </c>
      <c r="C430" s="1" t="s">
        <v>108</v>
      </c>
      <c r="D430" s="1" t="s">
        <v>39</v>
      </c>
      <c r="E430" s="1" t="s">
        <v>74</v>
      </c>
      <c r="F430" s="1" t="s">
        <v>30</v>
      </c>
      <c r="G430" s="2">
        <v>252.34</v>
      </c>
      <c r="H430" s="1">
        <v>12</v>
      </c>
      <c r="I430" s="1">
        <v>296</v>
      </c>
      <c r="J430" s="1">
        <v>296</v>
      </c>
      <c r="K430" s="1">
        <v>57</v>
      </c>
      <c r="L430" s="1">
        <v>57</v>
      </c>
      <c r="M430" s="1" t="s">
        <v>49</v>
      </c>
      <c r="N430" s="1" t="s">
        <v>42</v>
      </c>
      <c r="O430" s="1" t="s">
        <v>212</v>
      </c>
      <c r="P430" s="2">
        <v>176.64</v>
      </c>
      <c r="Q430" s="1" t="str">
        <f t="shared" si="18"/>
        <v>YES</v>
      </c>
      <c r="R430" s="2">
        <f t="shared" si="19"/>
        <v>227.10599999999999</v>
      </c>
      <c r="S430" s="2">
        <f>J430*G430</f>
        <v>74692.639999999999</v>
      </c>
      <c r="T430" s="1">
        <f t="shared" ca="1" si="20"/>
        <v>78</v>
      </c>
      <c r="U430" s="1" t="s">
        <v>34</v>
      </c>
      <c r="V430" s="1" t="s">
        <v>34</v>
      </c>
      <c r="W430" s="1" t="s">
        <v>34</v>
      </c>
      <c r="X430" s="1" t="s">
        <v>2752</v>
      </c>
      <c r="Y430" s="1">
        <v>5</v>
      </c>
    </row>
    <row r="431" spans="1:25" x14ac:dyDescent="0.3">
      <c r="A431" s="1" t="s">
        <v>616</v>
      </c>
      <c r="B431" s="1" t="s">
        <v>83</v>
      </c>
      <c r="C431" s="1" t="s">
        <v>84</v>
      </c>
      <c r="D431" s="1" t="s">
        <v>85</v>
      </c>
      <c r="E431" s="1" t="s">
        <v>74</v>
      </c>
      <c r="F431" s="1" t="s">
        <v>54</v>
      </c>
      <c r="G431" s="2">
        <v>399.68</v>
      </c>
      <c r="H431" s="1">
        <v>9</v>
      </c>
      <c r="I431" s="1">
        <v>174</v>
      </c>
      <c r="J431" s="1">
        <v>145</v>
      </c>
      <c r="K431" s="1">
        <v>53</v>
      </c>
      <c r="L431" s="1">
        <v>80</v>
      </c>
      <c r="M431" s="1" t="s">
        <v>49</v>
      </c>
      <c r="N431" s="1" t="s">
        <v>42</v>
      </c>
      <c r="O431" s="1" t="s">
        <v>340</v>
      </c>
      <c r="P431" s="2">
        <v>279.77999999999997</v>
      </c>
      <c r="Q431" s="1" t="str">
        <f t="shared" si="18"/>
        <v>YES</v>
      </c>
      <c r="R431" s="2">
        <f t="shared" si="19"/>
        <v>359.71199999999999</v>
      </c>
      <c r="S431" s="2">
        <f>J431*G431</f>
        <v>57953.599999999999</v>
      </c>
      <c r="T431" s="1">
        <f t="shared" ca="1" si="20"/>
        <v>138</v>
      </c>
      <c r="U431" s="1" t="s">
        <v>34</v>
      </c>
      <c r="V431" s="1" t="s">
        <v>34</v>
      </c>
      <c r="W431" s="1" t="s">
        <v>34</v>
      </c>
      <c r="X431" s="1" t="s">
        <v>2779</v>
      </c>
      <c r="Y431" s="1">
        <v>5.5</v>
      </c>
    </row>
    <row r="432" spans="1:25" x14ac:dyDescent="0.3">
      <c r="A432" s="1" t="s">
        <v>617</v>
      </c>
      <c r="B432" s="1" t="s">
        <v>192</v>
      </c>
      <c r="C432" s="1" t="s">
        <v>193</v>
      </c>
      <c r="D432" s="1" t="s">
        <v>85</v>
      </c>
      <c r="E432" s="1" t="s">
        <v>29</v>
      </c>
      <c r="F432" s="1" t="s">
        <v>48</v>
      </c>
      <c r="G432" s="2">
        <v>257.41000000000003</v>
      </c>
      <c r="H432" s="1">
        <v>10</v>
      </c>
      <c r="I432" s="1">
        <v>271</v>
      </c>
      <c r="J432" s="1">
        <v>233</v>
      </c>
      <c r="K432" s="1">
        <v>116</v>
      </c>
      <c r="L432" s="1">
        <v>98</v>
      </c>
      <c r="M432" s="1" t="s">
        <v>31</v>
      </c>
      <c r="N432" s="1" t="s">
        <v>32</v>
      </c>
      <c r="O432" s="1" t="s">
        <v>309</v>
      </c>
      <c r="P432" s="2">
        <v>180.19</v>
      </c>
      <c r="Q432" s="1" t="str">
        <f t="shared" si="18"/>
        <v>YES</v>
      </c>
      <c r="R432" s="2">
        <f t="shared" si="19"/>
        <v>231.66900000000004</v>
      </c>
      <c r="S432" s="2">
        <f>J432*G432</f>
        <v>59976.530000000006</v>
      </c>
      <c r="T432" s="1">
        <f t="shared" ca="1" si="20"/>
        <v>67</v>
      </c>
      <c r="U432" s="1" t="s">
        <v>34</v>
      </c>
      <c r="V432" s="1" t="s">
        <v>34</v>
      </c>
      <c r="W432" s="1" t="s">
        <v>34</v>
      </c>
      <c r="X432" s="1" t="s">
        <v>2780</v>
      </c>
      <c r="Y432" s="1">
        <v>6</v>
      </c>
    </row>
    <row r="433" spans="1:25" x14ac:dyDescent="0.3">
      <c r="A433" s="1" t="s">
        <v>618</v>
      </c>
      <c r="B433" s="1" t="s">
        <v>107</v>
      </c>
      <c r="C433" s="1" t="s">
        <v>108</v>
      </c>
      <c r="D433" s="1" t="s">
        <v>39</v>
      </c>
      <c r="E433" s="1" t="s">
        <v>74</v>
      </c>
      <c r="F433" s="1" t="s">
        <v>54</v>
      </c>
      <c r="G433" s="2">
        <v>401.73</v>
      </c>
      <c r="H433" s="1">
        <v>11</v>
      </c>
      <c r="I433" s="1">
        <v>203</v>
      </c>
      <c r="J433" s="1">
        <v>180</v>
      </c>
      <c r="K433" s="1">
        <v>82</v>
      </c>
      <c r="L433" s="1">
        <v>116</v>
      </c>
      <c r="M433" s="1" t="s">
        <v>41</v>
      </c>
      <c r="N433" s="1" t="s">
        <v>42</v>
      </c>
      <c r="O433" s="1" t="s">
        <v>105</v>
      </c>
      <c r="P433" s="2">
        <v>281.20999999999998</v>
      </c>
      <c r="Q433" s="1" t="str">
        <f t="shared" si="18"/>
        <v>YES</v>
      </c>
      <c r="R433" s="2">
        <f t="shared" si="19"/>
        <v>361.55700000000002</v>
      </c>
      <c r="S433" s="2">
        <f>J433*G433</f>
        <v>72311.400000000009</v>
      </c>
      <c r="T433" s="1">
        <f t="shared" ca="1" si="20"/>
        <v>144</v>
      </c>
      <c r="U433" s="1" t="s">
        <v>34</v>
      </c>
      <c r="V433" s="1" t="s">
        <v>34</v>
      </c>
      <c r="W433" s="1" t="s">
        <v>34</v>
      </c>
      <c r="X433" s="1" t="s">
        <v>2605</v>
      </c>
      <c r="Y433" s="1">
        <v>6.5</v>
      </c>
    </row>
    <row r="434" spans="1:25" x14ac:dyDescent="0.3">
      <c r="A434" s="1" t="s">
        <v>619</v>
      </c>
      <c r="B434" s="1" t="s">
        <v>172</v>
      </c>
      <c r="C434" s="1" t="s">
        <v>173</v>
      </c>
      <c r="D434" s="1" t="s">
        <v>132</v>
      </c>
      <c r="E434" s="1" t="s">
        <v>74</v>
      </c>
      <c r="F434" s="1" t="s">
        <v>30</v>
      </c>
      <c r="G434" s="2">
        <v>249.44</v>
      </c>
      <c r="H434" s="1">
        <v>15</v>
      </c>
      <c r="I434" s="1">
        <v>278</v>
      </c>
      <c r="J434" s="1">
        <v>238</v>
      </c>
      <c r="K434" s="1">
        <v>73</v>
      </c>
      <c r="L434" s="1">
        <v>104</v>
      </c>
      <c r="M434" s="1" t="s">
        <v>41</v>
      </c>
      <c r="N434" s="1" t="s">
        <v>60</v>
      </c>
      <c r="O434" s="1" t="s">
        <v>98</v>
      </c>
      <c r="P434" s="2">
        <v>174.61</v>
      </c>
      <c r="Q434" s="1" t="str">
        <f t="shared" si="18"/>
        <v>YES</v>
      </c>
      <c r="R434" s="2">
        <f t="shared" si="19"/>
        <v>224.49600000000001</v>
      </c>
      <c r="S434" s="2">
        <f>J434*G434</f>
        <v>59366.720000000001</v>
      </c>
      <c r="T434" s="1">
        <f t="shared" ca="1" si="20"/>
        <v>96</v>
      </c>
      <c r="U434" s="1" t="s">
        <v>34</v>
      </c>
      <c r="V434" s="1" t="s">
        <v>34</v>
      </c>
      <c r="W434" s="1" t="s">
        <v>34</v>
      </c>
      <c r="X434" s="1" t="s">
        <v>2651</v>
      </c>
      <c r="Y434" s="1">
        <v>7</v>
      </c>
    </row>
    <row r="435" spans="1:25" x14ac:dyDescent="0.3">
      <c r="A435" s="1" t="s">
        <v>620</v>
      </c>
      <c r="B435" s="1" t="s">
        <v>176</v>
      </c>
      <c r="C435" s="1" t="s">
        <v>177</v>
      </c>
      <c r="D435" s="1" t="s">
        <v>39</v>
      </c>
      <c r="E435" s="1" t="s">
        <v>74</v>
      </c>
      <c r="F435" s="1" t="s">
        <v>48</v>
      </c>
      <c r="G435" s="2">
        <v>482.38</v>
      </c>
      <c r="H435" s="1">
        <v>18</v>
      </c>
      <c r="I435" s="1">
        <v>250</v>
      </c>
      <c r="J435" s="1">
        <v>215</v>
      </c>
      <c r="K435" s="1">
        <v>58</v>
      </c>
      <c r="L435" s="1">
        <v>76</v>
      </c>
      <c r="M435" s="1" t="s">
        <v>31</v>
      </c>
      <c r="N435" s="1" t="s">
        <v>42</v>
      </c>
      <c r="O435" s="1" t="s">
        <v>384</v>
      </c>
      <c r="P435" s="2">
        <v>337.67</v>
      </c>
      <c r="Q435" s="1" t="str">
        <f t="shared" si="18"/>
        <v>YES</v>
      </c>
      <c r="R435" s="2">
        <f t="shared" si="19"/>
        <v>434.142</v>
      </c>
      <c r="S435" s="2">
        <f>J435*G435</f>
        <v>103711.7</v>
      </c>
      <c r="T435" s="1">
        <f t="shared" ca="1" si="20"/>
        <v>147</v>
      </c>
      <c r="U435" s="1" t="s">
        <v>34</v>
      </c>
      <c r="V435" s="1" t="s">
        <v>34</v>
      </c>
      <c r="W435" s="1" t="s">
        <v>34</v>
      </c>
      <c r="X435" s="1" t="s">
        <v>2556</v>
      </c>
      <c r="Y435" s="1">
        <v>7.5</v>
      </c>
    </row>
    <row r="436" spans="1:25" x14ac:dyDescent="0.3">
      <c r="A436" s="1" t="s">
        <v>621</v>
      </c>
      <c r="B436" s="1" t="s">
        <v>262</v>
      </c>
      <c r="C436" s="1" t="s">
        <v>263</v>
      </c>
      <c r="D436" s="1" t="s">
        <v>104</v>
      </c>
      <c r="E436" s="1" t="s">
        <v>40</v>
      </c>
      <c r="F436" s="1" t="s">
        <v>54</v>
      </c>
      <c r="G436" s="2">
        <v>63.55</v>
      </c>
      <c r="H436" s="1">
        <v>2</v>
      </c>
      <c r="I436" s="1">
        <v>110</v>
      </c>
      <c r="J436" s="1">
        <v>102</v>
      </c>
      <c r="K436" s="1">
        <v>65</v>
      </c>
      <c r="L436" s="1">
        <v>73</v>
      </c>
      <c r="M436" s="1" t="s">
        <v>49</v>
      </c>
      <c r="N436" s="1" t="s">
        <v>32</v>
      </c>
      <c r="O436" s="1" t="s">
        <v>90</v>
      </c>
      <c r="P436" s="2">
        <v>44.48</v>
      </c>
      <c r="Q436" s="1" t="str">
        <f t="shared" si="18"/>
        <v>YES</v>
      </c>
      <c r="R436" s="2">
        <f t="shared" si="19"/>
        <v>57.195</v>
      </c>
      <c r="S436" s="2">
        <f>J436*G436</f>
        <v>6482.0999999999995</v>
      </c>
      <c r="T436" s="1">
        <f t="shared" ca="1" si="20"/>
        <v>94</v>
      </c>
      <c r="U436" s="1" t="s">
        <v>34</v>
      </c>
      <c r="V436" s="1" t="s">
        <v>34</v>
      </c>
      <c r="W436" s="1" t="s">
        <v>34</v>
      </c>
      <c r="X436" s="1" t="s">
        <v>2520</v>
      </c>
      <c r="Y436" s="1">
        <v>8</v>
      </c>
    </row>
    <row r="437" spans="1:25" x14ac:dyDescent="0.3">
      <c r="A437" s="1" t="s">
        <v>622</v>
      </c>
      <c r="B437" s="1" t="s">
        <v>299</v>
      </c>
      <c r="C437" s="1" t="s">
        <v>300</v>
      </c>
      <c r="D437" s="1" t="s">
        <v>39</v>
      </c>
      <c r="E437" s="1" t="s">
        <v>40</v>
      </c>
      <c r="F437" s="1" t="s">
        <v>54</v>
      </c>
      <c r="G437" s="2">
        <v>241.83</v>
      </c>
      <c r="H437" s="1">
        <v>14</v>
      </c>
      <c r="I437" s="1">
        <v>234</v>
      </c>
      <c r="J437" s="1">
        <v>212</v>
      </c>
      <c r="K437" s="1">
        <v>107</v>
      </c>
      <c r="L437" s="1">
        <v>60</v>
      </c>
      <c r="M437" s="1" t="s">
        <v>41</v>
      </c>
      <c r="N437" s="1" t="s">
        <v>42</v>
      </c>
      <c r="O437" s="1" t="s">
        <v>178</v>
      </c>
      <c r="P437" s="2">
        <v>169.28</v>
      </c>
      <c r="Q437" s="1" t="str">
        <f t="shared" si="18"/>
        <v>YES</v>
      </c>
      <c r="R437" s="2">
        <f t="shared" si="19"/>
        <v>217.64700000000002</v>
      </c>
      <c r="S437" s="2">
        <f>J437*G437</f>
        <v>51267.96</v>
      </c>
      <c r="T437" s="1">
        <f t="shared" ca="1" si="20"/>
        <v>90</v>
      </c>
      <c r="U437" s="1" t="s">
        <v>34</v>
      </c>
      <c r="V437" s="1" t="s">
        <v>34</v>
      </c>
      <c r="W437" s="1" t="s">
        <v>34</v>
      </c>
      <c r="X437" s="1" t="s">
        <v>2781</v>
      </c>
      <c r="Y437" s="1">
        <v>8.5</v>
      </c>
    </row>
    <row r="438" spans="1:25" x14ac:dyDescent="0.3">
      <c r="A438" s="1" t="s">
        <v>623</v>
      </c>
      <c r="B438" s="1" t="s">
        <v>72</v>
      </c>
      <c r="C438" s="1" t="s">
        <v>73</v>
      </c>
      <c r="D438" s="1" t="s">
        <v>47</v>
      </c>
      <c r="E438" s="1" t="s">
        <v>29</v>
      </c>
      <c r="F438" s="1" t="s">
        <v>30</v>
      </c>
      <c r="G438" s="2">
        <v>98.19</v>
      </c>
      <c r="H438" s="1">
        <v>13</v>
      </c>
      <c r="I438" s="1">
        <v>132</v>
      </c>
      <c r="J438" s="1">
        <v>102</v>
      </c>
      <c r="K438" s="1">
        <v>56</v>
      </c>
      <c r="L438" s="1">
        <v>94</v>
      </c>
      <c r="M438" s="1" t="s">
        <v>31</v>
      </c>
      <c r="N438" s="1" t="s">
        <v>32</v>
      </c>
      <c r="O438" s="1" t="s">
        <v>220</v>
      </c>
      <c r="P438" s="2">
        <v>68.73</v>
      </c>
      <c r="Q438" s="1" t="str">
        <f t="shared" si="18"/>
        <v>YES</v>
      </c>
      <c r="R438" s="2">
        <f t="shared" si="19"/>
        <v>88.370999999999995</v>
      </c>
      <c r="S438" s="2">
        <f>J438*G438</f>
        <v>10015.379999999999</v>
      </c>
      <c r="T438" s="1">
        <f t="shared" ca="1" si="20"/>
        <v>106</v>
      </c>
      <c r="U438" s="1" t="s">
        <v>34</v>
      </c>
      <c r="V438" s="1" t="s">
        <v>34</v>
      </c>
      <c r="W438" s="1" t="s">
        <v>34</v>
      </c>
      <c r="X438" s="1" t="s">
        <v>2782</v>
      </c>
      <c r="Y438" s="1">
        <v>9</v>
      </c>
    </row>
    <row r="439" spans="1:25" x14ac:dyDescent="0.3">
      <c r="A439" s="1" t="s">
        <v>624</v>
      </c>
      <c r="B439" s="1" t="s">
        <v>172</v>
      </c>
      <c r="C439" s="1" t="s">
        <v>173</v>
      </c>
      <c r="D439" s="1" t="s">
        <v>132</v>
      </c>
      <c r="E439" s="1" t="s">
        <v>29</v>
      </c>
      <c r="F439" s="1" t="s">
        <v>54</v>
      </c>
      <c r="G439" s="2">
        <v>348.48</v>
      </c>
      <c r="H439" s="1">
        <v>21</v>
      </c>
      <c r="I439" s="1">
        <v>150</v>
      </c>
      <c r="J439" s="1">
        <v>113</v>
      </c>
      <c r="K439" s="1">
        <v>86</v>
      </c>
      <c r="L439" s="1">
        <v>119</v>
      </c>
      <c r="M439" s="1" t="s">
        <v>31</v>
      </c>
      <c r="N439" s="1" t="s">
        <v>32</v>
      </c>
      <c r="O439" s="1" t="s">
        <v>55</v>
      </c>
      <c r="P439" s="2">
        <v>243.94</v>
      </c>
      <c r="Q439" s="1" t="str">
        <f t="shared" si="18"/>
        <v>YES</v>
      </c>
      <c r="R439" s="2">
        <f t="shared" si="19"/>
        <v>313.63200000000001</v>
      </c>
      <c r="S439" s="2">
        <f>J439*G439</f>
        <v>39378.240000000005</v>
      </c>
      <c r="T439" s="1">
        <f t="shared" ca="1" si="20"/>
        <v>91</v>
      </c>
      <c r="U439" s="1" t="s">
        <v>34</v>
      </c>
      <c r="V439" s="1" t="s">
        <v>34</v>
      </c>
      <c r="W439" s="1" t="s">
        <v>34</v>
      </c>
      <c r="X439" s="1" t="s">
        <v>2745</v>
      </c>
      <c r="Y439" s="1">
        <v>9.5</v>
      </c>
    </row>
    <row r="440" spans="1:25" x14ac:dyDescent="0.3">
      <c r="A440" s="1" t="s">
        <v>625</v>
      </c>
      <c r="B440" s="1" t="s">
        <v>37</v>
      </c>
      <c r="C440" s="1" t="s">
        <v>38</v>
      </c>
      <c r="D440" s="1" t="s">
        <v>39</v>
      </c>
      <c r="E440" s="1" t="s">
        <v>74</v>
      </c>
      <c r="F440" s="1" t="s">
        <v>54</v>
      </c>
      <c r="G440" s="2">
        <v>50.44</v>
      </c>
      <c r="H440" s="1">
        <v>24</v>
      </c>
      <c r="I440" s="1">
        <v>285</v>
      </c>
      <c r="J440" s="1">
        <v>270</v>
      </c>
      <c r="K440" s="1">
        <v>87</v>
      </c>
      <c r="L440" s="1">
        <v>91</v>
      </c>
      <c r="M440" s="1" t="s">
        <v>31</v>
      </c>
      <c r="N440" s="1" t="s">
        <v>60</v>
      </c>
      <c r="O440" s="1" t="s">
        <v>377</v>
      </c>
      <c r="P440" s="2">
        <v>35.31</v>
      </c>
      <c r="Q440" s="1" t="str">
        <f t="shared" si="18"/>
        <v>YES</v>
      </c>
      <c r="R440" s="2">
        <f t="shared" si="19"/>
        <v>45.396000000000001</v>
      </c>
      <c r="S440" s="2">
        <f>J440*G440</f>
        <v>13618.8</v>
      </c>
      <c r="T440" s="1">
        <f t="shared" ca="1" si="20"/>
        <v>65</v>
      </c>
      <c r="U440" s="1" t="s">
        <v>34</v>
      </c>
      <c r="V440" s="1" t="s">
        <v>34</v>
      </c>
      <c r="W440" s="1" t="s">
        <v>34</v>
      </c>
      <c r="X440" s="1" t="s">
        <v>2528</v>
      </c>
      <c r="Y440" s="1">
        <v>5</v>
      </c>
    </row>
    <row r="441" spans="1:25" x14ac:dyDescent="0.3">
      <c r="A441" s="1" t="s">
        <v>626</v>
      </c>
      <c r="B441" s="1" t="s">
        <v>52</v>
      </c>
      <c r="C441" s="1" t="s">
        <v>53</v>
      </c>
      <c r="D441" s="1" t="s">
        <v>47</v>
      </c>
      <c r="E441" s="1" t="s">
        <v>29</v>
      </c>
      <c r="F441" s="1" t="s">
        <v>30</v>
      </c>
      <c r="G441" s="2">
        <v>210.41</v>
      </c>
      <c r="H441" s="1">
        <v>14</v>
      </c>
      <c r="I441" s="1">
        <v>221</v>
      </c>
      <c r="J441" s="1">
        <v>215</v>
      </c>
      <c r="K441" s="1">
        <v>98</v>
      </c>
      <c r="L441" s="1">
        <v>67</v>
      </c>
      <c r="M441" s="1" t="s">
        <v>41</v>
      </c>
      <c r="N441" s="1" t="s">
        <v>60</v>
      </c>
      <c r="O441" s="1" t="s">
        <v>88</v>
      </c>
      <c r="P441" s="2">
        <v>147.29</v>
      </c>
      <c r="Q441" s="1" t="str">
        <f t="shared" si="18"/>
        <v>YES</v>
      </c>
      <c r="R441" s="2">
        <f t="shared" si="19"/>
        <v>189.369</v>
      </c>
      <c r="S441" s="2">
        <f>J441*G441</f>
        <v>45238.15</v>
      </c>
      <c r="T441" s="1">
        <f t="shared" ca="1" si="20"/>
        <v>124</v>
      </c>
      <c r="U441" s="1" t="s">
        <v>34</v>
      </c>
      <c r="V441" s="1" t="s">
        <v>34</v>
      </c>
      <c r="W441" s="1" t="s">
        <v>34</v>
      </c>
      <c r="X441" s="1" t="s">
        <v>2783</v>
      </c>
      <c r="Y441" s="1">
        <v>5.5</v>
      </c>
    </row>
    <row r="442" spans="1:25" x14ac:dyDescent="0.3">
      <c r="A442" s="1" t="s">
        <v>627</v>
      </c>
      <c r="B442" s="1" t="s">
        <v>172</v>
      </c>
      <c r="C442" s="1" t="s">
        <v>173</v>
      </c>
      <c r="D442" s="1" t="s">
        <v>132</v>
      </c>
      <c r="E442" s="1" t="s">
        <v>74</v>
      </c>
      <c r="F442" s="1" t="s">
        <v>30</v>
      </c>
      <c r="G442" s="2">
        <v>148.65</v>
      </c>
      <c r="H442" s="1">
        <v>8</v>
      </c>
      <c r="I442" s="1">
        <v>282</v>
      </c>
      <c r="J442" s="1">
        <v>255</v>
      </c>
      <c r="K442" s="1">
        <v>57</v>
      </c>
      <c r="L442" s="1">
        <v>51</v>
      </c>
      <c r="M442" s="1" t="s">
        <v>41</v>
      </c>
      <c r="N442" s="1" t="s">
        <v>60</v>
      </c>
      <c r="O442" s="1" t="s">
        <v>159</v>
      </c>
      <c r="P442" s="2">
        <v>104.05</v>
      </c>
      <c r="Q442" s="1" t="str">
        <f t="shared" si="18"/>
        <v>YES</v>
      </c>
      <c r="R442" s="2">
        <f t="shared" si="19"/>
        <v>133.785</v>
      </c>
      <c r="S442" s="2">
        <f>J442*G442</f>
        <v>37905.75</v>
      </c>
      <c r="T442" s="1">
        <f t="shared" ca="1" si="20"/>
        <v>134</v>
      </c>
      <c r="U442" s="1" t="s">
        <v>34</v>
      </c>
      <c r="V442" s="1" t="s">
        <v>34</v>
      </c>
      <c r="W442" s="1" t="s">
        <v>34</v>
      </c>
      <c r="X442" s="1" t="s">
        <v>2784</v>
      </c>
      <c r="Y442" s="1">
        <v>6</v>
      </c>
    </row>
    <row r="443" spans="1:25" x14ac:dyDescent="0.3">
      <c r="A443" s="1" t="s">
        <v>628</v>
      </c>
      <c r="B443" s="1" t="s">
        <v>72</v>
      </c>
      <c r="C443" s="1" t="s">
        <v>73</v>
      </c>
      <c r="D443" s="1" t="s">
        <v>47</v>
      </c>
      <c r="E443" s="1" t="s">
        <v>74</v>
      </c>
      <c r="F443" s="1" t="s">
        <v>30</v>
      </c>
      <c r="G443" s="2">
        <v>370.75</v>
      </c>
      <c r="H443" s="1">
        <v>24</v>
      </c>
      <c r="I443" s="1">
        <v>286</v>
      </c>
      <c r="J443" s="1">
        <v>272</v>
      </c>
      <c r="K443" s="1">
        <v>62</v>
      </c>
      <c r="L443" s="1">
        <v>131</v>
      </c>
      <c r="M443" s="1" t="s">
        <v>41</v>
      </c>
      <c r="N443" s="1" t="s">
        <v>42</v>
      </c>
      <c r="O443" s="1" t="s">
        <v>398</v>
      </c>
      <c r="P443" s="2">
        <v>259.52</v>
      </c>
      <c r="Q443" s="1" t="str">
        <f t="shared" si="18"/>
        <v>YES</v>
      </c>
      <c r="R443" s="2">
        <f t="shared" si="19"/>
        <v>333.67500000000001</v>
      </c>
      <c r="S443" s="2">
        <f>J443*G443</f>
        <v>100844</v>
      </c>
      <c r="T443" s="1">
        <f t="shared" ca="1" si="20"/>
        <v>86</v>
      </c>
      <c r="U443" s="1" t="s">
        <v>34</v>
      </c>
      <c r="V443" s="1" t="s">
        <v>34</v>
      </c>
      <c r="W443" s="1" t="s">
        <v>34</v>
      </c>
      <c r="X443" s="1" t="s">
        <v>2726</v>
      </c>
      <c r="Y443" s="1">
        <v>6.5</v>
      </c>
    </row>
    <row r="444" spans="1:25" x14ac:dyDescent="0.3">
      <c r="A444" s="1" t="s">
        <v>629</v>
      </c>
      <c r="B444" s="1" t="s">
        <v>111</v>
      </c>
      <c r="C444" s="1" t="s">
        <v>112</v>
      </c>
      <c r="D444" s="1" t="s">
        <v>97</v>
      </c>
      <c r="E444" s="1" t="s">
        <v>40</v>
      </c>
      <c r="F444" s="1" t="s">
        <v>30</v>
      </c>
      <c r="G444" s="2">
        <v>95.52</v>
      </c>
      <c r="H444" s="1">
        <v>3</v>
      </c>
      <c r="I444" s="1">
        <v>86</v>
      </c>
      <c r="J444" s="1">
        <v>59</v>
      </c>
      <c r="K444" s="1">
        <v>110</v>
      </c>
      <c r="L444" s="1">
        <v>125</v>
      </c>
      <c r="M444" s="1" t="s">
        <v>49</v>
      </c>
      <c r="N444" s="1" t="s">
        <v>60</v>
      </c>
      <c r="O444" s="1" t="s">
        <v>266</v>
      </c>
      <c r="P444" s="2">
        <v>66.86</v>
      </c>
      <c r="Q444" s="1" t="str">
        <f t="shared" si="18"/>
        <v>NO</v>
      </c>
      <c r="R444" s="2">
        <f t="shared" si="19"/>
        <v>95.52</v>
      </c>
      <c r="S444" s="2">
        <f>J444*G444</f>
        <v>5635.6799999999994</v>
      </c>
      <c r="T444" s="1">
        <f t="shared" ca="1" si="20"/>
        <v>139</v>
      </c>
      <c r="U444" s="1" t="s">
        <v>34</v>
      </c>
      <c r="V444" s="1" t="s">
        <v>34</v>
      </c>
      <c r="W444" s="1" t="s">
        <v>34</v>
      </c>
      <c r="X444" s="1" t="s">
        <v>2567</v>
      </c>
      <c r="Y444" s="1">
        <v>7</v>
      </c>
    </row>
    <row r="445" spans="1:25" x14ac:dyDescent="0.3">
      <c r="A445" s="1" t="s">
        <v>630</v>
      </c>
      <c r="B445" s="1" t="s">
        <v>237</v>
      </c>
      <c r="C445" s="1" t="s">
        <v>238</v>
      </c>
      <c r="D445" s="1" t="s">
        <v>85</v>
      </c>
      <c r="E445" s="1" t="s">
        <v>74</v>
      </c>
      <c r="F445" s="1" t="s">
        <v>48</v>
      </c>
      <c r="G445" s="2">
        <v>256.26</v>
      </c>
      <c r="H445" s="1">
        <v>7</v>
      </c>
      <c r="I445" s="1">
        <v>218</v>
      </c>
      <c r="J445" s="1">
        <v>200</v>
      </c>
      <c r="K445" s="1">
        <v>105</v>
      </c>
      <c r="L445" s="1">
        <v>65</v>
      </c>
      <c r="M445" s="1" t="s">
        <v>31</v>
      </c>
      <c r="N445" s="1" t="s">
        <v>32</v>
      </c>
      <c r="O445" s="1" t="s">
        <v>311</v>
      </c>
      <c r="P445" s="2">
        <v>179.38</v>
      </c>
      <c r="Q445" s="1" t="str">
        <f t="shared" si="18"/>
        <v>YES</v>
      </c>
      <c r="R445" s="2">
        <f t="shared" si="19"/>
        <v>230.63399999999999</v>
      </c>
      <c r="S445" s="2">
        <f>J445*G445</f>
        <v>51252</v>
      </c>
      <c r="T445" s="1">
        <f t="shared" ca="1" si="20"/>
        <v>80</v>
      </c>
      <c r="U445" s="1" t="s">
        <v>34</v>
      </c>
      <c r="V445" s="1" t="s">
        <v>34</v>
      </c>
      <c r="W445" s="1" t="s">
        <v>34</v>
      </c>
      <c r="X445" s="1" t="s">
        <v>2785</v>
      </c>
      <c r="Y445" s="1">
        <v>7.5</v>
      </c>
    </row>
    <row r="446" spans="1:25" x14ac:dyDescent="0.3">
      <c r="A446" s="1" t="s">
        <v>631</v>
      </c>
      <c r="B446" s="1" t="s">
        <v>107</v>
      </c>
      <c r="C446" s="1" t="s">
        <v>108</v>
      </c>
      <c r="D446" s="1" t="s">
        <v>39</v>
      </c>
      <c r="E446" s="1" t="s">
        <v>74</v>
      </c>
      <c r="F446" s="1" t="s">
        <v>30</v>
      </c>
      <c r="G446" s="2">
        <v>331.79</v>
      </c>
      <c r="H446" s="1">
        <v>12</v>
      </c>
      <c r="I446" s="1">
        <v>157</v>
      </c>
      <c r="J446" s="1">
        <v>136</v>
      </c>
      <c r="K446" s="1">
        <v>103</v>
      </c>
      <c r="L446" s="1">
        <v>146</v>
      </c>
      <c r="M446" s="1" t="s">
        <v>31</v>
      </c>
      <c r="N446" s="1" t="s">
        <v>32</v>
      </c>
      <c r="O446" s="1" t="s">
        <v>67</v>
      </c>
      <c r="P446" s="2">
        <v>232.25</v>
      </c>
      <c r="Q446" s="1" t="str">
        <f t="shared" si="18"/>
        <v>YES</v>
      </c>
      <c r="R446" s="2">
        <f t="shared" si="19"/>
        <v>298.61100000000005</v>
      </c>
      <c r="S446" s="2">
        <f>J446*G446</f>
        <v>45123.44</v>
      </c>
      <c r="T446" s="1">
        <f t="shared" ca="1" si="20"/>
        <v>97</v>
      </c>
      <c r="U446" s="1" t="s">
        <v>34</v>
      </c>
      <c r="V446" s="1" t="s">
        <v>34</v>
      </c>
      <c r="W446" s="1" t="s">
        <v>34</v>
      </c>
      <c r="X446" s="1" t="s">
        <v>2519</v>
      </c>
      <c r="Y446" s="1">
        <v>8</v>
      </c>
    </row>
    <row r="447" spans="1:25" x14ac:dyDescent="0.3">
      <c r="A447" s="1" t="s">
        <v>632</v>
      </c>
      <c r="B447" s="1" t="s">
        <v>118</v>
      </c>
      <c r="C447" s="1" t="s">
        <v>119</v>
      </c>
      <c r="D447" s="1" t="s">
        <v>97</v>
      </c>
      <c r="E447" s="1" t="s">
        <v>40</v>
      </c>
      <c r="F447" s="1" t="s">
        <v>30</v>
      </c>
      <c r="G447" s="2">
        <v>345.5</v>
      </c>
      <c r="H447" s="1">
        <v>17</v>
      </c>
      <c r="I447" s="1">
        <v>156</v>
      </c>
      <c r="J447" s="1">
        <v>121</v>
      </c>
      <c r="K447" s="1">
        <v>52</v>
      </c>
      <c r="L447" s="1">
        <v>100</v>
      </c>
      <c r="M447" s="1" t="s">
        <v>49</v>
      </c>
      <c r="N447" s="1" t="s">
        <v>42</v>
      </c>
      <c r="O447" s="1" t="s">
        <v>137</v>
      </c>
      <c r="P447" s="2">
        <v>241.85</v>
      </c>
      <c r="Q447" s="1" t="str">
        <f t="shared" si="18"/>
        <v>YES</v>
      </c>
      <c r="R447" s="2">
        <f t="shared" si="19"/>
        <v>310.95</v>
      </c>
      <c r="S447" s="2">
        <f>J447*G447</f>
        <v>41805.5</v>
      </c>
      <c r="T447" s="1">
        <f t="shared" ca="1" si="20"/>
        <v>107</v>
      </c>
      <c r="U447" s="1" t="s">
        <v>34</v>
      </c>
      <c r="V447" s="1" t="s">
        <v>34</v>
      </c>
      <c r="W447" s="1" t="s">
        <v>34</v>
      </c>
      <c r="X447" s="1" t="s">
        <v>2776</v>
      </c>
      <c r="Y447" s="1">
        <v>8.5</v>
      </c>
    </row>
    <row r="448" spans="1:25" x14ac:dyDescent="0.3">
      <c r="A448" s="1" t="s">
        <v>633</v>
      </c>
      <c r="B448" s="1" t="s">
        <v>262</v>
      </c>
      <c r="C448" s="1" t="s">
        <v>263</v>
      </c>
      <c r="D448" s="1" t="s">
        <v>104</v>
      </c>
      <c r="E448" s="1" t="s">
        <v>74</v>
      </c>
      <c r="F448" s="1" t="s">
        <v>30</v>
      </c>
      <c r="G448" s="2">
        <v>144.44999999999999</v>
      </c>
      <c r="H448" s="1">
        <v>14</v>
      </c>
      <c r="I448" s="1">
        <v>271</v>
      </c>
      <c r="J448" s="1">
        <v>254</v>
      </c>
      <c r="K448" s="1">
        <v>94</v>
      </c>
      <c r="L448" s="1">
        <v>76</v>
      </c>
      <c r="M448" s="1" t="s">
        <v>31</v>
      </c>
      <c r="N448" s="1" t="s">
        <v>42</v>
      </c>
      <c r="O448" s="1" t="s">
        <v>105</v>
      </c>
      <c r="P448" s="2">
        <v>101.11</v>
      </c>
      <c r="Q448" s="1" t="str">
        <f t="shared" si="18"/>
        <v>YES</v>
      </c>
      <c r="R448" s="2">
        <f t="shared" si="19"/>
        <v>130.005</v>
      </c>
      <c r="S448" s="2">
        <f>J448*G448</f>
        <v>36690.299999999996</v>
      </c>
      <c r="T448" s="1">
        <f t="shared" ca="1" si="20"/>
        <v>144</v>
      </c>
      <c r="U448" s="1" t="s">
        <v>34</v>
      </c>
      <c r="V448" s="1" t="s">
        <v>34</v>
      </c>
      <c r="W448" s="1" t="s">
        <v>34</v>
      </c>
      <c r="X448" s="1" t="s">
        <v>2786</v>
      </c>
      <c r="Y448" s="1">
        <v>9</v>
      </c>
    </row>
    <row r="449" spans="1:25" x14ac:dyDescent="0.3">
      <c r="A449" s="1" t="s">
        <v>634</v>
      </c>
      <c r="B449" s="1" t="s">
        <v>83</v>
      </c>
      <c r="C449" s="1" t="s">
        <v>84</v>
      </c>
      <c r="D449" s="1" t="s">
        <v>85</v>
      </c>
      <c r="E449" s="1" t="s">
        <v>40</v>
      </c>
      <c r="F449" s="1" t="s">
        <v>48</v>
      </c>
      <c r="G449" s="2">
        <v>312.76</v>
      </c>
      <c r="H449" s="1">
        <v>17</v>
      </c>
      <c r="I449" s="1">
        <v>224</v>
      </c>
      <c r="J449" s="1">
        <v>195</v>
      </c>
      <c r="K449" s="1">
        <v>43</v>
      </c>
      <c r="L449" s="1">
        <v>60</v>
      </c>
      <c r="M449" s="1" t="s">
        <v>31</v>
      </c>
      <c r="N449" s="1" t="s">
        <v>60</v>
      </c>
      <c r="O449" s="1" t="s">
        <v>224</v>
      </c>
      <c r="P449" s="2">
        <v>218.93</v>
      </c>
      <c r="Q449" s="1" t="str">
        <f t="shared" si="18"/>
        <v>YES</v>
      </c>
      <c r="R449" s="2">
        <f t="shared" si="19"/>
        <v>281.48399999999998</v>
      </c>
      <c r="S449" s="2">
        <f>J449*G449</f>
        <v>60988.2</v>
      </c>
      <c r="T449" s="1">
        <f t="shared" ca="1" si="20"/>
        <v>140</v>
      </c>
      <c r="U449" s="1" t="s">
        <v>34</v>
      </c>
      <c r="V449" s="1" t="s">
        <v>34</v>
      </c>
      <c r="W449" s="1" t="s">
        <v>34</v>
      </c>
      <c r="X449" s="1" t="s">
        <v>2661</v>
      </c>
      <c r="Y449" s="1">
        <v>9.5</v>
      </c>
    </row>
    <row r="450" spans="1:25" x14ac:dyDescent="0.3">
      <c r="A450" s="1" t="s">
        <v>635</v>
      </c>
      <c r="B450" s="1" t="s">
        <v>197</v>
      </c>
      <c r="C450" s="1" t="s">
        <v>198</v>
      </c>
      <c r="D450" s="1" t="s">
        <v>104</v>
      </c>
      <c r="E450" s="1" t="s">
        <v>40</v>
      </c>
      <c r="F450" s="1" t="s">
        <v>30</v>
      </c>
      <c r="G450" s="2">
        <v>298.14</v>
      </c>
      <c r="H450" s="1">
        <v>22</v>
      </c>
      <c r="I450" s="1">
        <v>255</v>
      </c>
      <c r="J450" s="1">
        <v>241</v>
      </c>
      <c r="K450" s="1">
        <v>99</v>
      </c>
      <c r="L450" s="1">
        <v>56</v>
      </c>
      <c r="M450" s="1" t="s">
        <v>49</v>
      </c>
      <c r="N450" s="1" t="s">
        <v>32</v>
      </c>
      <c r="O450" s="1" t="s">
        <v>333</v>
      </c>
      <c r="P450" s="2">
        <v>208.7</v>
      </c>
      <c r="Q450" s="1" t="str">
        <f t="shared" ref="Q450:Q513" si="21">IF(J450&gt;K450,"YES","NO")</f>
        <v>YES</v>
      </c>
      <c r="R450" s="2">
        <f t="shared" ref="R450:R513" si="22">IF(Q450="YES",G450*0.9,G450)</f>
        <v>268.32600000000002</v>
      </c>
      <c r="S450" s="2">
        <f>J450*G450</f>
        <v>71851.739999999991</v>
      </c>
      <c r="T450" s="1">
        <f t="shared" ref="T450:T513" ca="1" si="23">TODAY()-DATE(MID(O450,7,4),MID(O450,4,2),LEFT(O450,2))</f>
        <v>109</v>
      </c>
      <c r="U450" s="1" t="s">
        <v>34</v>
      </c>
      <c r="V450" s="1" t="s">
        <v>34</v>
      </c>
      <c r="W450" s="1" t="s">
        <v>34</v>
      </c>
      <c r="X450" s="1" t="s">
        <v>2548</v>
      </c>
      <c r="Y450" s="1">
        <v>5</v>
      </c>
    </row>
    <row r="451" spans="1:25" x14ac:dyDescent="0.3">
      <c r="A451" s="1" t="s">
        <v>636</v>
      </c>
      <c r="B451" s="1" t="s">
        <v>26</v>
      </c>
      <c r="C451" s="1" t="s">
        <v>27</v>
      </c>
      <c r="D451" s="1" t="s">
        <v>28</v>
      </c>
      <c r="E451" s="1" t="s">
        <v>29</v>
      </c>
      <c r="F451" s="1" t="s">
        <v>30</v>
      </c>
      <c r="G451" s="2">
        <v>376.72</v>
      </c>
      <c r="H451" s="1">
        <v>5</v>
      </c>
      <c r="I451" s="1">
        <v>128</v>
      </c>
      <c r="J451" s="1">
        <v>95</v>
      </c>
      <c r="K451" s="1">
        <v>74</v>
      </c>
      <c r="L451" s="1">
        <v>103</v>
      </c>
      <c r="M451" s="1" t="s">
        <v>31</v>
      </c>
      <c r="N451" s="1" t="s">
        <v>42</v>
      </c>
      <c r="O451" s="1" t="s">
        <v>401</v>
      </c>
      <c r="P451" s="2">
        <v>263.7</v>
      </c>
      <c r="Q451" s="1" t="str">
        <f t="shared" si="21"/>
        <v>YES</v>
      </c>
      <c r="R451" s="2">
        <f t="shared" si="22"/>
        <v>339.04800000000006</v>
      </c>
      <c r="S451" s="2">
        <f>J451*G451</f>
        <v>35788.400000000001</v>
      </c>
      <c r="T451" s="1">
        <f t="shared" ca="1" si="23"/>
        <v>110</v>
      </c>
      <c r="U451" s="1" t="s">
        <v>34</v>
      </c>
      <c r="V451" s="1" t="s">
        <v>34</v>
      </c>
      <c r="W451" s="1" t="s">
        <v>34</v>
      </c>
      <c r="X451" s="1" t="s">
        <v>2621</v>
      </c>
      <c r="Y451" s="1">
        <v>5.5</v>
      </c>
    </row>
    <row r="452" spans="1:25" x14ac:dyDescent="0.3">
      <c r="A452" s="1" t="s">
        <v>637</v>
      </c>
      <c r="B452" s="1" t="s">
        <v>262</v>
      </c>
      <c r="C452" s="1" t="s">
        <v>263</v>
      </c>
      <c r="D452" s="1" t="s">
        <v>104</v>
      </c>
      <c r="E452" s="1" t="s">
        <v>74</v>
      </c>
      <c r="F452" s="1" t="s">
        <v>54</v>
      </c>
      <c r="G452" s="2">
        <v>83.68</v>
      </c>
      <c r="H452" s="1">
        <v>25</v>
      </c>
      <c r="I452" s="1">
        <v>290</v>
      </c>
      <c r="J452" s="1">
        <v>252</v>
      </c>
      <c r="K452" s="1">
        <v>52</v>
      </c>
      <c r="L452" s="1">
        <v>82</v>
      </c>
      <c r="M452" s="1" t="s">
        <v>31</v>
      </c>
      <c r="N452" s="1" t="s">
        <v>42</v>
      </c>
      <c r="O452" s="1" t="s">
        <v>161</v>
      </c>
      <c r="P452" s="2">
        <v>58.58</v>
      </c>
      <c r="Q452" s="1" t="str">
        <f t="shared" si="21"/>
        <v>YES</v>
      </c>
      <c r="R452" s="2">
        <f t="shared" si="22"/>
        <v>75.312000000000012</v>
      </c>
      <c r="S452" s="2">
        <f>J452*G452</f>
        <v>21087.360000000001</v>
      </c>
      <c r="T452" s="1">
        <f t="shared" ca="1" si="23"/>
        <v>69</v>
      </c>
      <c r="U452" s="1" t="s">
        <v>34</v>
      </c>
      <c r="V452" s="1" t="s">
        <v>34</v>
      </c>
      <c r="W452" s="1" t="s">
        <v>34</v>
      </c>
      <c r="X452" s="1" t="s">
        <v>2659</v>
      </c>
      <c r="Y452" s="1">
        <v>6</v>
      </c>
    </row>
    <row r="453" spans="1:25" x14ac:dyDescent="0.3">
      <c r="A453" s="1" t="s">
        <v>638</v>
      </c>
      <c r="B453" s="1" t="s">
        <v>192</v>
      </c>
      <c r="C453" s="1" t="s">
        <v>193</v>
      </c>
      <c r="D453" s="1" t="s">
        <v>85</v>
      </c>
      <c r="E453" s="1" t="s">
        <v>40</v>
      </c>
      <c r="F453" s="1" t="s">
        <v>54</v>
      </c>
      <c r="G453" s="2">
        <v>217.68</v>
      </c>
      <c r="H453" s="1">
        <v>22</v>
      </c>
      <c r="I453" s="1">
        <v>197</v>
      </c>
      <c r="J453" s="1">
        <v>161</v>
      </c>
      <c r="K453" s="1">
        <v>76</v>
      </c>
      <c r="L453" s="1">
        <v>77</v>
      </c>
      <c r="M453" s="1" t="s">
        <v>31</v>
      </c>
      <c r="N453" s="1" t="s">
        <v>32</v>
      </c>
      <c r="O453" s="1" t="s">
        <v>473</v>
      </c>
      <c r="P453" s="2">
        <v>152.38</v>
      </c>
      <c r="Q453" s="1" t="str">
        <f t="shared" si="21"/>
        <v>YES</v>
      </c>
      <c r="R453" s="2">
        <f t="shared" si="22"/>
        <v>195.91200000000001</v>
      </c>
      <c r="S453" s="2">
        <f>J453*G453</f>
        <v>35046.480000000003</v>
      </c>
      <c r="T453" s="1">
        <f t="shared" ca="1" si="23"/>
        <v>146</v>
      </c>
      <c r="U453" s="1" t="s">
        <v>34</v>
      </c>
      <c r="V453" s="1" t="s">
        <v>34</v>
      </c>
      <c r="W453" s="1" t="s">
        <v>34</v>
      </c>
      <c r="X453" s="1" t="s">
        <v>2550</v>
      </c>
      <c r="Y453" s="1">
        <v>6.5</v>
      </c>
    </row>
    <row r="454" spans="1:25" x14ac:dyDescent="0.3">
      <c r="A454" s="1" t="s">
        <v>639</v>
      </c>
      <c r="B454" s="1" t="s">
        <v>57</v>
      </c>
      <c r="C454" s="1" t="s">
        <v>58</v>
      </c>
      <c r="D454" s="1" t="s">
        <v>59</v>
      </c>
      <c r="E454" s="1" t="s">
        <v>74</v>
      </c>
      <c r="F454" s="1" t="s">
        <v>48</v>
      </c>
      <c r="G454" s="2">
        <v>71.239999999999995</v>
      </c>
      <c r="H454" s="1">
        <v>21</v>
      </c>
      <c r="I454" s="1">
        <v>134</v>
      </c>
      <c r="J454" s="1">
        <v>128</v>
      </c>
      <c r="K454" s="1">
        <v>42</v>
      </c>
      <c r="L454" s="1">
        <v>98</v>
      </c>
      <c r="M454" s="1" t="s">
        <v>31</v>
      </c>
      <c r="N454" s="1" t="s">
        <v>42</v>
      </c>
      <c r="O454" s="1" t="s">
        <v>410</v>
      </c>
      <c r="P454" s="2">
        <v>49.87</v>
      </c>
      <c r="Q454" s="1" t="str">
        <f t="shared" si="21"/>
        <v>YES</v>
      </c>
      <c r="R454" s="2">
        <f t="shared" si="22"/>
        <v>64.116</v>
      </c>
      <c r="S454" s="2">
        <f>J454*G454</f>
        <v>9118.7199999999993</v>
      </c>
      <c r="T454" s="1">
        <f t="shared" ca="1" si="23"/>
        <v>136</v>
      </c>
      <c r="U454" s="1" t="s">
        <v>34</v>
      </c>
      <c r="V454" s="1" t="s">
        <v>34</v>
      </c>
      <c r="W454" s="1" t="s">
        <v>34</v>
      </c>
      <c r="X454" s="1" t="s">
        <v>2668</v>
      </c>
      <c r="Y454" s="1">
        <v>7</v>
      </c>
    </row>
    <row r="455" spans="1:25" x14ac:dyDescent="0.3">
      <c r="A455" s="1" t="s">
        <v>640</v>
      </c>
      <c r="B455" s="1" t="s">
        <v>63</v>
      </c>
      <c r="C455" s="1" t="s">
        <v>64</v>
      </c>
      <c r="D455" s="1" t="s">
        <v>28</v>
      </c>
      <c r="E455" s="1" t="s">
        <v>29</v>
      </c>
      <c r="F455" s="1" t="s">
        <v>54</v>
      </c>
      <c r="G455" s="2">
        <v>497.51</v>
      </c>
      <c r="H455" s="1">
        <v>7</v>
      </c>
      <c r="I455" s="1">
        <v>91</v>
      </c>
      <c r="J455" s="1">
        <v>83</v>
      </c>
      <c r="K455" s="1">
        <v>67</v>
      </c>
      <c r="L455" s="1">
        <v>90</v>
      </c>
      <c r="M455" s="1" t="s">
        <v>49</v>
      </c>
      <c r="N455" s="1" t="s">
        <v>60</v>
      </c>
      <c r="O455" s="1" t="s">
        <v>220</v>
      </c>
      <c r="P455" s="2">
        <v>348.26</v>
      </c>
      <c r="Q455" s="1" t="str">
        <f t="shared" si="21"/>
        <v>YES</v>
      </c>
      <c r="R455" s="2">
        <f t="shared" si="22"/>
        <v>447.75900000000001</v>
      </c>
      <c r="S455" s="2">
        <f>J455*G455</f>
        <v>41293.33</v>
      </c>
      <c r="T455" s="1">
        <f t="shared" ca="1" si="23"/>
        <v>106</v>
      </c>
      <c r="U455" s="1" t="s">
        <v>34</v>
      </c>
      <c r="V455" s="1" t="s">
        <v>34</v>
      </c>
      <c r="W455" s="1" t="s">
        <v>34</v>
      </c>
      <c r="X455" s="1" t="s">
        <v>2745</v>
      </c>
      <c r="Y455" s="1">
        <v>7.5</v>
      </c>
    </row>
    <row r="456" spans="1:25" x14ac:dyDescent="0.3">
      <c r="A456" s="1" t="s">
        <v>641</v>
      </c>
      <c r="B456" s="1" t="s">
        <v>143</v>
      </c>
      <c r="C456" s="1" t="s">
        <v>144</v>
      </c>
      <c r="D456" s="1" t="s">
        <v>47</v>
      </c>
      <c r="E456" s="1" t="s">
        <v>74</v>
      </c>
      <c r="F456" s="1" t="s">
        <v>48</v>
      </c>
      <c r="G456" s="2">
        <v>359.34</v>
      </c>
      <c r="H456" s="1">
        <v>12</v>
      </c>
      <c r="I456" s="1">
        <v>121</v>
      </c>
      <c r="J456" s="1">
        <v>117</v>
      </c>
      <c r="K456" s="1">
        <v>67</v>
      </c>
      <c r="L456" s="1">
        <v>74</v>
      </c>
      <c r="M456" s="1" t="s">
        <v>31</v>
      </c>
      <c r="N456" s="1" t="s">
        <v>32</v>
      </c>
      <c r="O456" s="1" t="s">
        <v>336</v>
      </c>
      <c r="P456" s="2">
        <v>251.54</v>
      </c>
      <c r="Q456" s="1" t="str">
        <f t="shared" si="21"/>
        <v>YES</v>
      </c>
      <c r="R456" s="2">
        <f t="shared" si="22"/>
        <v>323.40600000000001</v>
      </c>
      <c r="S456" s="2">
        <f>J456*G456</f>
        <v>42042.78</v>
      </c>
      <c r="T456" s="1">
        <f t="shared" ca="1" si="23"/>
        <v>131</v>
      </c>
      <c r="U456" s="1" t="s">
        <v>34</v>
      </c>
      <c r="V456" s="1" t="s">
        <v>34</v>
      </c>
      <c r="W456" s="1" t="s">
        <v>34</v>
      </c>
      <c r="X456" s="1" t="s">
        <v>2603</v>
      </c>
      <c r="Y456" s="1">
        <v>8</v>
      </c>
    </row>
    <row r="457" spans="1:25" x14ac:dyDescent="0.3">
      <c r="A457" s="1" t="s">
        <v>642</v>
      </c>
      <c r="B457" s="1" t="s">
        <v>192</v>
      </c>
      <c r="C457" s="1" t="s">
        <v>193</v>
      </c>
      <c r="D457" s="1" t="s">
        <v>85</v>
      </c>
      <c r="E457" s="1" t="s">
        <v>40</v>
      </c>
      <c r="F457" s="1" t="s">
        <v>30</v>
      </c>
      <c r="G457" s="2">
        <v>63.4</v>
      </c>
      <c r="H457" s="1">
        <v>5</v>
      </c>
      <c r="I457" s="1">
        <v>241</v>
      </c>
      <c r="J457" s="1">
        <v>214</v>
      </c>
      <c r="K457" s="1">
        <v>69</v>
      </c>
      <c r="L457" s="1">
        <v>120</v>
      </c>
      <c r="M457" s="1" t="s">
        <v>49</v>
      </c>
      <c r="N457" s="1" t="s">
        <v>42</v>
      </c>
      <c r="O457" s="1" t="s">
        <v>395</v>
      </c>
      <c r="P457" s="2">
        <v>44.38</v>
      </c>
      <c r="Q457" s="1" t="str">
        <f t="shared" si="21"/>
        <v>YES</v>
      </c>
      <c r="R457" s="2">
        <f t="shared" si="22"/>
        <v>57.06</v>
      </c>
      <c r="S457" s="2">
        <f>J457*G457</f>
        <v>13567.6</v>
      </c>
      <c r="T457" s="1">
        <f t="shared" ca="1" si="23"/>
        <v>101</v>
      </c>
      <c r="U457" s="1" t="s">
        <v>34</v>
      </c>
      <c r="V457" s="1" t="s">
        <v>34</v>
      </c>
      <c r="W457" s="1" t="s">
        <v>34</v>
      </c>
      <c r="X457" s="1" t="s">
        <v>2787</v>
      </c>
      <c r="Y457" s="1">
        <v>8.5</v>
      </c>
    </row>
    <row r="458" spans="1:25" x14ac:dyDescent="0.3">
      <c r="A458" s="1" t="s">
        <v>643</v>
      </c>
      <c r="B458" s="1" t="s">
        <v>26</v>
      </c>
      <c r="C458" s="1" t="s">
        <v>27</v>
      </c>
      <c r="D458" s="1" t="s">
        <v>28</v>
      </c>
      <c r="E458" s="1" t="s">
        <v>29</v>
      </c>
      <c r="F458" s="1" t="s">
        <v>48</v>
      </c>
      <c r="G458" s="2">
        <v>131.03</v>
      </c>
      <c r="H458" s="1">
        <v>7</v>
      </c>
      <c r="I458" s="1">
        <v>177</v>
      </c>
      <c r="J458" s="1">
        <v>161</v>
      </c>
      <c r="K458" s="1">
        <v>77</v>
      </c>
      <c r="L458" s="1">
        <v>88</v>
      </c>
      <c r="M458" s="1" t="s">
        <v>49</v>
      </c>
      <c r="N458" s="1" t="s">
        <v>42</v>
      </c>
      <c r="O458" s="1" t="s">
        <v>178</v>
      </c>
      <c r="P458" s="2">
        <v>91.72</v>
      </c>
      <c r="Q458" s="1" t="str">
        <f t="shared" si="21"/>
        <v>YES</v>
      </c>
      <c r="R458" s="2">
        <f t="shared" si="22"/>
        <v>117.92700000000001</v>
      </c>
      <c r="S458" s="2">
        <f>J458*G458</f>
        <v>21095.83</v>
      </c>
      <c r="T458" s="1">
        <f t="shared" ca="1" si="23"/>
        <v>90</v>
      </c>
      <c r="U458" s="1" t="s">
        <v>34</v>
      </c>
      <c r="V458" s="1" t="s">
        <v>34</v>
      </c>
      <c r="W458" s="1" t="s">
        <v>34</v>
      </c>
      <c r="X458" s="1" t="s">
        <v>2724</v>
      </c>
      <c r="Y458" s="1">
        <v>9</v>
      </c>
    </row>
    <row r="459" spans="1:25" x14ac:dyDescent="0.3">
      <c r="A459" s="1" t="s">
        <v>644</v>
      </c>
      <c r="B459" s="1" t="s">
        <v>107</v>
      </c>
      <c r="C459" s="1" t="s">
        <v>108</v>
      </c>
      <c r="D459" s="1" t="s">
        <v>39</v>
      </c>
      <c r="E459" s="1" t="s">
        <v>74</v>
      </c>
      <c r="F459" s="1" t="s">
        <v>54</v>
      </c>
      <c r="G459" s="2">
        <v>463.35</v>
      </c>
      <c r="H459" s="1">
        <v>3</v>
      </c>
      <c r="I459" s="1">
        <v>211</v>
      </c>
      <c r="J459" s="1">
        <v>188</v>
      </c>
      <c r="K459" s="1">
        <v>100</v>
      </c>
      <c r="L459" s="1">
        <v>64</v>
      </c>
      <c r="M459" s="1" t="s">
        <v>31</v>
      </c>
      <c r="N459" s="1" t="s">
        <v>60</v>
      </c>
      <c r="O459" s="1" t="s">
        <v>272</v>
      </c>
      <c r="P459" s="2">
        <v>324.33999999999997</v>
      </c>
      <c r="Q459" s="1" t="str">
        <f t="shared" si="21"/>
        <v>YES</v>
      </c>
      <c r="R459" s="2">
        <f t="shared" si="22"/>
        <v>417.01500000000004</v>
      </c>
      <c r="S459" s="2">
        <f>J459*G459</f>
        <v>87109.8</v>
      </c>
      <c r="T459" s="1">
        <f t="shared" ca="1" si="23"/>
        <v>72</v>
      </c>
      <c r="U459" s="1" t="s">
        <v>34</v>
      </c>
      <c r="V459" s="1" t="s">
        <v>34</v>
      </c>
      <c r="W459" s="1" t="s">
        <v>34</v>
      </c>
      <c r="X459" s="1" t="s">
        <v>2679</v>
      </c>
      <c r="Y459" s="1">
        <v>9.5</v>
      </c>
    </row>
    <row r="460" spans="1:25" x14ac:dyDescent="0.3">
      <c r="A460" s="1" t="s">
        <v>645</v>
      </c>
      <c r="B460" s="1" t="s">
        <v>107</v>
      </c>
      <c r="C460" s="1" t="s">
        <v>108</v>
      </c>
      <c r="D460" s="1" t="s">
        <v>39</v>
      </c>
      <c r="E460" s="1" t="s">
        <v>74</v>
      </c>
      <c r="F460" s="1" t="s">
        <v>54</v>
      </c>
      <c r="G460" s="2">
        <v>257.07</v>
      </c>
      <c r="H460" s="1">
        <v>4</v>
      </c>
      <c r="I460" s="1">
        <v>261</v>
      </c>
      <c r="J460" s="1">
        <v>228</v>
      </c>
      <c r="K460" s="1">
        <v>83</v>
      </c>
      <c r="L460" s="1">
        <v>75</v>
      </c>
      <c r="M460" s="1" t="s">
        <v>41</v>
      </c>
      <c r="N460" s="1" t="s">
        <v>32</v>
      </c>
      <c r="O460" s="1" t="s">
        <v>384</v>
      </c>
      <c r="P460" s="2">
        <v>179.95</v>
      </c>
      <c r="Q460" s="1" t="str">
        <f t="shared" si="21"/>
        <v>YES</v>
      </c>
      <c r="R460" s="2">
        <f t="shared" si="22"/>
        <v>231.363</v>
      </c>
      <c r="S460" s="2">
        <f>J460*G460</f>
        <v>58611.96</v>
      </c>
      <c r="T460" s="1">
        <f t="shared" ca="1" si="23"/>
        <v>147</v>
      </c>
      <c r="U460" s="1" t="s">
        <v>34</v>
      </c>
      <c r="V460" s="1" t="s">
        <v>34</v>
      </c>
      <c r="W460" s="1" t="s">
        <v>34</v>
      </c>
      <c r="X460" s="1" t="s">
        <v>2619</v>
      </c>
      <c r="Y460" s="1">
        <v>5</v>
      </c>
    </row>
    <row r="461" spans="1:25" x14ac:dyDescent="0.3">
      <c r="A461" s="1" t="s">
        <v>646</v>
      </c>
      <c r="B461" s="1" t="s">
        <v>83</v>
      </c>
      <c r="C461" s="1" t="s">
        <v>84</v>
      </c>
      <c r="D461" s="1" t="s">
        <v>85</v>
      </c>
      <c r="E461" s="1" t="s">
        <v>74</v>
      </c>
      <c r="F461" s="1" t="s">
        <v>48</v>
      </c>
      <c r="G461" s="2">
        <v>85.91</v>
      </c>
      <c r="H461" s="1">
        <v>4</v>
      </c>
      <c r="I461" s="1">
        <v>252</v>
      </c>
      <c r="J461" s="1">
        <v>227</v>
      </c>
      <c r="K461" s="1">
        <v>51</v>
      </c>
      <c r="L461" s="1">
        <v>64</v>
      </c>
      <c r="M461" s="1" t="s">
        <v>41</v>
      </c>
      <c r="N461" s="1" t="s">
        <v>60</v>
      </c>
      <c r="O461" s="1" t="s">
        <v>336</v>
      </c>
      <c r="P461" s="2">
        <v>60.14</v>
      </c>
      <c r="Q461" s="1" t="str">
        <f t="shared" si="21"/>
        <v>YES</v>
      </c>
      <c r="R461" s="2">
        <f t="shared" si="22"/>
        <v>77.319000000000003</v>
      </c>
      <c r="S461" s="2">
        <f>J461*G461</f>
        <v>19501.57</v>
      </c>
      <c r="T461" s="1">
        <f t="shared" ca="1" si="23"/>
        <v>131</v>
      </c>
      <c r="U461" s="1" t="s">
        <v>34</v>
      </c>
      <c r="V461" s="1" t="s">
        <v>34</v>
      </c>
      <c r="W461" s="1" t="s">
        <v>34</v>
      </c>
      <c r="X461" s="1" t="s">
        <v>2726</v>
      </c>
      <c r="Y461" s="1">
        <v>5.5</v>
      </c>
    </row>
    <row r="462" spans="1:25" x14ac:dyDescent="0.3">
      <c r="A462" s="1" t="s">
        <v>647</v>
      </c>
      <c r="B462" s="1" t="s">
        <v>77</v>
      </c>
      <c r="C462" s="1" t="s">
        <v>78</v>
      </c>
      <c r="D462" s="1" t="s">
        <v>47</v>
      </c>
      <c r="E462" s="1" t="s">
        <v>40</v>
      </c>
      <c r="F462" s="1" t="s">
        <v>30</v>
      </c>
      <c r="G462" s="2">
        <v>46.82</v>
      </c>
      <c r="H462" s="1">
        <v>23</v>
      </c>
      <c r="I462" s="1">
        <v>127</v>
      </c>
      <c r="J462" s="1">
        <v>117</v>
      </c>
      <c r="K462" s="1">
        <v>67</v>
      </c>
      <c r="L462" s="1">
        <v>127</v>
      </c>
      <c r="M462" s="1" t="s">
        <v>31</v>
      </c>
      <c r="N462" s="1" t="s">
        <v>42</v>
      </c>
      <c r="O462" s="1" t="s">
        <v>183</v>
      </c>
      <c r="P462" s="2">
        <v>32.770000000000003</v>
      </c>
      <c r="Q462" s="1" t="str">
        <f t="shared" si="21"/>
        <v>YES</v>
      </c>
      <c r="R462" s="2">
        <f t="shared" si="22"/>
        <v>42.137999999999998</v>
      </c>
      <c r="S462" s="2">
        <f>J462*G462</f>
        <v>5477.94</v>
      </c>
      <c r="T462" s="1">
        <f t="shared" ca="1" si="23"/>
        <v>115</v>
      </c>
      <c r="U462" s="1" t="s">
        <v>34</v>
      </c>
      <c r="V462" s="1" t="s">
        <v>34</v>
      </c>
      <c r="W462" s="1" t="s">
        <v>34</v>
      </c>
      <c r="X462" s="1" t="s">
        <v>2788</v>
      </c>
      <c r="Y462" s="1">
        <v>6</v>
      </c>
    </row>
    <row r="463" spans="1:25" x14ac:dyDescent="0.3">
      <c r="A463" s="1" t="s">
        <v>648</v>
      </c>
      <c r="B463" s="1" t="s">
        <v>126</v>
      </c>
      <c r="C463" s="1" t="s">
        <v>127</v>
      </c>
      <c r="D463" s="1" t="s">
        <v>85</v>
      </c>
      <c r="E463" s="1" t="s">
        <v>40</v>
      </c>
      <c r="F463" s="1" t="s">
        <v>48</v>
      </c>
      <c r="G463" s="2">
        <v>165.56</v>
      </c>
      <c r="H463" s="1">
        <v>10</v>
      </c>
      <c r="I463" s="1">
        <v>269</v>
      </c>
      <c r="J463" s="1">
        <v>268</v>
      </c>
      <c r="K463" s="1">
        <v>84</v>
      </c>
      <c r="L463" s="1">
        <v>129</v>
      </c>
      <c r="M463" s="1" t="s">
        <v>31</v>
      </c>
      <c r="N463" s="1" t="s">
        <v>60</v>
      </c>
      <c r="O463" s="1" t="s">
        <v>65</v>
      </c>
      <c r="P463" s="2">
        <v>115.89</v>
      </c>
      <c r="Q463" s="1" t="str">
        <f t="shared" si="21"/>
        <v>YES</v>
      </c>
      <c r="R463" s="2">
        <f t="shared" si="22"/>
        <v>149.00400000000002</v>
      </c>
      <c r="S463" s="2">
        <f>J463*G463</f>
        <v>44370.080000000002</v>
      </c>
      <c r="T463" s="1">
        <f t="shared" ca="1" si="23"/>
        <v>142</v>
      </c>
      <c r="U463" s="1" t="s">
        <v>34</v>
      </c>
      <c r="V463" s="1" t="s">
        <v>34</v>
      </c>
      <c r="W463" s="1" t="s">
        <v>34</v>
      </c>
      <c r="X463" s="1" t="s">
        <v>2789</v>
      </c>
      <c r="Y463" s="1">
        <v>6.5</v>
      </c>
    </row>
    <row r="464" spans="1:25" x14ac:dyDescent="0.3">
      <c r="A464" s="1" t="s">
        <v>649</v>
      </c>
      <c r="B464" s="1" t="s">
        <v>63</v>
      </c>
      <c r="C464" s="1" t="s">
        <v>64</v>
      </c>
      <c r="D464" s="1" t="s">
        <v>28</v>
      </c>
      <c r="E464" s="1" t="s">
        <v>40</v>
      </c>
      <c r="F464" s="1" t="s">
        <v>54</v>
      </c>
      <c r="G464" s="2">
        <v>241.1</v>
      </c>
      <c r="H464" s="1">
        <v>20</v>
      </c>
      <c r="I464" s="1">
        <v>133</v>
      </c>
      <c r="J464" s="1">
        <v>115</v>
      </c>
      <c r="K464" s="1">
        <v>97</v>
      </c>
      <c r="L464" s="1">
        <v>112</v>
      </c>
      <c r="M464" s="1" t="s">
        <v>41</v>
      </c>
      <c r="N464" s="1" t="s">
        <v>42</v>
      </c>
      <c r="O464" s="1" t="s">
        <v>272</v>
      </c>
      <c r="P464" s="2">
        <v>168.77</v>
      </c>
      <c r="Q464" s="1" t="str">
        <f t="shared" si="21"/>
        <v>YES</v>
      </c>
      <c r="R464" s="2">
        <f t="shared" si="22"/>
        <v>216.99</v>
      </c>
      <c r="S464" s="2">
        <f>J464*G464</f>
        <v>27726.5</v>
      </c>
      <c r="T464" s="1">
        <f t="shared" ca="1" si="23"/>
        <v>72</v>
      </c>
      <c r="U464" s="1" t="s">
        <v>34</v>
      </c>
      <c r="V464" s="1" t="s">
        <v>34</v>
      </c>
      <c r="W464" s="1" t="s">
        <v>34</v>
      </c>
      <c r="X464" s="1" t="s">
        <v>2656</v>
      </c>
      <c r="Y464" s="1">
        <v>7</v>
      </c>
    </row>
    <row r="465" spans="1:25" x14ac:dyDescent="0.3">
      <c r="A465" s="1" t="s">
        <v>650</v>
      </c>
      <c r="B465" s="1" t="s">
        <v>189</v>
      </c>
      <c r="C465" s="1" t="s">
        <v>190</v>
      </c>
      <c r="D465" s="1" t="s">
        <v>59</v>
      </c>
      <c r="E465" s="1" t="s">
        <v>29</v>
      </c>
      <c r="F465" s="1" t="s">
        <v>30</v>
      </c>
      <c r="G465" s="2">
        <v>485.74</v>
      </c>
      <c r="H465" s="1">
        <v>11</v>
      </c>
      <c r="I465" s="1">
        <v>203</v>
      </c>
      <c r="J465" s="1">
        <v>179</v>
      </c>
      <c r="K465" s="1">
        <v>98</v>
      </c>
      <c r="L465" s="1">
        <v>101</v>
      </c>
      <c r="M465" s="1" t="s">
        <v>49</v>
      </c>
      <c r="N465" s="1" t="s">
        <v>32</v>
      </c>
      <c r="O465" s="1" t="s">
        <v>50</v>
      </c>
      <c r="P465" s="2">
        <v>340.02</v>
      </c>
      <c r="Q465" s="1" t="str">
        <f t="shared" si="21"/>
        <v>YES</v>
      </c>
      <c r="R465" s="2">
        <f t="shared" si="22"/>
        <v>437.166</v>
      </c>
      <c r="S465" s="2">
        <f>J465*G465</f>
        <v>86947.46</v>
      </c>
      <c r="T465" s="1">
        <f t="shared" ca="1" si="23"/>
        <v>114</v>
      </c>
      <c r="U465" s="1" t="s">
        <v>34</v>
      </c>
      <c r="V465" s="1" t="s">
        <v>34</v>
      </c>
      <c r="W465" s="1" t="s">
        <v>34</v>
      </c>
      <c r="X465" s="1" t="s">
        <v>2723</v>
      </c>
      <c r="Y465" s="1">
        <v>7.5</v>
      </c>
    </row>
    <row r="466" spans="1:25" x14ac:dyDescent="0.3">
      <c r="A466" s="1" t="s">
        <v>651</v>
      </c>
      <c r="B466" s="1" t="s">
        <v>123</v>
      </c>
      <c r="C466" s="1" t="s">
        <v>124</v>
      </c>
      <c r="D466" s="1" t="s">
        <v>47</v>
      </c>
      <c r="E466" s="1" t="s">
        <v>74</v>
      </c>
      <c r="F466" s="1" t="s">
        <v>48</v>
      </c>
      <c r="G466" s="2">
        <v>94.66</v>
      </c>
      <c r="H466" s="1">
        <v>2</v>
      </c>
      <c r="I466" s="1">
        <v>145</v>
      </c>
      <c r="J466" s="1">
        <v>134</v>
      </c>
      <c r="K466" s="1">
        <v>59</v>
      </c>
      <c r="L466" s="1">
        <v>60</v>
      </c>
      <c r="M466" s="1" t="s">
        <v>41</v>
      </c>
      <c r="N466" s="1" t="s">
        <v>32</v>
      </c>
      <c r="O466" s="1" t="s">
        <v>65</v>
      </c>
      <c r="P466" s="2">
        <v>66.260000000000005</v>
      </c>
      <c r="Q466" s="1" t="str">
        <f t="shared" si="21"/>
        <v>YES</v>
      </c>
      <c r="R466" s="2">
        <f t="shared" si="22"/>
        <v>85.194000000000003</v>
      </c>
      <c r="S466" s="2">
        <f>J466*G466</f>
        <v>12684.439999999999</v>
      </c>
      <c r="T466" s="1">
        <f t="shared" ca="1" si="23"/>
        <v>142</v>
      </c>
      <c r="U466" s="1" t="s">
        <v>34</v>
      </c>
      <c r="V466" s="1" t="s">
        <v>34</v>
      </c>
      <c r="W466" s="1" t="s">
        <v>34</v>
      </c>
      <c r="X466" s="1" t="s">
        <v>2567</v>
      </c>
      <c r="Y466" s="1">
        <v>8</v>
      </c>
    </row>
    <row r="467" spans="1:25" x14ac:dyDescent="0.3">
      <c r="A467" s="1" t="s">
        <v>652</v>
      </c>
      <c r="B467" s="1" t="s">
        <v>143</v>
      </c>
      <c r="C467" s="1" t="s">
        <v>144</v>
      </c>
      <c r="D467" s="1" t="s">
        <v>47</v>
      </c>
      <c r="E467" s="1" t="s">
        <v>74</v>
      </c>
      <c r="F467" s="1" t="s">
        <v>54</v>
      </c>
      <c r="G467" s="2">
        <v>389.6</v>
      </c>
      <c r="H467" s="1">
        <v>8</v>
      </c>
      <c r="I467" s="1">
        <v>287</v>
      </c>
      <c r="J467" s="1">
        <v>273</v>
      </c>
      <c r="K467" s="1">
        <v>76</v>
      </c>
      <c r="L467" s="1">
        <v>116</v>
      </c>
      <c r="M467" s="1" t="s">
        <v>49</v>
      </c>
      <c r="N467" s="1" t="s">
        <v>42</v>
      </c>
      <c r="O467" s="1" t="s">
        <v>395</v>
      </c>
      <c r="P467" s="2">
        <v>272.72000000000003</v>
      </c>
      <c r="Q467" s="1" t="str">
        <f t="shared" si="21"/>
        <v>YES</v>
      </c>
      <c r="R467" s="2">
        <f t="shared" si="22"/>
        <v>350.64000000000004</v>
      </c>
      <c r="S467" s="2">
        <f>J467*G467</f>
        <v>106360.8</v>
      </c>
      <c r="T467" s="1">
        <f t="shared" ca="1" si="23"/>
        <v>101</v>
      </c>
      <c r="U467" s="1" t="s">
        <v>34</v>
      </c>
      <c r="V467" s="1" t="s">
        <v>34</v>
      </c>
      <c r="W467" s="1" t="s">
        <v>34</v>
      </c>
      <c r="X467" s="1" t="s">
        <v>2790</v>
      </c>
      <c r="Y467" s="1">
        <v>8.5</v>
      </c>
    </row>
    <row r="468" spans="1:25" x14ac:dyDescent="0.3">
      <c r="A468" s="1" t="s">
        <v>653</v>
      </c>
      <c r="B468" s="1" t="s">
        <v>111</v>
      </c>
      <c r="C468" s="1" t="s">
        <v>112</v>
      </c>
      <c r="D468" s="1" t="s">
        <v>97</v>
      </c>
      <c r="E468" s="1" t="s">
        <v>40</v>
      </c>
      <c r="F468" s="1" t="s">
        <v>30</v>
      </c>
      <c r="G468" s="2">
        <v>419.24</v>
      </c>
      <c r="H468" s="1">
        <v>9</v>
      </c>
      <c r="I468" s="1">
        <v>244</v>
      </c>
      <c r="J468" s="1">
        <v>227</v>
      </c>
      <c r="K468" s="1">
        <v>104</v>
      </c>
      <c r="L468" s="1">
        <v>64</v>
      </c>
      <c r="M468" s="1" t="s">
        <v>41</v>
      </c>
      <c r="N468" s="1" t="s">
        <v>42</v>
      </c>
      <c r="O468" s="1" t="s">
        <v>137</v>
      </c>
      <c r="P468" s="2">
        <v>293.47000000000003</v>
      </c>
      <c r="Q468" s="1" t="str">
        <f t="shared" si="21"/>
        <v>YES</v>
      </c>
      <c r="R468" s="2">
        <f t="shared" si="22"/>
        <v>377.31600000000003</v>
      </c>
      <c r="S468" s="2">
        <f>J468*G468</f>
        <v>95167.48</v>
      </c>
      <c r="T468" s="1">
        <f t="shared" ca="1" si="23"/>
        <v>107</v>
      </c>
      <c r="U468" s="1" t="s">
        <v>34</v>
      </c>
      <c r="V468" s="1" t="s">
        <v>34</v>
      </c>
      <c r="W468" s="1" t="s">
        <v>34</v>
      </c>
      <c r="X468" s="1" t="s">
        <v>2633</v>
      </c>
      <c r="Y468" s="1">
        <v>9</v>
      </c>
    </row>
    <row r="469" spans="1:25" x14ac:dyDescent="0.3">
      <c r="A469" s="1" t="s">
        <v>654</v>
      </c>
      <c r="B469" s="1" t="s">
        <v>262</v>
      </c>
      <c r="C469" s="1" t="s">
        <v>263</v>
      </c>
      <c r="D469" s="1" t="s">
        <v>104</v>
      </c>
      <c r="E469" s="1" t="s">
        <v>40</v>
      </c>
      <c r="F469" s="1" t="s">
        <v>48</v>
      </c>
      <c r="G469" s="2">
        <v>348.84</v>
      </c>
      <c r="H469" s="1">
        <v>10</v>
      </c>
      <c r="I469" s="1">
        <v>169</v>
      </c>
      <c r="J469" s="1">
        <v>154</v>
      </c>
      <c r="K469" s="1">
        <v>98</v>
      </c>
      <c r="L469" s="1">
        <v>130</v>
      </c>
      <c r="M469" s="1" t="s">
        <v>31</v>
      </c>
      <c r="N469" s="1" t="s">
        <v>60</v>
      </c>
      <c r="O469" s="1" t="s">
        <v>170</v>
      </c>
      <c r="P469" s="2">
        <v>244.19</v>
      </c>
      <c r="Q469" s="1" t="str">
        <f t="shared" si="21"/>
        <v>YES</v>
      </c>
      <c r="R469" s="2">
        <f t="shared" si="22"/>
        <v>313.95599999999996</v>
      </c>
      <c r="S469" s="2">
        <f>J469*G469</f>
        <v>53721.359999999993</v>
      </c>
      <c r="T469" s="1">
        <f t="shared" ca="1" si="23"/>
        <v>95</v>
      </c>
      <c r="U469" s="1" t="s">
        <v>34</v>
      </c>
      <c r="V469" s="1" t="s">
        <v>34</v>
      </c>
      <c r="W469" s="1" t="s">
        <v>34</v>
      </c>
      <c r="X469" s="1" t="s">
        <v>2627</v>
      </c>
      <c r="Y469" s="1">
        <v>9.5</v>
      </c>
    </row>
    <row r="470" spans="1:25" x14ac:dyDescent="0.3">
      <c r="A470" s="1" t="s">
        <v>655</v>
      </c>
      <c r="B470" s="1" t="s">
        <v>69</v>
      </c>
      <c r="C470" s="1" t="s">
        <v>70</v>
      </c>
      <c r="D470" s="1" t="s">
        <v>59</v>
      </c>
      <c r="E470" s="1" t="s">
        <v>29</v>
      </c>
      <c r="F470" s="1" t="s">
        <v>48</v>
      </c>
      <c r="G470" s="2">
        <v>359.25</v>
      </c>
      <c r="H470" s="1">
        <v>4</v>
      </c>
      <c r="I470" s="1">
        <v>258</v>
      </c>
      <c r="J470" s="1">
        <v>247</v>
      </c>
      <c r="K470" s="1">
        <v>111</v>
      </c>
      <c r="L470" s="1">
        <v>51</v>
      </c>
      <c r="M470" s="1" t="s">
        <v>41</v>
      </c>
      <c r="N470" s="1" t="s">
        <v>60</v>
      </c>
      <c r="O470" s="1" t="s">
        <v>260</v>
      </c>
      <c r="P470" s="2">
        <v>251.47</v>
      </c>
      <c r="Q470" s="1" t="str">
        <f t="shared" si="21"/>
        <v>YES</v>
      </c>
      <c r="R470" s="2">
        <f t="shared" si="22"/>
        <v>323.32499999999999</v>
      </c>
      <c r="S470" s="2">
        <f>J470*G470</f>
        <v>88734.75</v>
      </c>
      <c r="T470" s="1">
        <f t="shared" ca="1" si="23"/>
        <v>70</v>
      </c>
      <c r="U470" s="1" t="s">
        <v>34</v>
      </c>
      <c r="V470" s="1" t="s">
        <v>34</v>
      </c>
      <c r="W470" s="1" t="s">
        <v>34</v>
      </c>
      <c r="X470" s="1" t="s">
        <v>2791</v>
      </c>
      <c r="Y470" s="1">
        <v>5</v>
      </c>
    </row>
    <row r="471" spans="1:25" x14ac:dyDescent="0.3">
      <c r="A471" s="1" t="s">
        <v>656</v>
      </c>
      <c r="B471" s="1" t="s">
        <v>69</v>
      </c>
      <c r="C471" s="1" t="s">
        <v>70</v>
      </c>
      <c r="D471" s="1" t="s">
        <v>59</v>
      </c>
      <c r="E471" s="1" t="s">
        <v>40</v>
      </c>
      <c r="F471" s="1" t="s">
        <v>48</v>
      </c>
      <c r="G471" s="2">
        <v>212.15</v>
      </c>
      <c r="H471" s="1">
        <v>22</v>
      </c>
      <c r="I471" s="1">
        <v>149</v>
      </c>
      <c r="J471" s="1">
        <v>135</v>
      </c>
      <c r="K471" s="1">
        <v>80</v>
      </c>
      <c r="L471" s="1">
        <v>78</v>
      </c>
      <c r="M471" s="1" t="s">
        <v>31</v>
      </c>
      <c r="N471" s="1" t="s">
        <v>60</v>
      </c>
      <c r="O471" s="1" t="s">
        <v>311</v>
      </c>
      <c r="P471" s="2">
        <v>148.5</v>
      </c>
      <c r="Q471" s="1" t="str">
        <f t="shared" si="21"/>
        <v>YES</v>
      </c>
      <c r="R471" s="2">
        <f t="shared" si="22"/>
        <v>190.935</v>
      </c>
      <c r="S471" s="2">
        <f>J471*G471</f>
        <v>28640.25</v>
      </c>
      <c r="T471" s="1">
        <f t="shared" ca="1" si="23"/>
        <v>80</v>
      </c>
      <c r="U471" s="1" t="s">
        <v>34</v>
      </c>
      <c r="V471" s="1" t="s">
        <v>34</v>
      </c>
      <c r="W471" s="1" t="s">
        <v>34</v>
      </c>
      <c r="X471" s="1" t="s">
        <v>2728</v>
      </c>
      <c r="Y471" s="1">
        <v>5.5</v>
      </c>
    </row>
    <row r="472" spans="1:25" x14ac:dyDescent="0.3">
      <c r="A472" s="1" t="s">
        <v>657</v>
      </c>
      <c r="B472" s="1" t="s">
        <v>69</v>
      </c>
      <c r="C472" s="1" t="s">
        <v>70</v>
      </c>
      <c r="D472" s="1" t="s">
        <v>59</v>
      </c>
      <c r="E472" s="1" t="s">
        <v>74</v>
      </c>
      <c r="F472" s="1" t="s">
        <v>30</v>
      </c>
      <c r="G472" s="2">
        <v>277.22000000000003</v>
      </c>
      <c r="H472" s="1">
        <v>13</v>
      </c>
      <c r="I472" s="1">
        <v>100</v>
      </c>
      <c r="J472" s="1">
        <v>99</v>
      </c>
      <c r="K472" s="1">
        <v>98</v>
      </c>
      <c r="L472" s="1">
        <v>138</v>
      </c>
      <c r="M472" s="1" t="s">
        <v>31</v>
      </c>
      <c r="N472" s="1" t="s">
        <v>32</v>
      </c>
      <c r="O472" s="1" t="s">
        <v>289</v>
      </c>
      <c r="P472" s="2">
        <v>194.05</v>
      </c>
      <c r="Q472" s="1" t="str">
        <f t="shared" si="21"/>
        <v>YES</v>
      </c>
      <c r="R472" s="2">
        <f t="shared" si="22"/>
        <v>249.49800000000002</v>
      </c>
      <c r="S472" s="2">
        <f>J472*G472</f>
        <v>27444.780000000002</v>
      </c>
      <c r="T472" s="1">
        <f t="shared" ca="1" si="23"/>
        <v>92</v>
      </c>
      <c r="U472" s="1" t="s">
        <v>34</v>
      </c>
      <c r="V472" s="1" t="s">
        <v>34</v>
      </c>
      <c r="W472" s="1" t="s">
        <v>34</v>
      </c>
      <c r="X472" s="1" t="s">
        <v>2693</v>
      </c>
      <c r="Y472" s="1">
        <v>6</v>
      </c>
    </row>
    <row r="473" spans="1:25" x14ac:dyDescent="0.3">
      <c r="A473" s="1" t="s">
        <v>658</v>
      </c>
      <c r="B473" s="1" t="s">
        <v>83</v>
      </c>
      <c r="C473" s="1" t="s">
        <v>84</v>
      </c>
      <c r="D473" s="1" t="s">
        <v>85</v>
      </c>
      <c r="E473" s="1" t="s">
        <v>74</v>
      </c>
      <c r="F473" s="1" t="s">
        <v>48</v>
      </c>
      <c r="G473" s="2">
        <v>197.1</v>
      </c>
      <c r="H473" s="1">
        <v>7</v>
      </c>
      <c r="I473" s="1">
        <v>110</v>
      </c>
      <c r="J473" s="1">
        <v>107</v>
      </c>
      <c r="K473" s="1">
        <v>94</v>
      </c>
      <c r="L473" s="1">
        <v>113</v>
      </c>
      <c r="M473" s="1" t="s">
        <v>41</v>
      </c>
      <c r="N473" s="1" t="s">
        <v>60</v>
      </c>
      <c r="O473" s="1" t="s">
        <v>347</v>
      </c>
      <c r="P473" s="2">
        <v>137.97</v>
      </c>
      <c r="Q473" s="1" t="str">
        <f t="shared" si="21"/>
        <v>YES</v>
      </c>
      <c r="R473" s="2">
        <f t="shared" si="22"/>
        <v>177.39</v>
      </c>
      <c r="S473" s="2">
        <f>J473*G473</f>
        <v>21089.7</v>
      </c>
      <c r="T473" s="1">
        <f t="shared" ca="1" si="23"/>
        <v>79</v>
      </c>
      <c r="U473" s="1" t="s">
        <v>34</v>
      </c>
      <c r="V473" s="1" t="s">
        <v>34</v>
      </c>
      <c r="W473" s="1" t="s">
        <v>34</v>
      </c>
      <c r="X473" s="1" t="s">
        <v>2696</v>
      </c>
      <c r="Y473" s="1">
        <v>6.5</v>
      </c>
    </row>
    <row r="474" spans="1:25" x14ac:dyDescent="0.3">
      <c r="A474" s="1" t="s">
        <v>659</v>
      </c>
      <c r="B474" s="1" t="s">
        <v>72</v>
      </c>
      <c r="C474" s="1" t="s">
        <v>73</v>
      </c>
      <c r="D474" s="1" t="s">
        <v>47</v>
      </c>
      <c r="E474" s="1" t="s">
        <v>29</v>
      </c>
      <c r="F474" s="1" t="s">
        <v>54</v>
      </c>
      <c r="G474" s="2">
        <v>407.16</v>
      </c>
      <c r="H474" s="1">
        <v>16</v>
      </c>
      <c r="I474" s="1">
        <v>96</v>
      </c>
      <c r="J474" s="1">
        <v>96</v>
      </c>
      <c r="K474" s="1">
        <v>58</v>
      </c>
      <c r="L474" s="1">
        <v>76</v>
      </c>
      <c r="M474" s="1" t="s">
        <v>41</v>
      </c>
      <c r="N474" s="1" t="s">
        <v>32</v>
      </c>
      <c r="O474" s="1" t="s">
        <v>209</v>
      </c>
      <c r="P474" s="2">
        <v>285.01</v>
      </c>
      <c r="Q474" s="1" t="str">
        <f t="shared" si="21"/>
        <v>YES</v>
      </c>
      <c r="R474" s="2">
        <f t="shared" si="22"/>
        <v>366.44400000000002</v>
      </c>
      <c r="S474" s="2">
        <f>J474*G474</f>
        <v>39087.360000000001</v>
      </c>
      <c r="T474" s="1">
        <f t="shared" ca="1" si="23"/>
        <v>127</v>
      </c>
      <c r="U474" s="1" t="s">
        <v>34</v>
      </c>
      <c r="V474" s="1" t="s">
        <v>34</v>
      </c>
      <c r="W474" s="1" t="s">
        <v>34</v>
      </c>
      <c r="X474" s="1" t="s">
        <v>2709</v>
      </c>
      <c r="Y474" s="1">
        <v>7</v>
      </c>
    </row>
    <row r="475" spans="1:25" x14ac:dyDescent="0.3">
      <c r="A475" s="1" t="s">
        <v>660</v>
      </c>
      <c r="B475" s="1" t="s">
        <v>37</v>
      </c>
      <c r="C475" s="1" t="s">
        <v>38</v>
      </c>
      <c r="D475" s="1" t="s">
        <v>39</v>
      </c>
      <c r="E475" s="1" t="s">
        <v>29</v>
      </c>
      <c r="F475" s="1" t="s">
        <v>30</v>
      </c>
      <c r="G475" s="2">
        <v>305.81</v>
      </c>
      <c r="H475" s="1">
        <v>16</v>
      </c>
      <c r="I475" s="1">
        <v>286</v>
      </c>
      <c r="J475" s="1">
        <v>249</v>
      </c>
      <c r="K475" s="1">
        <v>68</v>
      </c>
      <c r="L475" s="1">
        <v>110</v>
      </c>
      <c r="M475" s="1" t="s">
        <v>41</v>
      </c>
      <c r="N475" s="1" t="s">
        <v>32</v>
      </c>
      <c r="O475" s="1" t="s">
        <v>75</v>
      </c>
      <c r="P475" s="2">
        <v>214.07</v>
      </c>
      <c r="Q475" s="1" t="str">
        <f t="shared" si="21"/>
        <v>YES</v>
      </c>
      <c r="R475" s="2">
        <f t="shared" si="22"/>
        <v>275.22899999999998</v>
      </c>
      <c r="S475" s="2">
        <f>J475*G475</f>
        <v>76146.69</v>
      </c>
      <c r="T475" s="1">
        <f t="shared" ca="1" si="23"/>
        <v>123</v>
      </c>
      <c r="U475" s="1" t="s">
        <v>34</v>
      </c>
      <c r="V475" s="1" t="s">
        <v>34</v>
      </c>
      <c r="W475" s="1" t="s">
        <v>34</v>
      </c>
      <c r="X475" s="1" t="s">
        <v>2641</v>
      </c>
      <c r="Y475" s="1">
        <v>7.5</v>
      </c>
    </row>
    <row r="476" spans="1:25" x14ac:dyDescent="0.3">
      <c r="A476" s="1" t="s">
        <v>661</v>
      </c>
      <c r="B476" s="1" t="s">
        <v>262</v>
      </c>
      <c r="C476" s="1" t="s">
        <v>263</v>
      </c>
      <c r="D476" s="1" t="s">
        <v>104</v>
      </c>
      <c r="E476" s="1" t="s">
        <v>74</v>
      </c>
      <c r="F476" s="1" t="s">
        <v>48</v>
      </c>
      <c r="G476" s="2">
        <v>389.14</v>
      </c>
      <c r="H476" s="1">
        <v>21</v>
      </c>
      <c r="I476" s="1">
        <v>149</v>
      </c>
      <c r="J476" s="1">
        <v>144</v>
      </c>
      <c r="K476" s="1">
        <v>113</v>
      </c>
      <c r="L476" s="1">
        <v>128</v>
      </c>
      <c r="M476" s="1" t="s">
        <v>41</v>
      </c>
      <c r="N476" s="1" t="s">
        <v>60</v>
      </c>
      <c r="O476" s="1" t="s">
        <v>164</v>
      </c>
      <c r="P476" s="2">
        <v>272.39999999999998</v>
      </c>
      <c r="Q476" s="1" t="str">
        <f t="shared" si="21"/>
        <v>YES</v>
      </c>
      <c r="R476" s="2">
        <f t="shared" si="22"/>
        <v>350.226</v>
      </c>
      <c r="S476" s="2">
        <f>J476*G476</f>
        <v>56036.159999999996</v>
      </c>
      <c r="T476" s="1">
        <f t="shared" ca="1" si="23"/>
        <v>126</v>
      </c>
      <c r="U476" s="1" t="s">
        <v>34</v>
      </c>
      <c r="V476" s="1" t="s">
        <v>34</v>
      </c>
      <c r="W476" s="1" t="s">
        <v>34</v>
      </c>
      <c r="X476" s="1" t="s">
        <v>2531</v>
      </c>
      <c r="Y476" s="1">
        <v>8</v>
      </c>
    </row>
    <row r="477" spans="1:25" x14ac:dyDescent="0.3">
      <c r="A477" s="1" t="s">
        <v>662</v>
      </c>
      <c r="B477" s="1" t="s">
        <v>192</v>
      </c>
      <c r="C477" s="1" t="s">
        <v>193</v>
      </c>
      <c r="D477" s="1" t="s">
        <v>85</v>
      </c>
      <c r="E477" s="1" t="s">
        <v>29</v>
      </c>
      <c r="F477" s="1" t="s">
        <v>48</v>
      </c>
      <c r="G477" s="2">
        <v>230.95</v>
      </c>
      <c r="H477" s="1">
        <v>23</v>
      </c>
      <c r="I477" s="1">
        <v>276</v>
      </c>
      <c r="J477" s="1">
        <v>276</v>
      </c>
      <c r="K477" s="1">
        <v>71</v>
      </c>
      <c r="L477" s="1">
        <v>129</v>
      </c>
      <c r="M477" s="1" t="s">
        <v>41</v>
      </c>
      <c r="N477" s="1" t="s">
        <v>32</v>
      </c>
      <c r="O477" s="1" t="s">
        <v>159</v>
      </c>
      <c r="P477" s="2">
        <v>161.66</v>
      </c>
      <c r="Q477" s="1" t="str">
        <f t="shared" si="21"/>
        <v>YES</v>
      </c>
      <c r="R477" s="2">
        <f t="shared" si="22"/>
        <v>207.85499999999999</v>
      </c>
      <c r="S477" s="2">
        <f>J477*G477</f>
        <v>63742.2</v>
      </c>
      <c r="T477" s="1">
        <f t="shared" ca="1" si="23"/>
        <v>134</v>
      </c>
      <c r="U477" s="1" t="s">
        <v>34</v>
      </c>
      <c r="V477" s="1" t="s">
        <v>34</v>
      </c>
      <c r="W477" s="1" t="s">
        <v>34</v>
      </c>
      <c r="X477" s="1" t="s">
        <v>2792</v>
      </c>
      <c r="Y477" s="1">
        <v>8.5</v>
      </c>
    </row>
    <row r="478" spans="1:25" x14ac:dyDescent="0.3">
      <c r="A478" s="1" t="s">
        <v>663</v>
      </c>
      <c r="B478" s="1" t="s">
        <v>123</v>
      </c>
      <c r="C478" s="1" t="s">
        <v>124</v>
      </c>
      <c r="D478" s="1" t="s">
        <v>47</v>
      </c>
      <c r="E478" s="1" t="s">
        <v>74</v>
      </c>
      <c r="F478" s="1" t="s">
        <v>54</v>
      </c>
      <c r="G478" s="2">
        <v>382.23</v>
      </c>
      <c r="H478" s="1">
        <v>11</v>
      </c>
      <c r="I478" s="1">
        <v>262</v>
      </c>
      <c r="J478" s="1">
        <v>255</v>
      </c>
      <c r="K478" s="1">
        <v>84</v>
      </c>
      <c r="L478" s="1">
        <v>122</v>
      </c>
      <c r="M478" s="1" t="s">
        <v>31</v>
      </c>
      <c r="N478" s="1" t="s">
        <v>60</v>
      </c>
      <c r="O478" s="1" t="s">
        <v>311</v>
      </c>
      <c r="P478" s="2">
        <v>267.56</v>
      </c>
      <c r="Q478" s="1" t="str">
        <f t="shared" si="21"/>
        <v>YES</v>
      </c>
      <c r="R478" s="2">
        <f t="shared" si="22"/>
        <v>344.00700000000001</v>
      </c>
      <c r="S478" s="2">
        <f>J478*G478</f>
        <v>97468.650000000009</v>
      </c>
      <c r="T478" s="1">
        <f t="shared" ca="1" si="23"/>
        <v>80</v>
      </c>
      <c r="U478" s="1" t="s">
        <v>34</v>
      </c>
      <c r="V478" s="1" t="s">
        <v>34</v>
      </c>
      <c r="W478" s="1" t="s">
        <v>34</v>
      </c>
      <c r="X478" s="1" t="s">
        <v>2752</v>
      </c>
      <c r="Y478" s="1">
        <v>9</v>
      </c>
    </row>
    <row r="479" spans="1:25" x14ac:dyDescent="0.3">
      <c r="A479" s="1" t="s">
        <v>664</v>
      </c>
      <c r="B479" s="1" t="s">
        <v>95</v>
      </c>
      <c r="C479" s="1" t="s">
        <v>96</v>
      </c>
      <c r="D479" s="1" t="s">
        <v>97</v>
      </c>
      <c r="E479" s="1" t="s">
        <v>74</v>
      </c>
      <c r="F479" s="1" t="s">
        <v>54</v>
      </c>
      <c r="G479" s="2">
        <v>115.58</v>
      </c>
      <c r="H479" s="1">
        <v>3</v>
      </c>
      <c r="I479" s="1">
        <v>222</v>
      </c>
      <c r="J479" s="1">
        <v>214</v>
      </c>
      <c r="K479" s="1">
        <v>69</v>
      </c>
      <c r="L479" s="1">
        <v>62</v>
      </c>
      <c r="M479" s="1" t="s">
        <v>31</v>
      </c>
      <c r="N479" s="1" t="s">
        <v>32</v>
      </c>
      <c r="O479" s="1" t="s">
        <v>292</v>
      </c>
      <c r="P479" s="2">
        <v>80.91</v>
      </c>
      <c r="Q479" s="1" t="str">
        <f t="shared" si="21"/>
        <v>YES</v>
      </c>
      <c r="R479" s="2">
        <f t="shared" si="22"/>
        <v>104.02200000000001</v>
      </c>
      <c r="S479" s="2">
        <f>J479*G479</f>
        <v>24734.12</v>
      </c>
      <c r="T479" s="1">
        <f t="shared" ca="1" si="23"/>
        <v>83</v>
      </c>
      <c r="U479" s="1" t="s">
        <v>34</v>
      </c>
      <c r="V479" s="1" t="s">
        <v>34</v>
      </c>
      <c r="W479" s="1" t="s">
        <v>34</v>
      </c>
      <c r="X479" s="1" t="s">
        <v>2583</v>
      </c>
      <c r="Y479" s="1">
        <v>9.5</v>
      </c>
    </row>
    <row r="480" spans="1:25" x14ac:dyDescent="0.3">
      <c r="A480" s="1" t="s">
        <v>665</v>
      </c>
      <c r="B480" s="1" t="s">
        <v>102</v>
      </c>
      <c r="C480" s="1" t="s">
        <v>103</v>
      </c>
      <c r="D480" s="1" t="s">
        <v>104</v>
      </c>
      <c r="E480" s="1" t="s">
        <v>74</v>
      </c>
      <c r="F480" s="1" t="s">
        <v>48</v>
      </c>
      <c r="G480" s="2">
        <v>46.6</v>
      </c>
      <c r="H480" s="1">
        <v>25</v>
      </c>
      <c r="I480" s="1">
        <v>99</v>
      </c>
      <c r="J480" s="1">
        <v>65</v>
      </c>
      <c r="K480" s="1">
        <v>46</v>
      </c>
      <c r="L480" s="1">
        <v>129</v>
      </c>
      <c r="M480" s="1" t="s">
        <v>31</v>
      </c>
      <c r="N480" s="1" t="s">
        <v>42</v>
      </c>
      <c r="O480" s="1" t="s">
        <v>207</v>
      </c>
      <c r="P480" s="2">
        <v>32.619999999999997</v>
      </c>
      <c r="Q480" s="1" t="str">
        <f t="shared" si="21"/>
        <v>YES</v>
      </c>
      <c r="R480" s="2">
        <f t="shared" si="22"/>
        <v>41.940000000000005</v>
      </c>
      <c r="S480" s="2">
        <f>J480*G480</f>
        <v>3029</v>
      </c>
      <c r="T480" s="1">
        <f t="shared" ca="1" si="23"/>
        <v>98</v>
      </c>
      <c r="U480" s="1" t="s">
        <v>34</v>
      </c>
      <c r="V480" s="1" t="s">
        <v>34</v>
      </c>
      <c r="W480" s="1" t="s">
        <v>34</v>
      </c>
      <c r="X480" s="1" t="s">
        <v>2793</v>
      </c>
      <c r="Y480" s="1">
        <v>5</v>
      </c>
    </row>
    <row r="481" spans="1:25" x14ac:dyDescent="0.3">
      <c r="A481" s="1" t="s">
        <v>666</v>
      </c>
      <c r="B481" s="1" t="s">
        <v>26</v>
      </c>
      <c r="C481" s="1" t="s">
        <v>27</v>
      </c>
      <c r="D481" s="1" t="s">
        <v>28</v>
      </c>
      <c r="E481" s="1" t="s">
        <v>40</v>
      </c>
      <c r="F481" s="1" t="s">
        <v>48</v>
      </c>
      <c r="G481" s="2">
        <v>483.17</v>
      </c>
      <c r="H481" s="1">
        <v>20</v>
      </c>
      <c r="I481" s="1">
        <v>178</v>
      </c>
      <c r="J481" s="1">
        <v>175</v>
      </c>
      <c r="K481" s="1">
        <v>70</v>
      </c>
      <c r="L481" s="1">
        <v>111</v>
      </c>
      <c r="M481" s="1" t="s">
        <v>41</v>
      </c>
      <c r="N481" s="1" t="s">
        <v>42</v>
      </c>
      <c r="O481" s="1" t="s">
        <v>65</v>
      </c>
      <c r="P481" s="2">
        <v>338.22</v>
      </c>
      <c r="Q481" s="1" t="str">
        <f t="shared" si="21"/>
        <v>YES</v>
      </c>
      <c r="R481" s="2">
        <f t="shared" si="22"/>
        <v>434.85300000000001</v>
      </c>
      <c r="S481" s="2">
        <f>J481*G481</f>
        <v>84554.75</v>
      </c>
      <c r="T481" s="1">
        <f t="shared" ca="1" si="23"/>
        <v>142</v>
      </c>
      <c r="U481" s="1" t="s">
        <v>34</v>
      </c>
      <c r="V481" s="1" t="s">
        <v>34</v>
      </c>
      <c r="W481" s="1" t="s">
        <v>34</v>
      </c>
      <c r="X481" s="1" t="s">
        <v>2593</v>
      </c>
      <c r="Y481" s="1">
        <v>5.5</v>
      </c>
    </row>
    <row r="482" spans="1:25" x14ac:dyDescent="0.3">
      <c r="A482" s="1" t="s">
        <v>667</v>
      </c>
      <c r="B482" s="1" t="s">
        <v>102</v>
      </c>
      <c r="C482" s="1" t="s">
        <v>103</v>
      </c>
      <c r="D482" s="1" t="s">
        <v>104</v>
      </c>
      <c r="E482" s="1" t="s">
        <v>29</v>
      </c>
      <c r="F482" s="1" t="s">
        <v>30</v>
      </c>
      <c r="G482" s="2">
        <v>271.72000000000003</v>
      </c>
      <c r="H482" s="1">
        <v>8</v>
      </c>
      <c r="I482" s="1">
        <v>195</v>
      </c>
      <c r="J482" s="1">
        <v>168</v>
      </c>
      <c r="K482" s="1">
        <v>98</v>
      </c>
      <c r="L482" s="1">
        <v>67</v>
      </c>
      <c r="M482" s="1" t="s">
        <v>41</v>
      </c>
      <c r="N482" s="1" t="s">
        <v>42</v>
      </c>
      <c r="O482" s="1" t="s">
        <v>100</v>
      </c>
      <c r="P482" s="2">
        <v>190.2</v>
      </c>
      <c r="Q482" s="1" t="str">
        <f t="shared" si="21"/>
        <v>YES</v>
      </c>
      <c r="R482" s="2">
        <f t="shared" si="22"/>
        <v>244.54800000000003</v>
      </c>
      <c r="S482" s="2">
        <f>J482*G482</f>
        <v>45648.960000000006</v>
      </c>
      <c r="T482" s="1">
        <f t="shared" ca="1" si="23"/>
        <v>137</v>
      </c>
      <c r="U482" s="1" t="s">
        <v>34</v>
      </c>
      <c r="V482" s="1" t="s">
        <v>34</v>
      </c>
      <c r="W482" s="1" t="s">
        <v>34</v>
      </c>
      <c r="X482" s="1" t="s">
        <v>2794</v>
      </c>
      <c r="Y482" s="1">
        <v>6</v>
      </c>
    </row>
    <row r="483" spans="1:25" x14ac:dyDescent="0.3">
      <c r="A483" s="1" t="s">
        <v>668</v>
      </c>
      <c r="B483" s="1" t="s">
        <v>299</v>
      </c>
      <c r="C483" s="1" t="s">
        <v>300</v>
      </c>
      <c r="D483" s="1" t="s">
        <v>39</v>
      </c>
      <c r="E483" s="1" t="s">
        <v>74</v>
      </c>
      <c r="F483" s="1" t="s">
        <v>54</v>
      </c>
      <c r="G483" s="2">
        <v>99.7</v>
      </c>
      <c r="H483" s="1">
        <v>7</v>
      </c>
      <c r="I483" s="1">
        <v>283</v>
      </c>
      <c r="J483" s="1">
        <v>262</v>
      </c>
      <c r="K483" s="1">
        <v>113</v>
      </c>
      <c r="L483" s="1">
        <v>79</v>
      </c>
      <c r="M483" s="1" t="s">
        <v>31</v>
      </c>
      <c r="N483" s="1" t="s">
        <v>32</v>
      </c>
      <c r="O483" s="1" t="s">
        <v>141</v>
      </c>
      <c r="P483" s="2">
        <v>69.790000000000006</v>
      </c>
      <c r="Q483" s="1" t="str">
        <f t="shared" si="21"/>
        <v>YES</v>
      </c>
      <c r="R483" s="2">
        <f t="shared" si="22"/>
        <v>89.73</v>
      </c>
      <c r="S483" s="2">
        <f>J483*G483</f>
        <v>26121.4</v>
      </c>
      <c r="T483" s="1">
        <f t="shared" ca="1" si="23"/>
        <v>118</v>
      </c>
      <c r="U483" s="1" t="s">
        <v>34</v>
      </c>
      <c r="V483" s="1" t="s">
        <v>34</v>
      </c>
      <c r="W483" s="1" t="s">
        <v>34</v>
      </c>
      <c r="X483" s="1" t="s">
        <v>2795</v>
      </c>
      <c r="Y483" s="1">
        <v>6.5</v>
      </c>
    </row>
    <row r="484" spans="1:25" x14ac:dyDescent="0.3">
      <c r="A484" s="1" t="s">
        <v>669</v>
      </c>
      <c r="B484" s="1" t="s">
        <v>26</v>
      </c>
      <c r="C484" s="1" t="s">
        <v>27</v>
      </c>
      <c r="D484" s="1" t="s">
        <v>28</v>
      </c>
      <c r="E484" s="1" t="s">
        <v>74</v>
      </c>
      <c r="F484" s="1" t="s">
        <v>30</v>
      </c>
      <c r="G484" s="2">
        <v>141.76</v>
      </c>
      <c r="H484" s="1">
        <v>25</v>
      </c>
      <c r="I484" s="1">
        <v>80</v>
      </c>
      <c r="J484" s="1">
        <v>69</v>
      </c>
      <c r="K484" s="1">
        <v>46</v>
      </c>
      <c r="L484" s="1">
        <v>119</v>
      </c>
      <c r="M484" s="1" t="s">
        <v>49</v>
      </c>
      <c r="N484" s="1" t="s">
        <v>60</v>
      </c>
      <c r="O484" s="1" t="s">
        <v>311</v>
      </c>
      <c r="P484" s="2">
        <v>99.23</v>
      </c>
      <c r="Q484" s="1" t="str">
        <f t="shared" si="21"/>
        <v>YES</v>
      </c>
      <c r="R484" s="2">
        <f t="shared" si="22"/>
        <v>127.58399999999999</v>
      </c>
      <c r="S484" s="2">
        <f>J484*G484</f>
        <v>9781.4399999999987</v>
      </c>
      <c r="T484" s="1">
        <f t="shared" ca="1" si="23"/>
        <v>80</v>
      </c>
      <c r="U484" s="1" t="s">
        <v>34</v>
      </c>
      <c r="V484" s="1" t="s">
        <v>34</v>
      </c>
      <c r="W484" s="1" t="s">
        <v>34</v>
      </c>
      <c r="X484" s="1" t="s">
        <v>2796</v>
      </c>
      <c r="Y484" s="1">
        <v>7</v>
      </c>
    </row>
    <row r="485" spans="1:25" x14ac:dyDescent="0.3">
      <c r="A485" s="1" t="s">
        <v>670</v>
      </c>
      <c r="B485" s="1" t="s">
        <v>95</v>
      </c>
      <c r="C485" s="1" t="s">
        <v>96</v>
      </c>
      <c r="D485" s="1" t="s">
        <v>97</v>
      </c>
      <c r="E485" s="1" t="s">
        <v>29</v>
      </c>
      <c r="F485" s="1" t="s">
        <v>54</v>
      </c>
      <c r="G485" s="2">
        <v>384.54</v>
      </c>
      <c r="H485" s="1">
        <v>10</v>
      </c>
      <c r="I485" s="1">
        <v>174</v>
      </c>
      <c r="J485" s="1">
        <v>136</v>
      </c>
      <c r="K485" s="1">
        <v>47</v>
      </c>
      <c r="L485" s="1">
        <v>128</v>
      </c>
      <c r="M485" s="1" t="s">
        <v>49</v>
      </c>
      <c r="N485" s="1" t="s">
        <v>32</v>
      </c>
      <c r="O485" s="1" t="s">
        <v>105</v>
      </c>
      <c r="P485" s="2">
        <v>269.18</v>
      </c>
      <c r="Q485" s="1" t="str">
        <f t="shared" si="21"/>
        <v>YES</v>
      </c>
      <c r="R485" s="2">
        <f t="shared" si="22"/>
        <v>346.08600000000001</v>
      </c>
      <c r="S485" s="2">
        <f>J485*G485</f>
        <v>52297.440000000002</v>
      </c>
      <c r="T485" s="1">
        <f t="shared" ca="1" si="23"/>
        <v>144</v>
      </c>
      <c r="U485" s="1" t="s">
        <v>34</v>
      </c>
      <c r="V485" s="1" t="s">
        <v>34</v>
      </c>
      <c r="W485" s="1" t="s">
        <v>34</v>
      </c>
      <c r="X485" s="1" t="s">
        <v>2797</v>
      </c>
      <c r="Y485" s="1">
        <v>7.5</v>
      </c>
    </row>
    <row r="486" spans="1:25" x14ac:dyDescent="0.3">
      <c r="A486" s="1" t="s">
        <v>671</v>
      </c>
      <c r="B486" s="1" t="s">
        <v>262</v>
      </c>
      <c r="C486" s="1" t="s">
        <v>263</v>
      </c>
      <c r="D486" s="1" t="s">
        <v>104</v>
      </c>
      <c r="E486" s="1" t="s">
        <v>40</v>
      </c>
      <c r="F486" s="1" t="s">
        <v>54</v>
      </c>
      <c r="G486" s="2">
        <v>192.33</v>
      </c>
      <c r="H486" s="1">
        <v>7</v>
      </c>
      <c r="I486" s="1">
        <v>96</v>
      </c>
      <c r="J486" s="1">
        <v>88</v>
      </c>
      <c r="K486" s="1">
        <v>98</v>
      </c>
      <c r="L486" s="1">
        <v>138</v>
      </c>
      <c r="M486" s="1" t="s">
        <v>31</v>
      </c>
      <c r="N486" s="1" t="s">
        <v>42</v>
      </c>
      <c r="O486" s="1" t="s">
        <v>280</v>
      </c>
      <c r="P486" s="2">
        <v>134.63</v>
      </c>
      <c r="Q486" s="1" t="str">
        <f t="shared" si="21"/>
        <v>NO</v>
      </c>
      <c r="R486" s="2">
        <f t="shared" si="22"/>
        <v>192.33</v>
      </c>
      <c r="S486" s="2">
        <f>J486*G486</f>
        <v>16925.04</v>
      </c>
      <c r="T486" s="1">
        <f t="shared" ca="1" si="23"/>
        <v>108</v>
      </c>
      <c r="U486" s="1" t="s">
        <v>34</v>
      </c>
      <c r="V486" s="1" t="s">
        <v>34</v>
      </c>
      <c r="W486" s="1" t="s">
        <v>34</v>
      </c>
      <c r="X486" s="1" t="s">
        <v>2798</v>
      </c>
      <c r="Y486" s="1">
        <v>8</v>
      </c>
    </row>
    <row r="487" spans="1:25" x14ac:dyDescent="0.3">
      <c r="A487" s="1" t="s">
        <v>672</v>
      </c>
      <c r="B487" s="1" t="s">
        <v>176</v>
      </c>
      <c r="C487" s="1" t="s">
        <v>177</v>
      </c>
      <c r="D487" s="1" t="s">
        <v>39</v>
      </c>
      <c r="E487" s="1" t="s">
        <v>29</v>
      </c>
      <c r="F487" s="1" t="s">
        <v>54</v>
      </c>
      <c r="G487" s="2">
        <v>465.54</v>
      </c>
      <c r="H487" s="1">
        <v>19</v>
      </c>
      <c r="I487" s="1">
        <v>205</v>
      </c>
      <c r="J487" s="1">
        <v>181</v>
      </c>
      <c r="K487" s="1">
        <v>45</v>
      </c>
      <c r="L487" s="1">
        <v>136</v>
      </c>
      <c r="M487" s="1" t="s">
        <v>49</v>
      </c>
      <c r="N487" s="1" t="s">
        <v>60</v>
      </c>
      <c r="O487" s="1" t="s">
        <v>272</v>
      </c>
      <c r="P487" s="2">
        <v>325.88</v>
      </c>
      <c r="Q487" s="1" t="str">
        <f t="shared" si="21"/>
        <v>YES</v>
      </c>
      <c r="R487" s="2">
        <f t="shared" si="22"/>
        <v>418.98600000000005</v>
      </c>
      <c r="S487" s="2">
        <f>J487*G487</f>
        <v>84262.74</v>
      </c>
      <c r="T487" s="1">
        <f t="shared" ca="1" si="23"/>
        <v>72</v>
      </c>
      <c r="U487" s="1" t="s">
        <v>34</v>
      </c>
      <c r="V487" s="1" t="s">
        <v>34</v>
      </c>
      <c r="W487" s="1" t="s">
        <v>34</v>
      </c>
      <c r="X487" s="1" t="s">
        <v>2799</v>
      </c>
      <c r="Y487" s="1">
        <v>8.5</v>
      </c>
    </row>
    <row r="488" spans="1:25" x14ac:dyDescent="0.3">
      <c r="A488" s="1" t="s">
        <v>673</v>
      </c>
      <c r="B488" s="1" t="s">
        <v>45</v>
      </c>
      <c r="C488" s="1" t="s">
        <v>46</v>
      </c>
      <c r="D488" s="1" t="s">
        <v>47</v>
      </c>
      <c r="E488" s="1" t="s">
        <v>40</v>
      </c>
      <c r="F488" s="1" t="s">
        <v>30</v>
      </c>
      <c r="G488" s="2">
        <v>402.4</v>
      </c>
      <c r="H488" s="1">
        <v>22</v>
      </c>
      <c r="I488" s="1">
        <v>187</v>
      </c>
      <c r="J488" s="1">
        <v>172</v>
      </c>
      <c r="K488" s="1">
        <v>94</v>
      </c>
      <c r="L488" s="1">
        <v>52</v>
      </c>
      <c r="M488" s="1" t="s">
        <v>49</v>
      </c>
      <c r="N488" s="1" t="s">
        <v>32</v>
      </c>
      <c r="O488" s="1" t="s">
        <v>90</v>
      </c>
      <c r="P488" s="2">
        <v>281.68</v>
      </c>
      <c r="Q488" s="1" t="str">
        <f t="shared" si="21"/>
        <v>YES</v>
      </c>
      <c r="R488" s="2">
        <f t="shared" si="22"/>
        <v>362.15999999999997</v>
      </c>
      <c r="S488" s="2">
        <f>J488*G488</f>
        <v>69212.800000000003</v>
      </c>
      <c r="T488" s="1">
        <f t="shared" ca="1" si="23"/>
        <v>94</v>
      </c>
      <c r="U488" s="1" t="s">
        <v>34</v>
      </c>
      <c r="V488" s="1" t="s">
        <v>34</v>
      </c>
      <c r="W488" s="1" t="s">
        <v>34</v>
      </c>
      <c r="X488" s="1" t="s">
        <v>2587</v>
      </c>
      <c r="Y488" s="1">
        <v>9</v>
      </c>
    </row>
    <row r="489" spans="1:25" x14ac:dyDescent="0.3">
      <c r="A489" s="1" t="s">
        <v>674</v>
      </c>
      <c r="B489" s="1" t="s">
        <v>118</v>
      </c>
      <c r="C489" s="1" t="s">
        <v>119</v>
      </c>
      <c r="D489" s="1" t="s">
        <v>97</v>
      </c>
      <c r="E489" s="1" t="s">
        <v>29</v>
      </c>
      <c r="F489" s="1" t="s">
        <v>30</v>
      </c>
      <c r="G489" s="2">
        <v>485.09</v>
      </c>
      <c r="H489" s="1">
        <v>11</v>
      </c>
      <c r="I489" s="1">
        <v>184</v>
      </c>
      <c r="J489" s="1">
        <v>172</v>
      </c>
      <c r="K489" s="1">
        <v>93</v>
      </c>
      <c r="L489" s="1">
        <v>141</v>
      </c>
      <c r="M489" s="1" t="s">
        <v>49</v>
      </c>
      <c r="N489" s="1" t="s">
        <v>60</v>
      </c>
      <c r="O489" s="1" t="s">
        <v>90</v>
      </c>
      <c r="P489" s="2">
        <v>339.56</v>
      </c>
      <c r="Q489" s="1" t="str">
        <f t="shared" si="21"/>
        <v>YES</v>
      </c>
      <c r="R489" s="2">
        <f t="shared" si="22"/>
        <v>436.58099999999996</v>
      </c>
      <c r="S489" s="2">
        <f>J489*G489</f>
        <v>83435.48</v>
      </c>
      <c r="T489" s="1">
        <f t="shared" ca="1" si="23"/>
        <v>94</v>
      </c>
      <c r="U489" s="1" t="s">
        <v>34</v>
      </c>
      <c r="V489" s="1" t="s">
        <v>34</v>
      </c>
      <c r="W489" s="1" t="s">
        <v>34</v>
      </c>
      <c r="X489" s="1" t="s">
        <v>2800</v>
      </c>
      <c r="Y489" s="1">
        <v>9.5</v>
      </c>
    </row>
    <row r="490" spans="1:25" x14ac:dyDescent="0.3">
      <c r="A490" s="1" t="s">
        <v>675</v>
      </c>
      <c r="B490" s="1" t="s">
        <v>126</v>
      </c>
      <c r="C490" s="1" t="s">
        <v>127</v>
      </c>
      <c r="D490" s="1" t="s">
        <v>85</v>
      </c>
      <c r="E490" s="1" t="s">
        <v>74</v>
      </c>
      <c r="F490" s="1" t="s">
        <v>30</v>
      </c>
      <c r="G490" s="2">
        <v>409.05</v>
      </c>
      <c r="H490" s="1">
        <v>16</v>
      </c>
      <c r="I490" s="1">
        <v>134</v>
      </c>
      <c r="J490" s="1">
        <v>116</v>
      </c>
      <c r="K490" s="1">
        <v>48</v>
      </c>
      <c r="L490" s="1">
        <v>101</v>
      </c>
      <c r="M490" s="1" t="s">
        <v>41</v>
      </c>
      <c r="N490" s="1" t="s">
        <v>32</v>
      </c>
      <c r="O490" s="1" t="s">
        <v>361</v>
      </c>
      <c r="P490" s="2">
        <v>286.33</v>
      </c>
      <c r="Q490" s="1" t="str">
        <f t="shared" si="21"/>
        <v>YES</v>
      </c>
      <c r="R490" s="2">
        <f t="shared" si="22"/>
        <v>368.14500000000004</v>
      </c>
      <c r="S490" s="2">
        <f>J490*G490</f>
        <v>47449.8</v>
      </c>
      <c r="T490" s="1">
        <f t="shared" ca="1" si="23"/>
        <v>99</v>
      </c>
      <c r="U490" s="1" t="s">
        <v>34</v>
      </c>
      <c r="V490" s="1" t="s">
        <v>34</v>
      </c>
      <c r="W490" s="1" t="s">
        <v>34</v>
      </c>
      <c r="X490" s="1" t="s">
        <v>2801</v>
      </c>
      <c r="Y490" s="1">
        <v>5</v>
      </c>
    </row>
    <row r="491" spans="1:25" x14ac:dyDescent="0.3">
      <c r="A491" s="1" t="s">
        <v>676</v>
      </c>
      <c r="B491" s="1" t="s">
        <v>299</v>
      </c>
      <c r="C491" s="1" t="s">
        <v>300</v>
      </c>
      <c r="D491" s="1" t="s">
        <v>39</v>
      </c>
      <c r="E491" s="1" t="s">
        <v>74</v>
      </c>
      <c r="F491" s="1" t="s">
        <v>48</v>
      </c>
      <c r="G491" s="2">
        <v>438.14</v>
      </c>
      <c r="H491" s="1">
        <v>11</v>
      </c>
      <c r="I491" s="1">
        <v>105</v>
      </c>
      <c r="J491" s="1">
        <v>97</v>
      </c>
      <c r="K491" s="1">
        <v>108</v>
      </c>
      <c r="L491" s="1">
        <v>134</v>
      </c>
      <c r="M491" s="1" t="s">
        <v>49</v>
      </c>
      <c r="N491" s="1" t="s">
        <v>32</v>
      </c>
      <c r="O491" s="1" t="s">
        <v>340</v>
      </c>
      <c r="P491" s="2">
        <v>306.7</v>
      </c>
      <c r="Q491" s="1" t="str">
        <f t="shared" si="21"/>
        <v>NO</v>
      </c>
      <c r="R491" s="2">
        <f t="shared" si="22"/>
        <v>438.14</v>
      </c>
      <c r="S491" s="2">
        <f>J491*G491</f>
        <v>42499.58</v>
      </c>
      <c r="T491" s="1">
        <f t="shared" ca="1" si="23"/>
        <v>138</v>
      </c>
      <c r="U491" s="1" t="s">
        <v>34</v>
      </c>
      <c r="V491" s="1" t="s">
        <v>34</v>
      </c>
      <c r="W491" s="1" t="s">
        <v>34</v>
      </c>
      <c r="X491" s="1" t="s">
        <v>2658</v>
      </c>
      <c r="Y491" s="1">
        <v>5.5</v>
      </c>
    </row>
    <row r="492" spans="1:25" x14ac:dyDescent="0.3">
      <c r="A492" s="1" t="s">
        <v>677</v>
      </c>
      <c r="B492" s="1" t="s">
        <v>176</v>
      </c>
      <c r="C492" s="1" t="s">
        <v>177</v>
      </c>
      <c r="D492" s="1" t="s">
        <v>39</v>
      </c>
      <c r="E492" s="1" t="s">
        <v>74</v>
      </c>
      <c r="F492" s="1" t="s">
        <v>54</v>
      </c>
      <c r="G492" s="2">
        <v>374.61</v>
      </c>
      <c r="H492" s="1">
        <v>16</v>
      </c>
      <c r="I492" s="1">
        <v>131</v>
      </c>
      <c r="J492" s="1">
        <v>105</v>
      </c>
      <c r="K492" s="1">
        <v>43</v>
      </c>
      <c r="L492" s="1">
        <v>110</v>
      </c>
      <c r="M492" s="1" t="s">
        <v>49</v>
      </c>
      <c r="N492" s="1" t="s">
        <v>32</v>
      </c>
      <c r="O492" s="1" t="s">
        <v>240</v>
      </c>
      <c r="P492" s="2">
        <v>262.23</v>
      </c>
      <c r="Q492" s="1" t="str">
        <f t="shared" si="21"/>
        <v>YES</v>
      </c>
      <c r="R492" s="2">
        <f t="shared" si="22"/>
        <v>337.149</v>
      </c>
      <c r="S492" s="2">
        <f>J492*G492</f>
        <v>39334.050000000003</v>
      </c>
      <c r="T492" s="1">
        <f t="shared" ca="1" si="23"/>
        <v>111</v>
      </c>
      <c r="U492" s="1" t="s">
        <v>34</v>
      </c>
      <c r="V492" s="1" t="s">
        <v>34</v>
      </c>
      <c r="W492" s="1" t="s">
        <v>34</v>
      </c>
      <c r="X492" s="1" t="s">
        <v>2554</v>
      </c>
      <c r="Y492" s="1">
        <v>6</v>
      </c>
    </row>
    <row r="493" spans="1:25" x14ac:dyDescent="0.3">
      <c r="A493" s="1" t="s">
        <v>678</v>
      </c>
      <c r="B493" s="1" t="s">
        <v>123</v>
      </c>
      <c r="C493" s="1" t="s">
        <v>124</v>
      </c>
      <c r="D493" s="1" t="s">
        <v>47</v>
      </c>
      <c r="E493" s="1" t="s">
        <v>29</v>
      </c>
      <c r="F493" s="1" t="s">
        <v>30</v>
      </c>
      <c r="G493" s="2">
        <v>418.2</v>
      </c>
      <c r="H493" s="1">
        <v>0</v>
      </c>
      <c r="I493" s="1">
        <v>193</v>
      </c>
      <c r="J493" s="1">
        <v>156</v>
      </c>
      <c r="K493" s="1">
        <v>49</v>
      </c>
      <c r="L493" s="1">
        <v>111</v>
      </c>
      <c r="M493" s="1" t="s">
        <v>41</v>
      </c>
      <c r="N493" s="1" t="s">
        <v>60</v>
      </c>
      <c r="O493" s="1" t="s">
        <v>55</v>
      </c>
      <c r="P493" s="2">
        <v>292.74</v>
      </c>
      <c r="Q493" s="1" t="str">
        <f t="shared" si="21"/>
        <v>YES</v>
      </c>
      <c r="R493" s="2">
        <f t="shared" si="22"/>
        <v>376.38</v>
      </c>
      <c r="S493" s="2">
        <f>J493*G493</f>
        <v>65239.199999999997</v>
      </c>
      <c r="T493" s="1">
        <f t="shared" ca="1" si="23"/>
        <v>91</v>
      </c>
      <c r="U493" s="1" t="s">
        <v>34</v>
      </c>
      <c r="V493" s="1" t="s">
        <v>34</v>
      </c>
      <c r="W493" s="1" t="s">
        <v>34</v>
      </c>
      <c r="X493" s="1" t="s">
        <v>2802</v>
      </c>
      <c r="Y493" s="1">
        <v>6.5</v>
      </c>
    </row>
    <row r="494" spans="1:25" x14ac:dyDescent="0.3">
      <c r="A494" s="1" t="s">
        <v>679</v>
      </c>
      <c r="B494" s="1" t="s">
        <v>102</v>
      </c>
      <c r="C494" s="1" t="s">
        <v>103</v>
      </c>
      <c r="D494" s="1" t="s">
        <v>104</v>
      </c>
      <c r="E494" s="1" t="s">
        <v>74</v>
      </c>
      <c r="F494" s="1" t="s">
        <v>54</v>
      </c>
      <c r="G494" s="2">
        <v>439.57</v>
      </c>
      <c r="H494" s="1">
        <v>1</v>
      </c>
      <c r="I494" s="1">
        <v>221</v>
      </c>
      <c r="J494" s="1">
        <v>209</v>
      </c>
      <c r="K494" s="1">
        <v>61</v>
      </c>
      <c r="L494" s="1">
        <v>67</v>
      </c>
      <c r="M494" s="1" t="s">
        <v>41</v>
      </c>
      <c r="N494" s="1" t="s">
        <v>32</v>
      </c>
      <c r="O494" s="1" t="s">
        <v>287</v>
      </c>
      <c r="P494" s="2">
        <v>307.7</v>
      </c>
      <c r="Q494" s="1" t="str">
        <f t="shared" si="21"/>
        <v>YES</v>
      </c>
      <c r="R494" s="2">
        <f t="shared" si="22"/>
        <v>395.613</v>
      </c>
      <c r="S494" s="2">
        <f>J494*G494</f>
        <v>91870.13</v>
      </c>
      <c r="T494" s="1">
        <f t="shared" ca="1" si="23"/>
        <v>143</v>
      </c>
      <c r="U494" s="1" t="s">
        <v>34</v>
      </c>
      <c r="V494" s="1" t="s">
        <v>34</v>
      </c>
      <c r="W494" s="1" t="s">
        <v>34</v>
      </c>
      <c r="X494" s="1" t="s">
        <v>2622</v>
      </c>
      <c r="Y494" s="1">
        <v>7</v>
      </c>
    </row>
    <row r="495" spans="1:25" x14ac:dyDescent="0.3">
      <c r="A495" s="1" t="s">
        <v>680</v>
      </c>
      <c r="B495" s="1" t="s">
        <v>37</v>
      </c>
      <c r="C495" s="1" t="s">
        <v>38</v>
      </c>
      <c r="D495" s="1" t="s">
        <v>39</v>
      </c>
      <c r="E495" s="1" t="s">
        <v>74</v>
      </c>
      <c r="F495" s="1" t="s">
        <v>54</v>
      </c>
      <c r="G495" s="2">
        <v>264.35000000000002</v>
      </c>
      <c r="H495" s="1">
        <v>4</v>
      </c>
      <c r="I495" s="1">
        <v>135</v>
      </c>
      <c r="J495" s="1">
        <v>101</v>
      </c>
      <c r="K495" s="1">
        <v>110</v>
      </c>
      <c r="L495" s="1">
        <v>113</v>
      </c>
      <c r="M495" s="1" t="s">
        <v>41</v>
      </c>
      <c r="N495" s="1" t="s">
        <v>32</v>
      </c>
      <c r="O495" s="1" t="s">
        <v>92</v>
      </c>
      <c r="P495" s="2">
        <v>185.05</v>
      </c>
      <c r="Q495" s="1" t="str">
        <f t="shared" si="21"/>
        <v>NO</v>
      </c>
      <c r="R495" s="2">
        <f t="shared" si="22"/>
        <v>264.35000000000002</v>
      </c>
      <c r="S495" s="2">
        <f>J495*G495</f>
        <v>26699.350000000002</v>
      </c>
      <c r="T495" s="1">
        <f t="shared" ca="1" si="23"/>
        <v>64</v>
      </c>
      <c r="U495" s="1" t="s">
        <v>34</v>
      </c>
      <c r="V495" s="1" t="s">
        <v>34</v>
      </c>
      <c r="W495" s="1" t="s">
        <v>34</v>
      </c>
      <c r="X495" s="1" t="s">
        <v>2692</v>
      </c>
      <c r="Y495" s="1">
        <v>7.5</v>
      </c>
    </row>
    <row r="496" spans="1:25" x14ac:dyDescent="0.3">
      <c r="A496" s="1" t="s">
        <v>681</v>
      </c>
      <c r="B496" s="1" t="s">
        <v>26</v>
      </c>
      <c r="C496" s="1" t="s">
        <v>27</v>
      </c>
      <c r="D496" s="1" t="s">
        <v>28</v>
      </c>
      <c r="E496" s="1" t="s">
        <v>74</v>
      </c>
      <c r="F496" s="1" t="s">
        <v>54</v>
      </c>
      <c r="G496" s="2">
        <v>486.87</v>
      </c>
      <c r="H496" s="1">
        <v>24</v>
      </c>
      <c r="I496" s="1">
        <v>147</v>
      </c>
      <c r="J496" s="1">
        <v>135</v>
      </c>
      <c r="K496" s="1">
        <v>69</v>
      </c>
      <c r="L496" s="1">
        <v>117</v>
      </c>
      <c r="M496" s="1" t="s">
        <v>41</v>
      </c>
      <c r="N496" s="1" t="s">
        <v>60</v>
      </c>
      <c r="O496" s="1" t="s">
        <v>242</v>
      </c>
      <c r="P496" s="2">
        <v>340.81</v>
      </c>
      <c r="Q496" s="1" t="str">
        <f t="shared" si="21"/>
        <v>YES</v>
      </c>
      <c r="R496" s="2">
        <f t="shared" si="22"/>
        <v>438.18299999999999</v>
      </c>
      <c r="S496" s="2">
        <f>J496*G496</f>
        <v>65727.45</v>
      </c>
      <c r="T496" s="1">
        <f t="shared" ca="1" si="23"/>
        <v>105</v>
      </c>
      <c r="U496" s="1" t="s">
        <v>34</v>
      </c>
      <c r="V496" s="1" t="s">
        <v>34</v>
      </c>
      <c r="W496" s="1" t="s">
        <v>34</v>
      </c>
      <c r="X496" s="1" t="s">
        <v>2654</v>
      </c>
      <c r="Y496" s="1">
        <v>8</v>
      </c>
    </row>
    <row r="497" spans="1:25" x14ac:dyDescent="0.3">
      <c r="A497" s="1" t="s">
        <v>682</v>
      </c>
      <c r="B497" s="1" t="s">
        <v>192</v>
      </c>
      <c r="C497" s="1" t="s">
        <v>193</v>
      </c>
      <c r="D497" s="1" t="s">
        <v>85</v>
      </c>
      <c r="E497" s="1" t="s">
        <v>74</v>
      </c>
      <c r="F497" s="1" t="s">
        <v>30</v>
      </c>
      <c r="G497" s="2">
        <v>48.72</v>
      </c>
      <c r="H497" s="1">
        <v>22</v>
      </c>
      <c r="I497" s="1">
        <v>106</v>
      </c>
      <c r="J497" s="1">
        <v>102</v>
      </c>
      <c r="K497" s="1">
        <v>49</v>
      </c>
      <c r="L497" s="1">
        <v>141</v>
      </c>
      <c r="M497" s="1" t="s">
        <v>31</v>
      </c>
      <c r="N497" s="1" t="s">
        <v>32</v>
      </c>
      <c r="O497" s="1" t="s">
        <v>212</v>
      </c>
      <c r="P497" s="2">
        <v>34.1</v>
      </c>
      <c r="Q497" s="1" t="str">
        <f t="shared" si="21"/>
        <v>YES</v>
      </c>
      <c r="R497" s="2">
        <f t="shared" si="22"/>
        <v>43.847999999999999</v>
      </c>
      <c r="S497" s="2">
        <f>J497*G497</f>
        <v>4969.4399999999996</v>
      </c>
      <c r="T497" s="1">
        <f t="shared" ca="1" si="23"/>
        <v>78</v>
      </c>
      <c r="U497" s="1" t="s">
        <v>34</v>
      </c>
      <c r="V497" s="1" t="s">
        <v>34</v>
      </c>
      <c r="W497" s="1" t="s">
        <v>34</v>
      </c>
      <c r="X497" s="1" t="s">
        <v>2655</v>
      </c>
      <c r="Y497" s="1">
        <v>8.5</v>
      </c>
    </row>
    <row r="498" spans="1:25" x14ac:dyDescent="0.3">
      <c r="A498" s="1" t="s">
        <v>683</v>
      </c>
      <c r="B498" s="1" t="s">
        <v>52</v>
      </c>
      <c r="C498" s="1" t="s">
        <v>53</v>
      </c>
      <c r="D498" s="1" t="s">
        <v>47</v>
      </c>
      <c r="E498" s="1" t="s">
        <v>29</v>
      </c>
      <c r="F498" s="1" t="s">
        <v>30</v>
      </c>
      <c r="G498" s="2">
        <v>299.77</v>
      </c>
      <c r="H498" s="1">
        <v>13</v>
      </c>
      <c r="I498" s="1">
        <v>183</v>
      </c>
      <c r="J498" s="1">
        <v>147</v>
      </c>
      <c r="K498" s="1">
        <v>116</v>
      </c>
      <c r="L498" s="1">
        <v>123</v>
      </c>
      <c r="M498" s="1" t="s">
        <v>41</v>
      </c>
      <c r="N498" s="1" t="s">
        <v>32</v>
      </c>
      <c r="O498" s="1" t="s">
        <v>81</v>
      </c>
      <c r="P498" s="2">
        <v>209.84</v>
      </c>
      <c r="Q498" s="1" t="str">
        <f t="shared" si="21"/>
        <v>YES</v>
      </c>
      <c r="R498" s="2">
        <f t="shared" si="22"/>
        <v>269.79300000000001</v>
      </c>
      <c r="S498" s="2">
        <f>J498*G498</f>
        <v>44066.189999999995</v>
      </c>
      <c r="T498" s="1">
        <f t="shared" ca="1" si="23"/>
        <v>81</v>
      </c>
      <c r="U498" s="1" t="s">
        <v>34</v>
      </c>
      <c r="V498" s="1" t="s">
        <v>34</v>
      </c>
      <c r="W498" s="1" t="s">
        <v>34</v>
      </c>
      <c r="X498" s="1" t="s">
        <v>2681</v>
      </c>
      <c r="Y498" s="1">
        <v>9</v>
      </c>
    </row>
    <row r="499" spans="1:25" x14ac:dyDescent="0.3">
      <c r="A499" s="1" t="s">
        <v>684</v>
      </c>
      <c r="B499" s="1" t="s">
        <v>197</v>
      </c>
      <c r="C499" s="1" t="s">
        <v>198</v>
      </c>
      <c r="D499" s="1" t="s">
        <v>104</v>
      </c>
      <c r="E499" s="1" t="s">
        <v>74</v>
      </c>
      <c r="F499" s="1" t="s">
        <v>48</v>
      </c>
      <c r="G499" s="2">
        <v>257.56</v>
      </c>
      <c r="H499" s="1">
        <v>20</v>
      </c>
      <c r="I499" s="1">
        <v>214</v>
      </c>
      <c r="J499" s="1">
        <v>208</v>
      </c>
      <c r="K499" s="1">
        <v>41</v>
      </c>
      <c r="L499" s="1">
        <v>120</v>
      </c>
      <c r="M499" s="1" t="s">
        <v>49</v>
      </c>
      <c r="N499" s="1" t="s">
        <v>32</v>
      </c>
      <c r="O499" s="1" t="s">
        <v>65</v>
      </c>
      <c r="P499" s="2">
        <v>180.29</v>
      </c>
      <c r="Q499" s="1" t="str">
        <f t="shared" si="21"/>
        <v>YES</v>
      </c>
      <c r="R499" s="2">
        <f t="shared" si="22"/>
        <v>231.804</v>
      </c>
      <c r="S499" s="2">
        <f>J499*G499</f>
        <v>53572.480000000003</v>
      </c>
      <c r="T499" s="1">
        <f t="shared" ca="1" si="23"/>
        <v>142</v>
      </c>
      <c r="U499" s="1" t="s">
        <v>34</v>
      </c>
      <c r="V499" s="1" t="s">
        <v>34</v>
      </c>
      <c r="W499" s="1" t="s">
        <v>34</v>
      </c>
      <c r="X499" s="1" t="s">
        <v>2803</v>
      </c>
      <c r="Y499" s="1">
        <v>9.5</v>
      </c>
    </row>
    <row r="500" spans="1:25" x14ac:dyDescent="0.3">
      <c r="A500" s="1" t="s">
        <v>685</v>
      </c>
      <c r="B500" s="1" t="s">
        <v>95</v>
      </c>
      <c r="C500" s="1" t="s">
        <v>96</v>
      </c>
      <c r="D500" s="1" t="s">
        <v>97</v>
      </c>
      <c r="E500" s="1" t="s">
        <v>74</v>
      </c>
      <c r="F500" s="1" t="s">
        <v>48</v>
      </c>
      <c r="G500" s="2">
        <v>412.82</v>
      </c>
      <c r="H500" s="1">
        <v>20</v>
      </c>
      <c r="I500" s="1">
        <v>102</v>
      </c>
      <c r="J500" s="1">
        <v>83</v>
      </c>
      <c r="K500" s="1">
        <v>46</v>
      </c>
      <c r="L500" s="1">
        <v>92</v>
      </c>
      <c r="M500" s="1" t="s">
        <v>31</v>
      </c>
      <c r="N500" s="1" t="s">
        <v>32</v>
      </c>
      <c r="O500" s="1" t="s">
        <v>242</v>
      </c>
      <c r="P500" s="2">
        <v>288.97000000000003</v>
      </c>
      <c r="Q500" s="1" t="str">
        <f t="shared" si="21"/>
        <v>YES</v>
      </c>
      <c r="R500" s="2">
        <f t="shared" si="22"/>
        <v>371.53800000000001</v>
      </c>
      <c r="S500" s="2">
        <f>J500*G500</f>
        <v>34264.06</v>
      </c>
      <c r="T500" s="1">
        <f t="shared" ca="1" si="23"/>
        <v>105</v>
      </c>
      <c r="U500" s="1" t="s">
        <v>34</v>
      </c>
      <c r="V500" s="1" t="s">
        <v>34</v>
      </c>
      <c r="W500" s="1" t="s">
        <v>34</v>
      </c>
      <c r="X500" s="1" t="s">
        <v>2741</v>
      </c>
      <c r="Y500" s="1">
        <v>5</v>
      </c>
    </row>
    <row r="501" spans="1:25" x14ac:dyDescent="0.3">
      <c r="A501" s="1" t="s">
        <v>686</v>
      </c>
      <c r="B501" s="1" t="s">
        <v>37</v>
      </c>
      <c r="C501" s="1" t="s">
        <v>38</v>
      </c>
      <c r="D501" s="1" t="s">
        <v>39</v>
      </c>
      <c r="E501" s="1" t="s">
        <v>74</v>
      </c>
      <c r="F501" s="1" t="s">
        <v>54</v>
      </c>
      <c r="G501" s="2">
        <v>461.08</v>
      </c>
      <c r="H501" s="1">
        <v>9</v>
      </c>
      <c r="I501" s="1">
        <v>300</v>
      </c>
      <c r="J501" s="1">
        <v>282</v>
      </c>
      <c r="K501" s="1">
        <v>61</v>
      </c>
      <c r="L501" s="1">
        <v>100</v>
      </c>
      <c r="M501" s="1" t="s">
        <v>41</v>
      </c>
      <c r="N501" s="1" t="s">
        <v>60</v>
      </c>
      <c r="O501" s="1" t="s">
        <v>398</v>
      </c>
      <c r="P501" s="2">
        <v>322.76</v>
      </c>
      <c r="Q501" s="1" t="str">
        <f t="shared" si="21"/>
        <v>YES</v>
      </c>
      <c r="R501" s="2">
        <f t="shared" si="22"/>
        <v>414.97199999999998</v>
      </c>
      <c r="S501" s="2">
        <f>J501*G501</f>
        <v>130024.56</v>
      </c>
      <c r="T501" s="1">
        <f t="shared" ca="1" si="23"/>
        <v>86</v>
      </c>
      <c r="U501" s="1" t="s">
        <v>34</v>
      </c>
      <c r="V501" s="1" t="s">
        <v>34</v>
      </c>
      <c r="W501" s="1" t="s">
        <v>34</v>
      </c>
      <c r="X501" s="1" t="s">
        <v>2804</v>
      </c>
      <c r="Y501" s="1">
        <v>5.5</v>
      </c>
    </row>
    <row r="502" spans="1:25" x14ac:dyDescent="0.3">
      <c r="A502" s="1" t="s">
        <v>687</v>
      </c>
      <c r="B502" s="1" t="s">
        <v>166</v>
      </c>
      <c r="C502" s="1" t="s">
        <v>167</v>
      </c>
      <c r="D502" s="1" t="s">
        <v>59</v>
      </c>
      <c r="E502" s="1" t="s">
        <v>40</v>
      </c>
      <c r="F502" s="1" t="s">
        <v>54</v>
      </c>
      <c r="G502" s="2">
        <v>413.05</v>
      </c>
      <c r="H502" s="1">
        <v>0</v>
      </c>
      <c r="I502" s="1">
        <v>83</v>
      </c>
      <c r="J502" s="1">
        <v>60</v>
      </c>
      <c r="K502" s="1">
        <v>89</v>
      </c>
      <c r="L502" s="1">
        <v>144</v>
      </c>
      <c r="M502" s="1" t="s">
        <v>49</v>
      </c>
      <c r="N502" s="1" t="s">
        <v>42</v>
      </c>
      <c r="O502" s="1" t="s">
        <v>145</v>
      </c>
      <c r="P502" s="2">
        <v>289.13</v>
      </c>
      <c r="Q502" s="1" t="str">
        <f t="shared" si="21"/>
        <v>NO</v>
      </c>
      <c r="R502" s="2">
        <f t="shared" si="22"/>
        <v>413.05</v>
      </c>
      <c r="S502" s="2">
        <f>J502*G502</f>
        <v>24783</v>
      </c>
      <c r="T502" s="1">
        <f t="shared" ca="1" si="23"/>
        <v>68</v>
      </c>
      <c r="U502" s="1" t="s">
        <v>34</v>
      </c>
      <c r="V502" s="1" t="s">
        <v>34</v>
      </c>
      <c r="W502" s="1" t="s">
        <v>34</v>
      </c>
      <c r="X502" s="1" t="s">
        <v>2554</v>
      </c>
      <c r="Y502" s="1">
        <v>6</v>
      </c>
    </row>
    <row r="503" spans="1:25" x14ac:dyDescent="0.3">
      <c r="A503" s="1" t="s">
        <v>688</v>
      </c>
      <c r="B503" s="1" t="s">
        <v>26</v>
      </c>
      <c r="C503" s="1" t="s">
        <v>27</v>
      </c>
      <c r="D503" s="1" t="s">
        <v>28</v>
      </c>
      <c r="E503" s="1" t="s">
        <v>40</v>
      </c>
      <c r="F503" s="1" t="s">
        <v>48</v>
      </c>
      <c r="G503" s="2">
        <v>442.18</v>
      </c>
      <c r="H503" s="1">
        <v>25</v>
      </c>
      <c r="I503" s="1">
        <v>299</v>
      </c>
      <c r="J503" s="1">
        <v>288</v>
      </c>
      <c r="K503" s="1">
        <v>118</v>
      </c>
      <c r="L503" s="1">
        <v>58</v>
      </c>
      <c r="M503" s="1" t="s">
        <v>31</v>
      </c>
      <c r="N503" s="1" t="s">
        <v>32</v>
      </c>
      <c r="O503" s="1" t="s">
        <v>229</v>
      </c>
      <c r="P503" s="2">
        <v>309.52999999999997</v>
      </c>
      <c r="Q503" s="1" t="str">
        <f t="shared" si="21"/>
        <v>YES</v>
      </c>
      <c r="R503" s="2">
        <f t="shared" si="22"/>
        <v>397.96199999999999</v>
      </c>
      <c r="S503" s="2">
        <f>J503*G503</f>
        <v>127347.84</v>
      </c>
      <c r="T503" s="1">
        <f t="shared" ca="1" si="23"/>
        <v>128</v>
      </c>
      <c r="U503" s="1" t="s">
        <v>34</v>
      </c>
      <c r="V503" s="1" t="s">
        <v>34</v>
      </c>
      <c r="W503" s="1" t="s">
        <v>34</v>
      </c>
      <c r="X503" s="1" t="s">
        <v>2730</v>
      </c>
      <c r="Y503" s="1">
        <v>6.5</v>
      </c>
    </row>
    <row r="504" spans="1:25" x14ac:dyDescent="0.3">
      <c r="A504" s="1" t="s">
        <v>689</v>
      </c>
      <c r="B504" s="1" t="s">
        <v>95</v>
      </c>
      <c r="C504" s="1" t="s">
        <v>96</v>
      </c>
      <c r="D504" s="1" t="s">
        <v>97</v>
      </c>
      <c r="E504" s="1" t="s">
        <v>40</v>
      </c>
      <c r="F504" s="1" t="s">
        <v>48</v>
      </c>
      <c r="G504" s="2">
        <v>100.24</v>
      </c>
      <c r="H504" s="1">
        <v>17</v>
      </c>
      <c r="I504" s="1">
        <v>156</v>
      </c>
      <c r="J504" s="1">
        <v>124</v>
      </c>
      <c r="K504" s="1">
        <v>67</v>
      </c>
      <c r="L504" s="1">
        <v>93</v>
      </c>
      <c r="M504" s="1" t="s">
        <v>49</v>
      </c>
      <c r="N504" s="1" t="s">
        <v>60</v>
      </c>
      <c r="O504" s="1" t="s">
        <v>105</v>
      </c>
      <c r="P504" s="2">
        <v>70.17</v>
      </c>
      <c r="Q504" s="1" t="str">
        <f t="shared" si="21"/>
        <v>YES</v>
      </c>
      <c r="R504" s="2">
        <f t="shared" si="22"/>
        <v>90.215999999999994</v>
      </c>
      <c r="S504" s="2">
        <f>J504*G504</f>
        <v>12429.76</v>
      </c>
      <c r="T504" s="1">
        <f t="shared" ca="1" si="23"/>
        <v>144</v>
      </c>
      <c r="U504" s="1" t="s">
        <v>34</v>
      </c>
      <c r="V504" s="1" t="s">
        <v>34</v>
      </c>
      <c r="W504" s="1" t="s">
        <v>34</v>
      </c>
      <c r="X504" s="1" t="s">
        <v>2754</v>
      </c>
      <c r="Y504" s="1">
        <v>7</v>
      </c>
    </row>
    <row r="505" spans="1:25" x14ac:dyDescent="0.3">
      <c r="A505" s="1" t="s">
        <v>690</v>
      </c>
      <c r="B505" s="1" t="s">
        <v>192</v>
      </c>
      <c r="C505" s="1" t="s">
        <v>193</v>
      </c>
      <c r="D505" s="1" t="s">
        <v>85</v>
      </c>
      <c r="E505" s="1" t="s">
        <v>29</v>
      </c>
      <c r="F505" s="1" t="s">
        <v>30</v>
      </c>
      <c r="G505" s="2">
        <v>440.41</v>
      </c>
      <c r="H505" s="1">
        <v>25</v>
      </c>
      <c r="I505" s="1">
        <v>259</v>
      </c>
      <c r="J505" s="1">
        <v>247</v>
      </c>
      <c r="K505" s="1">
        <v>47</v>
      </c>
      <c r="L505" s="1">
        <v>71</v>
      </c>
      <c r="M505" s="1" t="s">
        <v>49</v>
      </c>
      <c r="N505" s="1" t="s">
        <v>32</v>
      </c>
      <c r="O505" s="1" t="s">
        <v>153</v>
      </c>
      <c r="P505" s="2">
        <v>308.29000000000002</v>
      </c>
      <c r="Q505" s="1" t="str">
        <f t="shared" si="21"/>
        <v>YES</v>
      </c>
      <c r="R505" s="2">
        <f t="shared" si="22"/>
        <v>396.36900000000003</v>
      </c>
      <c r="S505" s="2">
        <f>J505*G505</f>
        <v>108781.27</v>
      </c>
      <c r="T505" s="1">
        <f t="shared" ca="1" si="23"/>
        <v>135</v>
      </c>
      <c r="U505" s="1" t="s">
        <v>34</v>
      </c>
      <c r="V505" s="1" t="s">
        <v>34</v>
      </c>
      <c r="W505" s="1" t="s">
        <v>34</v>
      </c>
      <c r="X505" s="1" t="s">
        <v>2712</v>
      </c>
      <c r="Y505" s="1">
        <v>7.5</v>
      </c>
    </row>
    <row r="506" spans="1:25" x14ac:dyDescent="0.3">
      <c r="A506" s="1" t="s">
        <v>691</v>
      </c>
      <c r="B506" s="1" t="s">
        <v>189</v>
      </c>
      <c r="C506" s="1" t="s">
        <v>190</v>
      </c>
      <c r="D506" s="1" t="s">
        <v>59</v>
      </c>
      <c r="E506" s="1" t="s">
        <v>29</v>
      </c>
      <c r="F506" s="1" t="s">
        <v>54</v>
      </c>
      <c r="G506" s="2">
        <v>303.56</v>
      </c>
      <c r="H506" s="1">
        <v>24</v>
      </c>
      <c r="I506" s="1">
        <v>215</v>
      </c>
      <c r="J506" s="1">
        <v>190</v>
      </c>
      <c r="K506" s="1">
        <v>99</v>
      </c>
      <c r="L506" s="1">
        <v>141</v>
      </c>
      <c r="M506" s="1" t="s">
        <v>49</v>
      </c>
      <c r="N506" s="1" t="s">
        <v>60</v>
      </c>
      <c r="O506" s="1" t="s">
        <v>98</v>
      </c>
      <c r="P506" s="2">
        <v>212.49</v>
      </c>
      <c r="Q506" s="1" t="str">
        <f t="shared" si="21"/>
        <v>YES</v>
      </c>
      <c r="R506" s="2">
        <f t="shared" si="22"/>
        <v>273.20400000000001</v>
      </c>
      <c r="S506" s="2">
        <f>J506*G506</f>
        <v>57676.4</v>
      </c>
      <c r="T506" s="1">
        <f t="shared" ca="1" si="23"/>
        <v>96</v>
      </c>
      <c r="U506" s="1" t="s">
        <v>34</v>
      </c>
      <c r="V506" s="1" t="s">
        <v>34</v>
      </c>
      <c r="W506" s="1" t="s">
        <v>34</v>
      </c>
      <c r="X506" s="1" t="s">
        <v>2677</v>
      </c>
      <c r="Y506" s="1">
        <v>8</v>
      </c>
    </row>
    <row r="507" spans="1:25" x14ac:dyDescent="0.3">
      <c r="A507" s="1" t="s">
        <v>692</v>
      </c>
      <c r="B507" s="1" t="s">
        <v>118</v>
      </c>
      <c r="C507" s="1" t="s">
        <v>119</v>
      </c>
      <c r="D507" s="1" t="s">
        <v>97</v>
      </c>
      <c r="E507" s="1" t="s">
        <v>74</v>
      </c>
      <c r="F507" s="1" t="s">
        <v>54</v>
      </c>
      <c r="G507" s="2">
        <v>161.66</v>
      </c>
      <c r="H507" s="1">
        <v>7</v>
      </c>
      <c r="I507" s="1">
        <v>158</v>
      </c>
      <c r="J507" s="1">
        <v>136</v>
      </c>
      <c r="K507" s="1">
        <v>45</v>
      </c>
      <c r="L507" s="1">
        <v>125</v>
      </c>
      <c r="M507" s="1" t="s">
        <v>41</v>
      </c>
      <c r="N507" s="1" t="s">
        <v>60</v>
      </c>
      <c r="O507" s="1" t="s">
        <v>116</v>
      </c>
      <c r="P507" s="2">
        <v>113.16</v>
      </c>
      <c r="Q507" s="1" t="str">
        <f t="shared" si="21"/>
        <v>YES</v>
      </c>
      <c r="R507" s="2">
        <f t="shared" si="22"/>
        <v>145.494</v>
      </c>
      <c r="S507" s="2">
        <f>J507*G507</f>
        <v>21985.759999999998</v>
      </c>
      <c r="T507" s="1">
        <f t="shared" ca="1" si="23"/>
        <v>87</v>
      </c>
      <c r="U507" s="1" t="s">
        <v>34</v>
      </c>
      <c r="V507" s="1" t="s">
        <v>34</v>
      </c>
      <c r="W507" s="1" t="s">
        <v>34</v>
      </c>
      <c r="X507" s="1" t="s">
        <v>2805</v>
      </c>
      <c r="Y507" s="1">
        <v>8.5</v>
      </c>
    </row>
    <row r="508" spans="1:25" x14ac:dyDescent="0.3">
      <c r="A508" s="1" t="s">
        <v>693</v>
      </c>
      <c r="B508" s="1" t="s">
        <v>192</v>
      </c>
      <c r="C508" s="1" t="s">
        <v>193</v>
      </c>
      <c r="D508" s="1" t="s">
        <v>85</v>
      </c>
      <c r="E508" s="1" t="s">
        <v>40</v>
      </c>
      <c r="F508" s="1" t="s">
        <v>48</v>
      </c>
      <c r="G508" s="2">
        <v>482.05</v>
      </c>
      <c r="H508" s="1">
        <v>12</v>
      </c>
      <c r="I508" s="1">
        <v>116</v>
      </c>
      <c r="J508" s="1">
        <v>80</v>
      </c>
      <c r="K508" s="1">
        <v>95</v>
      </c>
      <c r="L508" s="1">
        <v>113</v>
      </c>
      <c r="M508" s="1" t="s">
        <v>31</v>
      </c>
      <c r="N508" s="1" t="s">
        <v>60</v>
      </c>
      <c r="O508" s="1" t="s">
        <v>185</v>
      </c>
      <c r="P508" s="2">
        <v>337.44</v>
      </c>
      <c r="Q508" s="1" t="str">
        <f t="shared" si="21"/>
        <v>NO</v>
      </c>
      <c r="R508" s="2">
        <f t="shared" si="22"/>
        <v>482.05</v>
      </c>
      <c r="S508" s="2">
        <f>J508*G508</f>
        <v>38564</v>
      </c>
      <c r="T508" s="1">
        <f t="shared" ca="1" si="23"/>
        <v>104</v>
      </c>
      <c r="U508" s="1" t="s">
        <v>34</v>
      </c>
      <c r="V508" s="1" t="s">
        <v>34</v>
      </c>
      <c r="W508" s="1" t="s">
        <v>34</v>
      </c>
      <c r="X508" s="1" t="s">
        <v>2806</v>
      </c>
      <c r="Y508" s="1">
        <v>9</v>
      </c>
    </row>
    <row r="509" spans="1:25" x14ac:dyDescent="0.3">
      <c r="A509" s="1" t="s">
        <v>694</v>
      </c>
      <c r="B509" s="1" t="s">
        <v>123</v>
      </c>
      <c r="C509" s="1" t="s">
        <v>124</v>
      </c>
      <c r="D509" s="1" t="s">
        <v>47</v>
      </c>
      <c r="E509" s="1" t="s">
        <v>29</v>
      </c>
      <c r="F509" s="1" t="s">
        <v>30</v>
      </c>
      <c r="G509" s="2">
        <v>492.45</v>
      </c>
      <c r="H509" s="1">
        <v>3</v>
      </c>
      <c r="I509" s="1">
        <v>289</v>
      </c>
      <c r="J509" s="1">
        <v>256</v>
      </c>
      <c r="K509" s="1">
        <v>118</v>
      </c>
      <c r="L509" s="1">
        <v>73</v>
      </c>
      <c r="M509" s="1" t="s">
        <v>41</v>
      </c>
      <c r="N509" s="1" t="s">
        <v>60</v>
      </c>
      <c r="O509" s="1" t="s">
        <v>145</v>
      </c>
      <c r="P509" s="2">
        <v>344.71</v>
      </c>
      <c r="Q509" s="1" t="str">
        <f t="shared" si="21"/>
        <v>YES</v>
      </c>
      <c r="R509" s="2">
        <f t="shared" si="22"/>
        <v>443.20499999999998</v>
      </c>
      <c r="S509" s="2">
        <f>J509*G509</f>
        <v>126067.2</v>
      </c>
      <c r="T509" s="1">
        <f t="shared" ca="1" si="23"/>
        <v>68</v>
      </c>
      <c r="U509" s="1" t="s">
        <v>34</v>
      </c>
      <c r="V509" s="1" t="s">
        <v>34</v>
      </c>
      <c r="W509" s="1" t="s">
        <v>34</v>
      </c>
      <c r="X509" s="1" t="s">
        <v>2571</v>
      </c>
      <c r="Y509" s="1">
        <v>9.5</v>
      </c>
    </row>
    <row r="510" spans="1:25" x14ac:dyDescent="0.3">
      <c r="A510" s="1" t="s">
        <v>695</v>
      </c>
      <c r="B510" s="1" t="s">
        <v>176</v>
      </c>
      <c r="C510" s="1" t="s">
        <v>177</v>
      </c>
      <c r="D510" s="1" t="s">
        <v>39</v>
      </c>
      <c r="E510" s="1" t="s">
        <v>29</v>
      </c>
      <c r="F510" s="1" t="s">
        <v>54</v>
      </c>
      <c r="G510" s="2">
        <v>458.59</v>
      </c>
      <c r="H510" s="1">
        <v>11</v>
      </c>
      <c r="I510" s="1">
        <v>283</v>
      </c>
      <c r="J510" s="1">
        <v>250</v>
      </c>
      <c r="K510" s="1">
        <v>62</v>
      </c>
      <c r="L510" s="1">
        <v>130</v>
      </c>
      <c r="M510" s="1" t="s">
        <v>31</v>
      </c>
      <c r="N510" s="1" t="s">
        <v>32</v>
      </c>
      <c r="O510" s="1" t="s">
        <v>309</v>
      </c>
      <c r="P510" s="2">
        <v>321.01</v>
      </c>
      <c r="Q510" s="1" t="str">
        <f t="shared" si="21"/>
        <v>YES</v>
      </c>
      <c r="R510" s="2">
        <f t="shared" si="22"/>
        <v>412.73099999999999</v>
      </c>
      <c r="S510" s="2">
        <f>J510*G510</f>
        <v>114647.5</v>
      </c>
      <c r="T510" s="1">
        <f t="shared" ca="1" si="23"/>
        <v>67</v>
      </c>
      <c r="U510" s="1" t="s">
        <v>34</v>
      </c>
      <c r="V510" s="1" t="s">
        <v>34</v>
      </c>
      <c r="W510" s="1" t="s">
        <v>34</v>
      </c>
      <c r="X510" s="1" t="s">
        <v>2628</v>
      </c>
      <c r="Y510" s="1">
        <v>5</v>
      </c>
    </row>
    <row r="511" spans="1:25" x14ac:dyDescent="0.3">
      <c r="A511" s="1" t="s">
        <v>696</v>
      </c>
      <c r="B511" s="1" t="s">
        <v>52</v>
      </c>
      <c r="C511" s="1" t="s">
        <v>53</v>
      </c>
      <c r="D511" s="1" t="s">
        <v>47</v>
      </c>
      <c r="E511" s="1" t="s">
        <v>40</v>
      </c>
      <c r="F511" s="1" t="s">
        <v>48</v>
      </c>
      <c r="G511" s="2">
        <v>47.04</v>
      </c>
      <c r="H511" s="1">
        <v>15</v>
      </c>
      <c r="I511" s="1">
        <v>270</v>
      </c>
      <c r="J511" s="1">
        <v>265</v>
      </c>
      <c r="K511" s="1">
        <v>99</v>
      </c>
      <c r="L511" s="1">
        <v>137</v>
      </c>
      <c r="M511" s="1" t="s">
        <v>41</v>
      </c>
      <c r="N511" s="1" t="s">
        <v>60</v>
      </c>
      <c r="O511" s="1" t="s">
        <v>81</v>
      </c>
      <c r="P511" s="2">
        <v>32.93</v>
      </c>
      <c r="Q511" s="1" t="str">
        <f t="shared" si="21"/>
        <v>YES</v>
      </c>
      <c r="R511" s="2">
        <f t="shared" si="22"/>
        <v>42.335999999999999</v>
      </c>
      <c r="S511" s="2">
        <f>J511*G511</f>
        <v>12465.6</v>
      </c>
      <c r="T511" s="1">
        <f t="shared" ca="1" si="23"/>
        <v>81</v>
      </c>
      <c r="U511" s="1" t="s">
        <v>34</v>
      </c>
      <c r="V511" s="1" t="s">
        <v>34</v>
      </c>
      <c r="W511" s="1" t="s">
        <v>34</v>
      </c>
      <c r="X511" s="1" t="s">
        <v>2700</v>
      </c>
      <c r="Y511" s="1">
        <v>5.5</v>
      </c>
    </row>
    <row r="512" spans="1:25" x14ac:dyDescent="0.3">
      <c r="A512" s="1" t="s">
        <v>697</v>
      </c>
      <c r="B512" s="1" t="s">
        <v>189</v>
      </c>
      <c r="C512" s="1" t="s">
        <v>190</v>
      </c>
      <c r="D512" s="1" t="s">
        <v>59</v>
      </c>
      <c r="E512" s="1" t="s">
        <v>29</v>
      </c>
      <c r="F512" s="1" t="s">
        <v>54</v>
      </c>
      <c r="G512" s="2">
        <v>194.95</v>
      </c>
      <c r="H512" s="1">
        <v>16</v>
      </c>
      <c r="I512" s="1">
        <v>258</v>
      </c>
      <c r="J512" s="1">
        <v>249</v>
      </c>
      <c r="K512" s="1">
        <v>112</v>
      </c>
      <c r="L512" s="1">
        <v>144</v>
      </c>
      <c r="M512" s="1" t="s">
        <v>49</v>
      </c>
      <c r="N512" s="1" t="s">
        <v>60</v>
      </c>
      <c r="O512" s="1" t="s">
        <v>199</v>
      </c>
      <c r="P512" s="2">
        <v>136.46</v>
      </c>
      <c r="Q512" s="1" t="str">
        <f t="shared" si="21"/>
        <v>YES</v>
      </c>
      <c r="R512" s="2">
        <f t="shared" si="22"/>
        <v>175.45499999999998</v>
      </c>
      <c r="S512" s="2">
        <f>J512*G512</f>
        <v>48542.549999999996</v>
      </c>
      <c r="T512" s="1">
        <f t="shared" ca="1" si="23"/>
        <v>129</v>
      </c>
      <c r="U512" s="1" t="s">
        <v>34</v>
      </c>
      <c r="V512" s="1" t="s">
        <v>34</v>
      </c>
      <c r="W512" s="1" t="s">
        <v>34</v>
      </c>
      <c r="X512" s="1" t="s">
        <v>2728</v>
      </c>
      <c r="Y512" s="1">
        <v>6</v>
      </c>
    </row>
    <row r="513" spans="1:25" x14ac:dyDescent="0.3">
      <c r="A513" s="1" t="s">
        <v>698</v>
      </c>
      <c r="B513" s="1" t="s">
        <v>57</v>
      </c>
      <c r="C513" s="1" t="s">
        <v>58</v>
      </c>
      <c r="D513" s="1" t="s">
        <v>59</v>
      </c>
      <c r="E513" s="1" t="s">
        <v>40</v>
      </c>
      <c r="F513" s="1" t="s">
        <v>30</v>
      </c>
      <c r="G513" s="2">
        <v>441.33</v>
      </c>
      <c r="H513" s="1">
        <v>1</v>
      </c>
      <c r="I513" s="1">
        <v>85</v>
      </c>
      <c r="J513" s="1">
        <v>54</v>
      </c>
      <c r="K513" s="1">
        <v>119</v>
      </c>
      <c r="L513" s="1">
        <v>87</v>
      </c>
      <c r="M513" s="1" t="s">
        <v>41</v>
      </c>
      <c r="N513" s="1" t="s">
        <v>42</v>
      </c>
      <c r="O513" s="1" t="s">
        <v>113</v>
      </c>
      <c r="P513" s="2">
        <v>308.93</v>
      </c>
      <c r="Q513" s="1" t="str">
        <f t="shared" si="21"/>
        <v>NO</v>
      </c>
      <c r="R513" s="2">
        <f t="shared" si="22"/>
        <v>441.33</v>
      </c>
      <c r="S513" s="2">
        <f>J513*G513</f>
        <v>23831.82</v>
      </c>
      <c r="T513" s="1">
        <f t="shared" ca="1" si="23"/>
        <v>82</v>
      </c>
      <c r="U513" s="1" t="s">
        <v>34</v>
      </c>
      <c r="V513" s="1" t="s">
        <v>34</v>
      </c>
      <c r="W513" s="1" t="s">
        <v>34</v>
      </c>
      <c r="X513" s="1" t="s">
        <v>2652</v>
      </c>
      <c r="Y513" s="1">
        <v>6.5</v>
      </c>
    </row>
    <row r="514" spans="1:25" x14ac:dyDescent="0.3">
      <c r="A514" s="1" t="s">
        <v>699</v>
      </c>
      <c r="B514" s="1" t="s">
        <v>172</v>
      </c>
      <c r="C514" s="1" t="s">
        <v>173</v>
      </c>
      <c r="D514" s="1" t="s">
        <v>132</v>
      </c>
      <c r="E514" s="1" t="s">
        <v>40</v>
      </c>
      <c r="F514" s="1" t="s">
        <v>30</v>
      </c>
      <c r="G514" s="2">
        <v>212.7</v>
      </c>
      <c r="H514" s="1">
        <v>22</v>
      </c>
      <c r="I514" s="1">
        <v>104</v>
      </c>
      <c r="J514" s="1">
        <v>103</v>
      </c>
      <c r="K514" s="1">
        <v>49</v>
      </c>
      <c r="L514" s="1">
        <v>140</v>
      </c>
      <c r="M514" s="1" t="s">
        <v>49</v>
      </c>
      <c r="N514" s="1" t="s">
        <v>42</v>
      </c>
      <c r="O514" s="1" t="s">
        <v>209</v>
      </c>
      <c r="P514" s="2">
        <v>148.88999999999999</v>
      </c>
      <c r="Q514" s="1" t="str">
        <f t="shared" ref="Q514:Q577" si="24">IF(J514&gt;K514,"YES","NO")</f>
        <v>YES</v>
      </c>
      <c r="R514" s="2">
        <f t="shared" ref="R514:R577" si="25">IF(Q514="YES",G514*0.9,G514)</f>
        <v>191.43</v>
      </c>
      <c r="S514" s="2">
        <f>J514*G514</f>
        <v>21908.1</v>
      </c>
      <c r="T514" s="1">
        <f t="shared" ref="T514:T577" ca="1" si="26">TODAY()-DATE(MID(O514,7,4),MID(O514,4,2),LEFT(O514,2))</f>
        <v>127</v>
      </c>
      <c r="U514" s="1" t="s">
        <v>34</v>
      </c>
      <c r="V514" s="1" t="s">
        <v>34</v>
      </c>
      <c r="W514" s="1" t="s">
        <v>34</v>
      </c>
      <c r="X514" s="1" t="s">
        <v>2755</v>
      </c>
      <c r="Y514" s="1">
        <v>7</v>
      </c>
    </row>
    <row r="515" spans="1:25" x14ac:dyDescent="0.3">
      <c r="A515" s="1" t="s">
        <v>700</v>
      </c>
      <c r="B515" s="1" t="s">
        <v>45</v>
      </c>
      <c r="C515" s="1" t="s">
        <v>46</v>
      </c>
      <c r="D515" s="1" t="s">
        <v>47</v>
      </c>
      <c r="E515" s="1" t="s">
        <v>29</v>
      </c>
      <c r="F515" s="1" t="s">
        <v>30</v>
      </c>
      <c r="G515" s="2">
        <v>236.37</v>
      </c>
      <c r="H515" s="1">
        <v>9</v>
      </c>
      <c r="I515" s="1">
        <v>176</v>
      </c>
      <c r="J515" s="1">
        <v>157</v>
      </c>
      <c r="K515" s="1">
        <v>102</v>
      </c>
      <c r="L515" s="1">
        <v>59</v>
      </c>
      <c r="M515" s="1" t="s">
        <v>49</v>
      </c>
      <c r="N515" s="1" t="s">
        <v>32</v>
      </c>
      <c r="O515" s="1" t="s">
        <v>75</v>
      </c>
      <c r="P515" s="2">
        <v>165.46</v>
      </c>
      <c r="Q515" s="1" t="str">
        <f t="shared" si="24"/>
        <v>YES</v>
      </c>
      <c r="R515" s="2">
        <f t="shared" si="25"/>
        <v>212.733</v>
      </c>
      <c r="S515" s="2">
        <f>J515*G515</f>
        <v>37110.090000000004</v>
      </c>
      <c r="T515" s="1">
        <f t="shared" ca="1" si="26"/>
        <v>123</v>
      </c>
      <c r="U515" s="1" t="s">
        <v>34</v>
      </c>
      <c r="V515" s="1" t="s">
        <v>34</v>
      </c>
      <c r="W515" s="1" t="s">
        <v>34</v>
      </c>
      <c r="X515" s="1" t="s">
        <v>2807</v>
      </c>
      <c r="Y515" s="1">
        <v>7.5</v>
      </c>
    </row>
    <row r="516" spans="1:25" x14ac:dyDescent="0.3">
      <c r="A516" s="1" t="s">
        <v>701</v>
      </c>
      <c r="B516" s="1" t="s">
        <v>192</v>
      </c>
      <c r="C516" s="1" t="s">
        <v>193</v>
      </c>
      <c r="D516" s="1" t="s">
        <v>85</v>
      </c>
      <c r="E516" s="1" t="s">
        <v>40</v>
      </c>
      <c r="F516" s="1" t="s">
        <v>48</v>
      </c>
      <c r="G516" s="2">
        <v>185.89</v>
      </c>
      <c r="H516" s="1">
        <v>25</v>
      </c>
      <c r="I516" s="1">
        <v>171</v>
      </c>
      <c r="J516" s="1">
        <v>145</v>
      </c>
      <c r="K516" s="1">
        <v>109</v>
      </c>
      <c r="L516" s="1">
        <v>119</v>
      </c>
      <c r="M516" s="1" t="s">
        <v>49</v>
      </c>
      <c r="N516" s="1" t="s">
        <v>42</v>
      </c>
      <c r="O516" s="1" t="s">
        <v>207</v>
      </c>
      <c r="P516" s="2">
        <v>130.12</v>
      </c>
      <c r="Q516" s="1" t="str">
        <f t="shared" si="24"/>
        <v>YES</v>
      </c>
      <c r="R516" s="2">
        <f t="shared" si="25"/>
        <v>167.30099999999999</v>
      </c>
      <c r="S516" s="2">
        <f>J516*G516</f>
        <v>26954.05</v>
      </c>
      <c r="T516" s="1">
        <f t="shared" ca="1" si="26"/>
        <v>98</v>
      </c>
      <c r="U516" s="1" t="s">
        <v>34</v>
      </c>
      <c r="V516" s="1" t="s">
        <v>34</v>
      </c>
      <c r="W516" s="1" t="s">
        <v>34</v>
      </c>
      <c r="X516" s="1" t="s">
        <v>2804</v>
      </c>
      <c r="Y516" s="1">
        <v>8</v>
      </c>
    </row>
    <row r="517" spans="1:25" x14ac:dyDescent="0.3">
      <c r="A517" s="1" t="s">
        <v>702</v>
      </c>
      <c r="B517" s="1" t="s">
        <v>126</v>
      </c>
      <c r="C517" s="1" t="s">
        <v>127</v>
      </c>
      <c r="D517" s="1" t="s">
        <v>85</v>
      </c>
      <c r="E517" s="1" t="s">
        <v>40</v>
      </c>
      <c r="F517" s="1" t="s">
        <v>48</v>
      </c>
      <c r="G517" s="2">
        <v>174.76</v>
      </c>
      <c r="H517" s="1">
        <v>4</v>
      </c>
      <c r="I517" s="1">
        <v>221</v>
      </c>
      <c r="J517" s="1">
        <v>205</v>
      </c>
      <c r="K517" s="1">
        <v>109</v>
      </c>
      <c r="L517" s="1">
        <v>99</v>
      </c>
      <c r="M517" s="1" t="s">
        <v>49</v>
      </c>
      <c r="N517" s="1" t="s">
        <v>42</v>
      </c>
      <c r="O517" s="1" t="s">
        <v>100</v>
      </c>
      <c r="P517" s="2">
        <v>122.33</v>
      </c>
      <c r="Q517" s="1" t="str">
        <f t="shared" si="24"/>
        <v>YES</v>
      </c>
      <c r="R517" s="2">
        <f t="shared" si="25"/>
        <v>157.28399999999999</v>
      </c>
      <c r="S517" s="2">
        <f>J517*G517</f>
        <v>35825.799999999996</v>
      </c>
      <c r="T517" s="1">
        <f t="shared" ca="1" si="26"/>
        <v>137</v>
      </c>
      <c r="U517" s="1" t="s">
        <v>34</v>
      </c>
      <c r="V517" s="1" t="s">
        <v>34</v>
      </c>
      <c r="W517" s="1" t="s">
        <v>34</v>
      </c>
      <c r="X517" s="1" t="s">
        <v>2808</v>
      </c>
      <c r="Y517" s="1">
        <v>8.5</v>
      </c>
    </row>
    <row r="518" spans="1:25" x14ac:dyDescent="0.3">
      <c r="A518" s="1" t="s">
        <v>703</v>
      </c>
      <c r="B518" s="1" t="s">
        <v>83</v>
      </c>
      <c r="C518" s="1" t="s">
        <v>84</v>
      </c>
      <c r="D518" s="1" t="s">
        <v>85</v>
      </c>
      <c r="E518" s="1" t="s">
        <v>29</v>
      </c>
      <c r="F518" s="1" t="s">
        <v>30</v>
      </c>
      <c r="G518" s="2">
        <v>196.29</v>
      </c>
      <c r="H518" s="1">
        <v>3</v>
      </c>
      <c r="I518" s="1">
        <v>88</v>
      </c>
      <c r="J518" s="1">
        <v>67</v>
      </c>
      <c r="K518" s="1">
        <v>70</v>
      </c>
      <c r="L518" s="1">
        <v>101</v>
      </c>
      <c r="M518" s="1" t="s">
        <v>49</v>
      </c>
      <c r="N518" s="1" t="s">
        <v>32</v>
      </c>
      <c r="O518" s="1" t="s">
        <v>141</v>
      </c>
      <c r="P518" s="2">
        <v>137.4</v>
      </c>
      <c r="Q518" s="1" t="str">
        <f t="shared" si="24"/>
        <v>NO</v>
      </c>
      <c r="R518" s="2">
        <f t="shared" si="25"/>
        <v>196.29</v>
      </c>
      <c r="S518" s="2">
        <f>J518*G518</f>
        <v>13151.43</v>
      </c>
      <c r="T518" s="1">
        <f t="shared" ca="1" si="26"/>
        <v>118</v>
      </c>
      <c r="U518" s="1" t="s">
        <v>34</v>
      </c>
      <c r="V518" s="1" t="s">
        <v>34</v>
      </c>
      <c r="W518" s="1" t="s">
        <v>34</v>
      </c>
      <c r="X518" s="1" t="s">
        <v>2809</v>
      </c>
      <c r="Y518" s="1">
        <v>9</v>
      </c>
    </row>
    <row r="519" spans="1:25" x14ac:dyDescent="0.3">
      <c r="A519" s="1" t="s">
        <v>704</v>
      </c>
      <c r="B519" s="1" t="s">
        <v>166</v>
      </c>
      <c r="C519" s="1" t="s">
        <v>167</v>
      </c>
      <c r="D519" s="1" t="s">
        <v>59</v>
      </c>
      <c r="E519" s="1" t="s">
        <v>40</v>
      </c>
      <c r="F519" s="1" t="s">
        <v>54</v>
      </c>
      <c r="G519" s="2">
        <v>331.04</v>
      </c>
      <c r="H519" s="1">
        <v>20</v>
      </c>
      <c r="I519" s="1">
        <v>198</v>
      </c>
      <c r="J519" s="1">
        <v>159</v>
      </c>
      <c r="K519" s="1">
        <v>68</v>
      </c>
      <c r="L519" s="1">
        <v>60</v>
      </c>
      <c r="M519" s="1" t="s">
        <v>31</v>
      </c>
      <c r="N519" s="1" t="s">
        <v>42</v>
      </c>
      <c r="O519" s="1" t="s">
        <v>473</v>
      </c>
      <c r="P519" s="2">
        <v>231.73</v>
      </c>
      <c r="Q519" s="1" t="str">
        <f t="shared" si="24"/>
        <v>YES</v>
      </c>
      <c r="R519" s="2">
        <f t="shared" si="25"/>
        <v>297.93600000000004</v>
      </c>
      <c r="S519" s="2">
        <f>J519*G519</f>
        <v>52635.360000000001</v>
      </c>
      <c r="T519" s="1">
        <f t="shared" ca="1" si="26"/>
        <v>146</v>
      </c>
      <c r="U519" s="1" t="s">
        <v>34</v>
      </c>
      <c r="V519" s="1" t="s">
        <v>34</v>
      </c>
      <c r="W519" s="1" t="s">
        <v>34</v>
      </c>
      <c r="X519" s="1" t="s">
        <v>2810</v>
      </c>
      <c r="Y519" s="1">
        <v>9.5</v>
      </c>
    </row>
    <row r="520" spans="1:25" x14ac:dyDescent="0.3">
      <c r="A520" s="1" t="s">
        <v>705</v>
      </c>
      <c r="B520" s="1" t="s">
        <v>130</v>
      </c>
      <c r="C520" s="1" t="s">
        <v>131</v>
      </c>
      <c r="D520" s="1" t="s">
        <v>132</v>
      </c>
      <c r="E520" s="1" t="s">
        <v>40</v>
      </c>
      <c r="F520" s="1" t="s">
        <v>48</v>
      </c>
      <c r="G520" s="2">
        <v>347.46</v>
      </c>
      <c r="H520" s="1">
        <v>20</v>
      </c>
      <c r="I520" s="1">
        <v>232</v>
      </c>
      <c r="J520" s="1">
        <v>204</v>
      </c>
      <c r="K520" s="1">
        <v>105</v>
      </c>
      <c r="L520" s="1">
        <v>94</v>
      </c>
      <c r="M520" s="1" t="s">
        <v>31</v>
      </c>
      <c r="N520" s="1" t="s">
        <v>60</v>
      </c>
      <c r="O520" s="1" t="s">
        <v>240</v>
      </c>
      <c r="P520" s="2">
        <v>243.22</v>
      </c>
      <c r="Q520" s="1" t="str">
        <f t="shared" si="24"/>
        <v>YES</v>
      </c>
      <c r="R520" s="2">
        <f t="shared" si="25"/>
        <v>312.714</v>
      </c>
      <c r="S520" s="2">
        <f>J520*G520</f>
        <v>70881.84</v>
      </c>
      <c r="T520" s="1">
        <f t="shared" ca="1" si="26"/>
        <v>111</v>
      </c>
      <c r="U520" s="1" t="s">
        <v>34</v>
      </c>
      <c r="V520" s="1" t="s">
        <v>34</v>
      </c>
      <c r="W520" s="1" t="s">
        <v>34</v>
      </c>
      <c r="X520" s="1" t="s">
        <v>2697</v>
      </c>
      <c r="Y520" s="1">
        <v>5</v>
      </c>
    </row>
    <row r="521" spans="1:25" x14ac:dyDescent="0.3">
      <c r="A521" s="1" t="s">
        <v>706</v>
      </c>
      <c r="B521" s="1" t="s">
        <v>197</v>
      </c>
      <c r="C521" s="1" t="s">
        <v>198</v>
      </c>
      <c r="D521" s="1" t="s">
        <v>104</v>
      </c>
      <c r="E521" s="1" t="s">
        <v>74</v>
      </c>
      <c r="F521" s="1" t="s">
        <v>48</v>
      </c>
      <c r="G521" s="2">
        <v>291.39</v>
      </c>
      <c r="H521" s="1">
        <v>21</v>
      </c>
      <c r="I521" s="1">
        <v>236</v>
      </c>
      <c r="J521" s="1">
        <v>206</v>
      </c>
      <c r="K521" s="1">
        <v>80</v>
      </c>
      <c r="L521" s="1">
        <v>57</v>
      </c>
      <c r="M521" s="1" t="s">
        <v>49</v>
      </c>
      <c r="N521" s="1" t="s">
        <v>42</v>
      </c>
      <c r="O521" s="1" t="s">
        <v>170</v>
      </c>
      <c r="P521" s="2">
        <v>203.97</v>
      </c>
      <c r="Q521" s="1" t="str">
        <f t="shared" si="24"/>
        <v>YES</v>
      </c>
      <c r="R521" s="2">
        <f t="shared" si="25"/>
        <v>262.25099999999998</v>
      </c>
      <c r="S521" s="2">
        <f>J521*G521</f>
        <v>60026.34</v>
      </c>
      <c r="T521" s="1">
        <f t="shared" ca="1" si="26"/>
        <v>95</v>
      </c>
      <c r="U521" s="1" t="s">
        <v>34</v>
      </c>
      <c r="V521" s="1" t="s">
        <v>34</v>
      </c>
      <c r="W521" s="1" t="s">
        <v>34</v>
      </c>
      <c r="X521" s="1" t="s">
        <v>2625</v>
      </c>
      <c r="Y521" s="1">
        <v>5.5</v>
      </c>
    </row>
    <row r="522" spans="1:25" x14ac:dyDescent="0.3">
      <c r="A522" s="1" t="s">
        <v>707</v>
      </c>
      <c r="B522" s="1" t="s">
        <v>172</v>
      </c>
      <c r="C522" s="1" t="s">
        <v>173</v>
      </c>
      <c r="D522" s="1" t="s">
        <v>132</v>
      </c>
      <c r="E522" s="1" t="s">
        <v>29</v>
      </c>
      <c r="F522" s="1" t="s">
        <v>30</v>
      </c>
      <c r="G522" s="2">
        <v>131.91</v>
      </c>
      <c r="H522" s="1">
        <v>6</v>
      </c>
      <c r="I522" s="1">
        <v>197</v>
      </c>
      <c r="J522" s="1">
        <v>184</v>
      </c>
      <c r="K522" s="1">
        <v>70</v>
      </c>
      <c r="L522" s="1">
        <v>120</v>
      </c>
      <c r="M522" s="1" t="s">
        <v>49</v>
      </c>
      <c r="N522" s="1" t="s">
        <v>32</v>
      </c>
      <c r="O522" s="1" t="s">
        <v>333</v>
      </c>
      <c r="P522" s="2">
        <v>92.34</v>
      </c>
      <c r="Q522" s="1" t="str">
        <f t="shared" si="24"/>
        <v>YES</v>
      </c>
      <c r="R522" s="2">
        <f t="shared" si="25"/>
        <v>118.71899999999999</v>
      </c>
      <c r="S522" s="2">
        <f>J522*G522</f>
        <v>24271.439999999999</v>
      </c>
      <c r="T522" s="1">
        <f t="shared" ca="1" si="26"/>
        <v>109</v>
      </c>
      <c r="U522" s="1" t="s">
        <v>34</v>
      </c>
      <c r="V522" s="1" t="s">
        <v>34</v>
      </c>
      <c r="W522" s="1" t="s">
        <v>34</v>
      </c>
      <c r="X522" s="1" t="s">
        <v>2643</v>
      </c>
      <c r="Y522" s="1">
        <v>6</v>
      </c>
    </row>
    <row r="523" spans="1:25" x14ac:dyDescent="0.3">
      <c r="A523" s="1" t="s">
        <v>708</v>
      </c>
      <c r="B523" s="1" t="s">
        <v>52</v>
      </c>
      <c r="C523" s="1" t="s">
        <v>53</v>
      </c>
      <c r="D523" s="1" t="s">
        <v>47</v>
      </c>
      <c r="E523" s="1" t="s">
        <v>40</v>
      </c>
      <c r="F523" s="1" t="s">
        <v>48</v>
      </c>
      <c r="G523" s="2">
        <v>225.34</v>
      </c>
      <c r="H523" s="1">
        <v>20</v>
      </c>
      <c r="I523" s="1">
        <v>232</v>
      </c>
      <c r="J523" s="1">
        <v>198</v>
      </c>
      <c r="K523" s="1">
        <v>97</v>
      </c>
      <c r="L523" s="1">
        <v>91</v>
      </c>
      <c r="M523" s="1" t="s">
        <v>31</v>
      </c>
      <c r="N523" s="1" t="s">
        <v>42</v>
      </c>
      <c r="O523" s="1" t="s">
        <v>109</v>
      </c>
      <c r="P523" s="2">
        <v>157.74</v>
      </c>
      <c r="Q523" s="1" t="str">
        <f t="shared" si="24"/>
        <v>YES</v>
      </c>
      <c r="R523" s="2">
        <f t="shared" si="25"/>
        <v>202.80600000000001</v>
      </c>
      <c r="S523" s="2">
        <f>J523*G523</f>
        <v>44617.32</v>
      </c>
      <c r="T523" s="1">
        <f t="shared" ca="1" si="26"/>
        <v>89</v>
      </c>
      <c r="U523" s="1" t="s">
        <v>34</v>
      </c>
      <c r="V523" s="1" t="s">
        <v>34</v>
      </c>
      <c r="W523" s="1" t="s">
        <v>34</v>
      </c>
      <c r="X523" s="1" t="s">
        <v>2811</v>
      </c>
      <c r="Y523" s="1">
        <v>6.5</v>
      </c>
    </row>
    <row r="524" spans="1:25" x14ac:dyDescent="0.3">
      <c r="A524" s="1" t="s">
        <v>709</v>
      </c>
      <c r="B524" s="1" t="s">
        <v>69</v>
      </c>
      <c r="C524" s="1" t="s">
        <v>70</v>
      </c>
      <c r="D524" s="1" t="s">
        <v>59</v>
      </c>
      <c r="E524" s="1" t="s">
        <v>29</v>
      </c>
      <c r="F524" s="1" t="s">
        <v>54</v>
      </c>
      <c r="G524" s="2">
        <v>107.49</v>
      </c>
      <c r="H524" s="1">
        <v>14</v>
      </c>
      <c r="I524" s="1">
        <v>183</v>
      </c>
      <c r="J524" s="1">
        <v>162</v>
      </c>
      <c r="K524" s="1">
        <v>104</v>
      </c>
      <c r="L524" s="1">
        <v>142</v>
      </c>
      <c r="M524" s="1" t="s">
        <v>31</v>
      </c>
      <c r="N524" s="1" t="s">
        <v>60</v>
      </c>
      <c r="O524" s="1" t="s">
        <v>336</v>
      </c>
      <c r="P524" s="2">
        <v>75.239999999999995</v>
      </c>
      <c r="Q524" s="1" t="str">
        <f t="shared" si="24"/>
        <v>YES</v>
      </c>
      <c r="R524" s="2">
        <f t="shared" si="25"/>
        <v>96.741</v>
      </c>
      <c r="S524" s="2">
        <f>J524*G524</f>
        <v>17413.379999999997</v>
      </c>
      <c r="T524" s="1">
        <f t="shared" ca="1" si="26"/>
        <v>131</v>
      </c>
      <c r="U524" s="1" t="s">
        <v>34</v>
      </c>
      <c r="V524" s="1" t="s">
        <v>34</v>
      </c>
      <c r="W524" s="1" t="s">
        <v>34</v>
      </c>
      <c r="X524" s="1" t="s">
        <v>2574</v>
      </c>
      <c r="Y524" s="1">
        <v>7</v>
      </c>
    </row>
    <row r="525" spans="1:25" x14ac:dyDescent="0.3">
      <c r="A525" s="1" t="s">
        <v>710</v>
      </c>
      <c r="B525" s="1" t="s">
        <v>118</v>
      </c>
      <c r="C525" s="1" t="s">
        <v>119</v>
      </c>
      <c r="D525" s="1" t="s">
        <v>97</v>
      </c>
      <c r="E525" s="1" t="s">
        <v>29</v>
      </c>
      <c r="F525" s="1" t="s">
        <v>54</v>
      </c>
      <c r="G525" s="2">
        <v>481.51</v>
      </c>
      <c r="H525" s="1">
        <v>11</v>
      </c>
      <c r="I525" s="1">
        <v>141</v>
      </c>
      <c r="J525" s="1">
        <v>127</v>
      </c>
      <c r="K525" s="1">
        <v>114</v>
      </c>
      <c r="L525" s="1">
        <v>85</v>
      </c>
      <c r="M525" s="1" t="s">
        <v>31</v>
      </c>
      <c r="N525" s="1" t="s">
        <v>32</v>
      </c>
      <c r="O525" s="1" t="s">
        <v>311</v>
      </c>
      <c r="P525" s="2">
        <v>337.06</v>
      </c>
      <c r="Q525" s="1" t="str">
        <f t="shared" si="24"/>
        <v>YES</v>
      </c>
      <c r="R525" s="2">
        <f t="shared" si="25"/>
        <v>433.35899999999998</v>
      </c>
      <c r="S525" s="2">
        <f>J525*G525</f>
        <v>61151.77</v>
      </c>
      <c r="T525" s="1">
        <f t="shared" ca="1" si="26"/>
        <v>80</v>
      </c>
      <c r="U525" s="1" t="s">
        <v>34</v>
      </c>
      <c r="V525" s="1" t="s">
        <v>34</v>
      </c>
      <c r="W525" s="1" t="s">
        <v>34</v>
      </c>
      <c r="X525" s="1" t="s">
        <v>2759</v>
      </c>
      <c r="Y525" s="1">
        <v>7.5</v>
      </c>
    </row>
    <row r="526" spans="1:25" x14ac:dyDescent="0.3">
      <c r="A526" s="1" t="s">
        <v>711</v>
      </c>
      <c r="B526" s="1" t="s">
        <v>26</v>
      </c>
      <c r="C526" s="1" t="s">
        <v>27</v>
      </c>
      <c r="D526" s="1" t="s">
        <v>28</v>
      </c>
      <c r="E526" s="1" t="s">
        <v>74</v>
      </c>
      <c r="F526" s="1" t="s">
        <v>54</v>
      </c>
      <c r="G526" s="2">
        <v>357.54</v>
      </c>
      <c r="H526" s="1">
        <v>14</v>
      </c>
      <c r="I526" s="1">
        <v>262</v>
      </c>
      <c r="J526" s="1">
        <v>250</v>
      </c>
      <c r="K526" s="1">
        <v>92</v>
      </c>
      <c r="L526" s="1">
        <v>90</v>
      </c>
      <c r="M526" s="1" t="s">
        <v>41</v>
      </c>
      <c r="N526" s="1" t="s">
        <v>60</v>
      </c>
      <c r="O526" s="1" t="s">
        <v>224</v>
      </c>
      <c r="P526" s="2">
        <v>250.28</v>
      </c>
      <c r="Q526" s="1" t="str">
        <f t="shared" si="24"/>
        <v>YES</v>
      </c>
      <c r="R526" s="2">
        <f t="shared" si="25"/>
        <v>321.786</v>
      </c>
      <c r="S526" s="2">
        <f>J526*G526</f>
        <v>89385</v>
      </c>
      <c r="T526" s="1">
        <f t="shared" ca="1" si="26"/>
        <v>140</v>
      </c>
      <c r="U526" s="1" t="s">
        <v>34</v>
      </c>
      <c r="V526" s="1" t="s">
        <v>34</v>
      </c>
      <c r="W526" s="1" t="s">
        <v>34</v>
      </c>
      <c r="X526" s="1" t="s">
        <v>2812</v>
      </c>
      <c r="Y526" s="1">
        <v>8</v>
      </c>
    </row>
    <row r="527" spans="1:25" x14ac:dyDescent="0.3">
      <c r="A527" s="1" t="s">
        <v>712</v>
      </c>
      <c r="B527" s="1" t="s">
        <v>69</v>
      </c>
      <c r="C527" s="1" t="s">
        <v>70</v>
      </c>
      <c r="D527" s="1" t="s">
        <v>59</v>
      </c>
      <c r="E527" s="1" t="s">
        <v>40</v>
      </c>
      <c r="F527" s="1" t="s">
        <v>54</v>
      </c>
      <c r="G527" s="2">
        <v>195.71</v>
      </c>
      <c r="H527" s="1">
        <v>1</v>
      </c>
      <c r="I527" s="1">
        <v>193</v>
      </c>
      <c r="J527" s="1">
        <v>160</v>
      </c>
      <c r="K527" s="1">
        <v>92</v>
      </c>
      <c r="L527" s="1">
        <v>101</v>
      </c>
      <c r="M527" s="1" t="s">
        <v>49</v>
      </c>
      <c r="N527" s="1" t="s">
        <v>60</v>
      </c>
      <c r="O527" s="1" t="s">
        <v>203</v>
      </c>
      <c r="P527" s="2">
        <v>137</v>
      </c>
      <c r="Q527" s="1" t="str">
        <f t="shared" si="24"/>
        <v>YES</v>
      </c>
      <c r="R527" s="2">
        <f t="shared" si="25"/>
        <v>176.13900000000001</v>
      </c>
      <c r="S527" s="2">
        <f>J527*G527</f>
        <v>31313.600000000002</v>
      </c>
      <c r="T527" s="1">
        <f t="shared" ca="1" si="26"/>
        <v>102</v>
      </c>
      <c r="U527" s="1" t="s">
        <v>34</v>
      </c>
      <c r="V527" s="1" t="s">
        <v>34</v>
      </c>
      <c r="W527" s="1" t="s">
        <v>34</v>
      </c>
      <c r="X527" s="1" t="s">
        <v>2589</v>
      </c>
      <c r="Y527" s="1">
        <v>8.5</v>
      </c>
    </row>
    <row r="528" spans="1:25" x14ac:dyDescent="0.3">
      <c r="A528" s="1" t="s">
        <v>713</v>
      </c>
      <c r="B528" s="1" t="s">
        <v>166</v>
      </c>
      <c r="C528" s="1" t="s">
        <v>167</v>
      </c>
      <c r="D528" s="1" t="s">
        <v>59</v>
      </c>
      <c r="E528" s="1" t="s">
        <v>74</v>
      </c>
      <c r="F528" s="1" t="s">
        <v>48</v>
      </c>
      <c r="G528" s="2">
        <v>276.64999999999998</v>
      </c>
      <c r="H528" s="1">
        <v>10</v>
      </c>
      <c r="I528" s="1">
        <v>101</v>
      </c>
      <c r="J528" s="1">
        <v>65</v>
      </c>
      <c r="K528" s="1">
        <v>82</v>
      </c>
      <c r="L528" s="1">
        <v>63</v>
      </c>
      <c r="M528" s="1" t="s">
        <v>31</v>
      </c>
      <c r="N528" s="1" t="s">
        <v>60</v>
      </c>
      <c r="O528" s="1" t="s">
        <v>398</v>
      </c>
      <c r="P528" s="2">
        <v>193.65</v>
      </c>
      <c r="Q528" s="1" t="str">
        <f t="shared" si="24"/>
        <v>NO</v>
      </c>
      <c r="R528" s="2">
        <f t="shared" si="25"/>
        <v>276.64999999999998</v>
      </c>
      <c r="S528" s="2">
        <f>J528*G528</f>
        <v>17982.25</v>
      </c>
      <c r="T528" s="1">
        <f t="shared" ca="1" si="26"/>
        <v>86</v>
      </c>
      <c r="U528" s="1" t="s">
        <v>34</v>
      </c>
      <c r="V528" s="1" t="s">
        <v>34</v>
      </c>
      <c r="W528" s="1" t="s">
        <v>34</v>
      </c>
      <c r="X528" s="1" t="s">
        <v>2813</v>
      </c>
      <c r="Y528" s="1">
        <v>9</v>
      </c>
    </row>
    <row r="529" spans="1:25" x14ac:dyDescent="0.3">
      <c r="A529" s="1" t="s">
        <v>714</v>
      </c>
      <c r="B529" s="1" t="s">
        <v>111</v>
      </c>
      <c r="C529" s="1" t="s">
        <v>112</v>
      </c>
      <c r="D529" s="1" t="s">
        <v>97</v>
      </c>
      <c r="E529" s="1" t="s">
        <v>74</v>
      </c>
      <c r="F529" s="1" t="s">
        <v>30</v>
      </c>
      <c r="G529" s="2">
        <v>416.35</v>
      </c>
      <c r="H529" s="1">
        <v>14</v>
      </c>
      <c r="I529" s="1">
        <v>94</v>
      </c>
      <c r="J529" s="1">
        <v>72</v>
      </c>
      <c r="K529" s="1">
        <v>99</v>
      </c>
      <c r="L529" s="1">
        <v>75</v>
      </c>
      <c r="M529" s="1" t="s">
        <v>41</v>
      </c>
      <c r="N529" s="1" t="s">
        <v>42</v>
      </c>
      <c r="O529" s="1" t="s">
        <v>229</v>
      </c>
      <c r="P529" s="2">
        <v>291.44</v>
      </c>
      <c r="Q529" s="1" t="str">
        <f t="shared" si="24"/>
        <v>NO</v>
      </c>
      <c r="R529" s="2">
        <f t="shared" si="25"/>
        <v>416.35</v>
      </c>
      <c r="S529" s="2">
        <f>J529*G529</f>
        <v>29977.200000000001</v>
      </c>
      <c r="T529" s="1">
        <f t="shared" ca="1" si="26"/>
        <v>128</v>
      </c>
      <c r="U529" s="1" t="s">
        <v>34</v>
      </c>
      <c r="V529" s="1" t="s">
        <v>34</v>
      </c>
      <c r="W529" s="1" t="s">
        <v>34</v>
      </c>
      <c r="X529" s="1" t="s">
        <v>2572</v>
      </c>
      <c r="Y529" s="1">
        <v>9.5</v>
      </c>
    </row>
    <row r="530" spans="1:25" x14ac:dyDescent="0.3">
      <c r="A530" s="1" t="s">
        <v>715</v>
      </c>
      <c r="B530" s="1" t="s">
        <v>37</v>
      </c>
      <c r="C530" s="1" t="s">
        <v>38</v>
      </c>
      <c r="D530" s="1" t="s">
        <v>39</v>
      </c>
      <c r="E530" s="1" t="s">
        <v>74</v>
      </c>
      <c r="F530" s="1" t="s">
        <v>54</v>
      </c>
      <c r="G530" s="2">
        <v>335.15</v>
      </c>
      <c r="H530" s="1">
        <v>3</v>
      </c>
      <c r="I530" s="1">
        <v>137</v>
      </c>
      <c r="J530" s="1">
        <v>133</v>
      </c>
      <c r="K530" s="1">
        <v>99</v>
      </c>
      <c r="L530" s="1">
        <v>79</v>
      </c>
      <c r="M530" s="1" t="s">
        <v>41</v>
      </c>
      <c r="N530" s="1" t="s">
        <v>60</v>
      </c>
      <c r="O530" s="1" t="s">
        <v>137</v>
      </c>
      <c r="P530" s="2">
        <v>234.6</v>
      </c>
      <c r="Q530" s="1" t="str">
        <f t="shared" si="24"/>
        <v>YES</v>
      </c>
      <c r="R530" s="2">
        <f t="shared" si="25"/>
        <v>301.63499999999999</v>
      </c>
      <c r="S530" s="2">
        <f>J530*G530</f>
        <v>44574.95</v>
      </c>
      <c r="T530" s="1">
        <f t="shared" ca="1" si="26"/>
        <v>107</v>
      </c>
      <c r="U530" s="1" t="s">
        <v>34</v>
      </c>
      <c r="V530" s="1" t="s">
        <v>34</v>
      </c>
      <c r="W530" s="1" t="s">
        <v>34</v>
      </c>
      <c r="X530" s="1" t="s">
        <v>2610</v>
      </c>
      <c r="Y530" s="1">
        <v>5</v>
      </c>
    </row>
    <row r="531" spans="1:25" x14ac:dyDescent="0.3">
      <c r="A531" s="1" t="s">
        <v>716</v>
      </c>
      <c r="B531" s="1" t="s">
        <v>83</v>
      </c>
      <c r="C531" s="1" t="s">
        <v>84</v>
      </c>
      <c r="D531" s="1" t="s">
        <v>85</v>
      </c>
      <c r="E531" s="1" t="s">
        <v>74</v>
      </c>
      <c r="F531" s="1" t="s">
        <v>30</v>
      </c>
      <c r="G531" s="2">
        <v>241.04</v>
      </c>
      <c r="H531" s="1">
        <v>11</v>
      </c>
      <c r="I531" s="1">
        <v>250</v>
      </c>
      <c r="J531" s="1">
        <v>216</v>
      </c>
      <c r="K531" s="1">
        <v>111</v>
      </c>
      <c r="L531" s="1">
        <v>129</v>
      </c>
      <c r="M531" s="1" t="s">
        <v>49</v>
      </c>
      <c r="N531" s="1" t="s">
        <v>42</v>
      </c>
      <c r="O531" s="1" t="s">
        <v>100</v>
      </c>
      <c r="P531" s="2">
        <v>168.73</v>
      </c>
      <c r="Q531" s="1" t="str">
        <f t="shared" si="24"/>
        <v>YES</v>
      </c>
      <c r="R531" s="2">
        <f t="shared" si="25"/>
        <v>216.93600000000001</v>
      </c>
      <c r="S531" s="2">
        <f>J531*G531</f>
        <v>52064.639999999999</v>
      </c>
      <c r="T531" s="1">
        <f t="shared" ca="1" si="26"/>
        <v>137</v>
      </c>
      <c r="U531" s="1" t="s">
        <v>34</v>
      </c>
      <c r="V531" s="1" t="s">
        <v>34</v>
      </c>
      <c r="W531" s="1" t="s">
        <v>34</v>
      </c>
      <c r="X531" s="1" t="s">
        <v>2642</v>
      </c>
      <c r="Y531" s="1">
        <v>5.5</v>
      </c>
    </row>
    <row r="532" spans="1:25" x14ac:dyDescent="0.3">
      <c r="A532" s="1" t="s">
        <v>717</v>
      </c>
      <c r="B532" s="1" t="s">
        <v>126</v>
      </c>
      <c r="C532" s="1" t="s">
        <v>127</v>
      </c>
      <c r="D532" s="1" t="s">
        <v>85</v>
      </c>
      <c r="E532" s="1" t="s">
        <v>40</v>
      </c>
      <c r="F532" s="1" t="s">
        <v>30</v>
      </c>
      <c r="G532" s="2">
        <v>63.21</v>
      </c>
      <c r="H532" s="1">
        <v>10</v>
      </c>
      <c r="I532" s="1">
        <v>266</v>
      </c>
      <c r="J532" s="1">
        <v>257</v>
      </c>
      <c r="K532" s="1">
        <v>50</v>
      </c>
      <c r="L532" s="1">
        <v>81</v>
      </c>
      <c r="M532" s="1" t="s">
        <v>41</v>
      </c>
      <c r="N532" s="1" t="s">
        <v>32</v>
      </c>
      <c r="O532" s="1" t="s">
        <v>113</v>
      </c>
      <c r="P532" s="2">
        <v>44.25</v>
      </c>
      <c r="Q532" s="1" t="str">
        <f t="shared" si="24"/>
        <v>YES</v>
      </c>
      <c r="R532" s="2">
        <f t="shared" si="25"/>
        <v>56.889000000000003</v>
      </c>
      <c r="S532" s="2">
        <f>J532*G532</f>
        <v>16244.97</v>
      </c>
      <c r="T532" s="1">
        <f t="shared" ca="1" si="26"/>
        <v>82</v>
      </c>
      <c r="U532" s="1" t="s">
        <v>34</v>
      </c>
      <c r="V532" s="1" t="s">
        <v>34</v>
      </c>
      <c r="W532" s="1" t="s">
        <v>34</v>
      </c>
      <c r="X532" s="1" t="s">
        <v>2767</v>
      </c>
      <c r="Y532" s="1">
        <v>6</v>
      </c>
    </row>
    <row r="533" spans="1:25" x14ac:dyDescent="0.3">
      <c r="A533" s="1" t="s">
        <v>718</v>
      </c>
      <c r="B533" s="1" t="s">
        <v>111</v>
      </c>
      <c r="C533" s="1" t="s">
        <v>112</v>
      </c>
      <c r="D533" s="1" t="s">
        <v>97</v>
      </c>
      <c r="E533" s="1" t="s">
        <v>40</v>
      </c>
      <c r="F533" s="1" t="s">
        <v>54</v>
      </c>
      <c r="G533" s="2">
        <v>294.48</v>
      </c>
      <c r="H533" s="1">
        <v>13</v>
      </c>
      <c r="I533" s="1">
        <v>152</v>
      </c>
      <c r="J533" s="1">
        <v>138</v>
      </c>
      <c r="K533" s="1">
        <v>83</v>
      </c>
      <c r="L533" s="1">
        <v>120</v>
      </c>
      <c r="M533" s="1" t="s">
        <v>41</v>
      </c>
      <c r="N533" s="1" t="s">
        <v>60</v>
      </c>
      <c r="O533" s="1" t="s">
        <v>311</v>
      </c>
      <c r="P533" s="2">
        <v>206.14</v>
      </c>
      <c r="Q533" s="1" t="str">
        <f t="shared" si="24"/>
        <v>YES</v>
      </c>
      <c r="R533" s="2">
        <f t="shared" si="25"/>
        <v>265.03200000000004</v>
      </c>
      <c r="S533" s="2">
        <f>J533*G533</f>
        <v>40638.240000000005</v>
      </c>
      <c r="T533" s="1">
        <f t="shared" ca="1" si="26"/>
        <v>80</v>
      </c>
      <c r="U533" s="1" t="s">
        <v>34</v>
      </c>
      <c r="V533" s="1" t="s">
        <v>34</v>
      </c>
      <c r="W533" s="1" t="s">
        <v>34</v>
      </c>
      <c r="X533" s="1" t="s">
        <v>2632</v>
      </c>
      <c r="Y533" s="1">
        <v>6.5</v>
      </c>
    </row>
    <row r="534" spans="1:25" x14ac:dyDescent="0.3">
      <c r="A534" s="1" t="s">
        <v>719</v>
      </c>
      <c r="B534" s="1" t="s">
        <v>299</v>
      </c>
      <c r="C534" s="1" t="s">
        <v>300</v>
      </c>
      <c r="D534" s="1" t="s">
        <v>39</v>
      </c>
      <c r="E534" s="1" t="s">
        <v>29</v>
      </c>
      <c r="F534" s="1" t="s">
        <v>30</v>
      </c>
      <c r="G534" s="2">
        <v>347.58</v>
      </c>
      <c r="H534" s="1">
        <v>13</v>
      </c>
      <c r="I534" s="1">
        <v>99</v>
      </c>
      <c r="J534" s="1">
        <v>98</v>
      </c>
      <c r="K534" s="1">
        <v>93</v>
      </c>
      <c r="L534" s="1">
        <v>84</v>
      </c>
      <c r="M534" s="1" t="s">
        <v>31</v>
      </c>
      <c r="N534" s="1" t="s">
        <v>60</v>
      </c>
      <c r="O534" s="1" t="s">
        <v>199</v>
      </c>
      <c r="P534" s="2">
        <v>243.31</v>
      </c>
      <c r="Q534" s="1" t="str">
        <f t="shared" si="24"/>
        <v>YES</v>
      </c>
      <c r="R534" s="2">
        <f t="shared" si="25"/>
        <v>312.822</v>
      </c>
      <c r="S534" s="2">
        <f>J534*G534</f>
        <v>34062.839999999997</v>
      </c>
      <c r="T534" s="1">
        <f t="shared" ca="1" si="26"/>
        <v>129</v>
      </c>
      <c r="U534" s="1" t="s">
        <v>34</v>
      </c>
      <c r="V534" s="1" t="s">
        <v>34</v>
      </c>
      <c r="W534" s="1" t="s">
        <v>34</v>
      </c>
      <c r="X534" s="1" t="s">
        <v>2519</v>
      </c>
      <c r="Y534" s="1">
        <v>7</v>
      </c>
    </row>
    <row r="535" spans="1:25" x14ac:dyDescent="0.3">
      <c r="A535" s="1" t="s">
        <v>720</v>
      </c>
      <c r="B535" s="1" t="s">
        <v>262</v>
      </c>
      <c r="C535" s="1" t="s">
        <v>263</v>
      </c>
      <c r="D535" s="1" t="s">
        <v>104</v>
      </c>
      <c r="E535" s="1" t="s">
        <v>40</v>
      </c>
      <c r="F535" s="1" t="s">
        <v>54</v>
      </c>
      <c r="G535" s="2">
        <v>399.76</v>
      </c>
      <c r="H535" s="1">
        <v>14</v>
      </c>
      <c r="I535" s="1">
        <v>290</v>
      </c>
      <c r="J535" s="1">
        <v>253</v>
      </c>
      <c r="K535" s="1">
        <v>86</v>
      </c>
      <c r="L535" s="1">
        <v>150</v>
      </c>
      <c r="M535" s="1" t="s">
        <v>41</v>
      </c>
      <c r="N535" s="1" t="s">
        <v>60</v>
      </c>
      <c r="O535" s="1" t="s">
        <v>88</v>
      </c>
      <c r="P535" s="2">
        <v>279.83</v>
      </c>
      <c r="Q535" s="1" t="str">
        <f t="shared" si="24"/>
        <v>YES</v>
      </c>
      <c r="R535" s="2">
        <f t="shared" si="25"/>
        <v>359.78399999999999</v>
      </c>
      <c r="S535" s="2">
        <f>J535*G535</f>
        <v>101139.28</v>
      </c>
      <c r="T535" s="1">
        <f t="shared" ca="1" si="26"/>
        <v>124</v>
      </c>
      <c r="U535" s="1" t="s">
        <v>34</v>
      </c>
      <c r="V535" s="1" t="s">
        <v>34</v>
      </c>
      <c r="W535" s="1" t="s">
        <v>34</v>
      </c>
      <c r="X535" s="1" t="s">
        <v>2603</v>
      </c>
      <c r="Y535" s="1">
        <v>7.5</v>
      </c>
    </row>
    <row r="536" spans="1:25" x14ac:dyDescent="0.3">
      <c r="A536" s="1" t="s">
        <v>721</v>
      </c>
      <c r="B536" s="1" t="s">
        <v>118</v>
      </c>
      <c r="C536" s="1" t="s">
        <v>119</v>
      </c>
      <c r="D536" s="1" t="s">
        <v>97</v>
      </c>
      <c r="E536" s="1" t="s">
        <v>40</v>
      </c>
      <c r="F536" s="1" t="s">
        <v>30</v>
      </c>
      <c r="G536" s="2">
        <v>388.82</v>
      </c>
      <c r="H536" s="1">
        <v>0</v>
      </c>
      <c r="I536" s="1">
        <v>136</v>
      </c>
      <c r="J536" s="1">
        <v>105</v>
      </c>
      <c r="K536" s="1">
        <v>62</v>
      </c>
      <c r="L536" s="1">
        <v>139</v>
      </c>
      <c r="M536" s="1" t="s">
        <v>41</v>
      </c>
      <c r="N536" s="1" t="s">
        <v>60</v>
      </c>
      <c r="O536" s="1" t="s">
        <v>128</v>
      </c>
      <c r="P536" s="2">
        <v>272.17</v>
      </c>
      <c r="Q536" s="1" t="str">
        <f t="shared" si="24"/>
        <v>YES</v>
      </c>
      <c r="R536" s="2">
        <f t="shared" si="25"/>
        <v>349.93799999999999</v>
      </c>
      <c r="S536" s="2">
        <f>J536*G536</f>
        <v>40826.1</v>
      </c>
      <c r="T536" s="1">
        <f t="shared" ca="1" si="26"/>
        <v>77</v>
      </c>
      <c r="U536" s="1" t="s">
        <v>34</v>
      </c>
      <c r="V536" s="1" t="s">
        <v>34</v>
      </c>
      <c r="W536" s="1" t="s">
        <v>34</v>
      </c>
      <c r="X536" s="1" t="s">
        <v>2567</v>
      </c>
      <c r="Y536" s="1">
        <v>8</v>
      </c>
    </row>
    <row r="537" spans="1:25" x14ac:dyDescent="0.3">
      <c r="A537" s="1" t="s">
        <v>722</v>
      </c>
      <c r="B537" s="1" t="s">
        <v>26</v>
      </c>
      <c r="C537" s="1" t="s">
        <v>27</v>
      </c>
      <c r="D537" s="1" t="s">
        <v>28</v>
      </c>
      <c r="E537" s="1" t="s">
        <v>29</v>
      </c>
      <c r="F537" s="1" t="s">
        <v>48</v>
      </c>
      <c r="G537" s="2">
        <v>215.97</v>
      </c>
      <c r="H537" s="1">
        <v>12</v>
      </c>
      <c r="I537" s="1">
        <v>160</v>
      </c>
      <c r="J537" s="1">
        <v>132</v>
      </c>
      <c r="K537" s="1">
        <v>115</v>
      </c>
      <c r="L537" s="1">
        <v>134</v>
      </c>
      <c r="M537" s="1" t="s">
        <v>41</v>
      </c>
      <c r="N537" s="1" t="s">
        <v>32</v>
      </c>
      <c r="O537" s="1" t="s">
        <v>361</v>
      </c>
      <c r="P537" s="2">
        <v>151.18</v>
      </c>
      <c r="Q537" s="1" t="str">
        <f t="shared" si="24"/>
        <v>YES</v>
      </c>
      <c r="R537" s="2">
        <f t="shared" si="25"/>
        <v>194.37299999999999</v>
      </c>
      <c r="S537" s="2">
        <f>J537*G537</f>
        <v>28508.04</v>
      </c>
      <c r="T537" s="1">
        <f t="shared" ca="1" si="26"/>
        <v>99</v>
      </c>
      <c r="U537" s="1" t="s">
        <v>34</v>
      </c>
      <c r="V537" s="1" t="s">
        <v>34</v>
      </c>
      <c r="W537" s="1" t="s">
        <v>34</v>
      </c>
      <c r="X537" s="1" t="s">
        <v>2582</v>
      </c>
      <c r="Y537" s="1">
        <v>8.5</v>
      </c>
    </row>
    <row r="538" spans="1:25" x14ac:dyDescent="0.3">
      <c r="A538" s="1" t="s">
        <v>723</v>
      </c>
      <c r="B538" s="1" t="s">
        <v>176</v>
      </c>
      <c r="C538" s="1" t="s">
        <v>177</v>
      </c>
      <c r="D538" s="1" t="s">
        <v>39</v>
      </c>
      <c r="E538" s="1" t="s">
        <v>29</v>
      </c>
      <c r="F538" s="1" t="s">
        <v>54</v>
      </c>
      <c r="G538" s="2">
        <v>462.24</v>
      </c>
      <c r="H538" s="1">
        <v>0</v>
      </c>
      <c r="I538" s="1">
        <v>114</v>
      </c>
      <c r="J538" s="1">
        <v>86</v>
      </c>
      <c r="K538" s="1">
        <v>59</v>
      </c>
      <c r="L538" s="1">
        <v>79</v>
      </c>
      <c r="M538" s="1" t="s">
        <v>41</v>
      </c>
      <c r="N538" s="1" t="s">
        <v>60</v>
      </c>
      <c r="O538" s="1" t="s">
        <v>390</v>
      </c>
      <c r="P538" s="2">
        <v>323.57</v>
      </c>
      <c r="Q538" s="1" t="str">
        <f t="shared" si="24"/>
        <v>YES</v>
      </c>
      <c r="R538" s="2">
        <f t="shared" si="25"/>
        <v>416.01600000000002</v>
      </c>
      <c r="S538" s="2">
        <f>J538*G538</f>
        <v>39752.639999999999</v>
      </c>
      <c r="T538" s="1">
        <f t="shared" ca="1" si="26"/>
        <v>120</v>
      </c>
      <c r="U538" s="1" t="s">
        <v>34</v>
      </c>
      <c r="V538" s="1" t="s">
        <v>34</v>
      </c>
      <c r="W538" s="1" t="s">
        <v>34</v>
      </c>
      <c r="X538" s="1" t="s">
        <v>2561</v>
      </c>
      <c r="Y538" s="1">
        <v>9</v>
      </c>
    </row>
    <row r="539" spans="1:25" x14ac:dyDescent="0.3">
      <c r="A539" s="1" t="s">
        <v>724</v>
      </c>
      <c r="B539" s="1" t="s">
        <v>126</v>
      </c>
      <c r="C539" s="1" t="s">
        <v>127</v>
      </c>
      <c r="D539" s="1" t="s">
        <v>85</v>
      </c>
      <c r="E539" s="1" t="s">
        <v>74</v>
      </c>
      <c r="F539" s="1" t="s">
        <v>30</v>
      </c>
      <c r="G539" s="2">
        <v>186.59</v>
      </c>
      <c r="H539" s="1">
        <v>2</v>
      </c>
      <c r="I539" s="1">
        <v>167</v>
      </c>
      <c r="J539" s="1">
        <v>141</v>
      </c>
      <c r="K539" s="1">
        <v>100</v>
      </c>
      <c r="L539" s="1">
        <v>67</v>
      </c>
      <c r="M539" s="1" t="s">
        <v>31</v>
      </c>
      <c r="N539" s="1" t="s">
        <v>42</v>
      </c>
      <c r="O539" s="1" t="s">
        <v>220</v>
      </c>
      <c r="P539" s="2">
        <v>130.61000000000001</v>
      </c>
      <c r="Q539" s="1" t="str">
        <f t="shared" si="24"/>
        <v>YES</v>
      </c>
      <c r="R539" s="2">
        <f t="shared" si="25"/>
        <v>167.93100000000001</v>
      </c>
      <c r="S539" s="2">
        <f>J539*G539</f>
        <v>26309.19</v>
      </c>
      <c r="T539" s="1">
        <f t="shared" ca="1" si="26"/>
        <v>106</v>
      </c>
      <c r="U539" s="1" t="s">
        <v>34</v>
      </c>
      <c r="V539" s="1" t="s">
        <v>34</v>
      </c>
      <c r="W539" s="1" t="s">
        <v>34</v>
      </c>
      <c r="X539" s="1" t="s">
        <v>2613</v>
      </c>
      <c r="Y539" s="1">
        <v>9.5</v>
      </c>
    </row>
    <row r="540" spans="1:25" x14ac:dyDescent="0.3">
      <c r="A540" s="1" t="s">
        <v>725</v>
      </c>
      <c r="B540" s="1" t="s">
        <v>77</v>
      </c>
      <c r="C540" s="1" t="s">
        <v>78</v>
      </c>
      <c r="D540" s="1" t="s">
        <v>47</v>
      </c>
      <c r="E540" s="1" t="s">
        <v>74</v>
      </c>
      <c r="F540" s="1" t="s">
        <v>54</v>
      </c>
      <c r="G540" s="2">
        <v>397.73</v>
      </c>
      <c r="H540" s="1">
        <v>0</v>
      </c>
      <c r="I540" s="1">
        <v>132</v>
      </c>
      <c r="J540" s="1">
        <v>119</v>
      </c>
      <c r="K540" s="1">
        <v>115</v>
      </c>
      <c r="L540" s="1">
        <v>123</v>
      </c>
      <c r="M540" s="1" t="s">
        <v>49</v>
      </c>
      <c r="N540" s="1" t="s">
        <v>42</v>
      </c>
      <c r="O540" s="1" t="s">
        <v>170</v>
      </c>
      <c r="P540" s="2">
        <v>278.41000000000003</v>
      </c>
      <c r="Q540" s="1" t="str">
        <f t="shared" si="24"/>
        <v>YES</v>
      </c>
      <c r="R540" s="2">
        <f t="shared" si="25"/>
        <v>357.95700000000005</v>
      </c>
      <c r="S540" s="2">
        <f>J540*G540</f>
        <v>47329.87</v>
      </c>
      <c r="T540" s="1">
        <f t="shared" ca="1" si="26"/>
        <v>95</v>
      </c>
      <c r="U540" s="1" t="s">
        <v>34</v>
      </c>
      <c r="V540" s="1" t="s">
        <v>34</v>
      </c>
      <c r="W540" s="1" t="s">
        <v>34</v>
      </c>
      <c r="X540" s="1" t="s">
        <v>2814</v>
      </c>
      <c r="Y540" s="1">
        <v>5</v>
      </c>
    </row>
    <row r="541" spans="1:25" x14ac:dyDescent="0.3">
      <c r="A541" s="1" t="s">
        <v>726</v>
      </c>
      <c r="B541" s="1" t="s">
        <v>172</v>
      </c>
      <c r="C541" s="1" t="s">
        <v>173</v>
      </c>
      <c r="D541" s="1" t="s">
        <v>132</v>
      </c>
      <c r="E541" s="1" t="s">
        <v>29</v>
      </c>
      <c r="F541" s="1" t="s">
        <v>30</v>
      </c>
      <c r="G541" s="2">
        <v>317.14999999999998</v>
      </c>
      <c r="H541" s="1">
        <v>11</v>
      </c>
      <c r="I541" s="1">
        <v>222</v>
      </c>
      <c r="J541" s="1">
        <v>207</v>
      </c>
      <c r="K541" s="1">
        <v>118</v>
      </c>
      <c r="L541" s="1">
        <v>124</v>
      </c>
      <c r="M541" s="1" t="s">
        <v>41</v>
      </c>
      <c r="N541" s="1" t="s">
        <v>32</v>
      </c>
      <c r="O541" s="1" t="s">
        <v>220</v>
      </c>
      <c r="P541" s="2">
        <v>222</v>
      </c>
      <c r="Q541" s="1" t="str">
        <f t="shared" si="24"/>
        <v>YES</v>
      </c>
      <c r="R541" s="2">
        <f t="shared" si="25"/>
        <v>285.435</v>
      </c>
      <c r="S541" s="2">
        <f>J541*G541</f>
        <v>65650.049999999988</v>
      </c>
      <c r="T541" s="1">
        <f t="shared" ca="1" si="26"/>
        <v>106</v>
      </c>
      <c r="U541" s="1" t="s">
        <v>34</v>
      </c>
      <c r="V541" s="1" t="s">
        <v>34</v>
      </c>
      <c r="W541" s="1" t="s">
        <v>34</v>
      </c>
      <c r="X541" s="1" t="s">
        <v>2815</v>
      </c>
      <c r="Y541" s="1">
        <v>5.5</v>
      </c>
    </row>
    <row r="542" spans="1:25" x14ac:dyDescent="0.3">
      <c r="A542" s="1" t="s">
        <v>727</v>
      </c>
      <c r="B542" s="1" t="s">
        <v>123</v>
      </c>
      <c r="C542" s="1" t="s">
        <v>124</v>
      </c>
      <c r="D542" s="1" t="s">
        <v>47</v>
      </c>
      <c r="E542" s="1" t="s">
        <v>29</v>
      </c>
      <c r="F542" s="1" t="s">
        <v>48</v>
      </c>
      <c r="G542" s="2">
        <v>148.08000000000001</v>
      </c>
      <c r="H542" s="1">
        <v>13</v>
      </c>
      <c r="I542" s="1">
        <v>111</v>
      </c>
      <c r="J542" s="1">
        <v>87</v>
      </c>
      <c r="K542" s="1">
        <v>88</v>
      </c>
      <c r="L542" s="1">
        <v>112</v>
      </c>
      <c r="M542" s="1" t="s">
        <v>41</v>
      </c>
      <c r="N542" s="1" t="s">
        <v>32</v>
      </c>
      <c r="O542" s="1" t="s">
        <v>109</v>
      </c>
      <c r="P542" s="2">
        <v>103.66</v>
      </c>
      <c r="Q542" s="1" t="str">
        <f t="shared" si="24"/>
        <v>NO</v>
      </c>
      <c r="R542" s="2">
        <f t="shared" si="25"/>
        <v>148.08000000000001</v>
      </c>
      <c r="S542" s="2">
        <f>J542*G542</f>
        <v>12882.960000000001</v>
      </c>
      <c r="T542" s="1">
        <f t="shared" ca="1" si="26"/>
        <v>89</v>
      </c>
      <c r="U542" s="1" t="s">
        <v>34</v>
      </c>
      <c r="V542" s="1" t="s">
        <v>34</v>
      </c>
      <c r="W542" s="1" t="s">
        <v>34</v>
      </c>
      <c r="X542" s="1" t="s">
        <v>2539</v>
      </c>
      <c r="Y542" s="1">
        <v>6</v>
      </c>
    </row>
    <row r="543" spans="1:25" x14ac:dyDescent="0.3">
      <c r="A543" s="1" t="s">
        <v>728</v>
      </c>
      <c r="B543" s="1" t="s">
        <v>262</v>
      </c>
      <c r="C543" s="1" t="s">
        <v>263</v>
      </c>
      <c r="D543" s="1" t="s">
        <v>104</v>
      </c>
      <c r="E543" s="1" t="s">
        <v>40</v>
      </c>
      <c r="F543" s="1" t="s">
        <v>30</v>
      </c>
      <c r="G543" s="2">
        <v>132.77000000000001</v>
      </c>
      <c r="H543" s="1">
        <v>8</v>
      </c>
      <c r="I543" s="1">
        <v>218</v>
      </c>
      <c r="J543" s="1">
        <v>183</v>
      </c>
      <c r="K543" s="1">
        <v>86</v>
      </c>
      <c r="L543" s="1">
        <v>75</v>
      </c>
      <c r="M543" s="1" t="s">
        <v>41</v>
      </c>
      <c r="N543" s="1" t="s">
        <v>60</v>
      </c>
      <c r="O543" s="1" t="s">
        <v>178</v>
      </c>
      <c r="P543" s="2">
        <v>92.94</v>
      </c>
      <c r="Q543" s="1" t="str">
        <f t="shared" si="24"/>
        <v>YES</v>
      </c>
      <c r="R543" s="2">
        <f t="shared" si="25"/>
        <v>119.49300000000001</v>
      </c>
      <c r="S543" s="2">
        <f>J543*G543</f>
        <v>24296.910000000003</v>
      </c>
      <c r="T543" s="1">
        <f t="shared" ca="1" si="26"/>
        <v>90</v>
      </c>
      <c r="U543" s="1" t="s">
        <v>34</v>
      </c>
      <c r="V543" s="1" t="s">
        <v>34</v>
      </c>
      <c r="W543" s="1" t="s">
        <v>34</v>
      </c>
      <c r="X543" s="1" t="s">
        <v>2778</v>
      </c>
      <c r="Y543" s="1">
        <v>6.5</v>
      </c>
    </row>
    <row r="544" spans="1:25" x14ac:dyDescent="0.3">
      <c r="A544" s="1" t="s">
        <v>729</v>
      </c>
      <c r="B544" s="1" t="s">
        <v>102</v>
      </c>
      <c r="C544" s="1" t="s">
        <v>103</v>
      </c>
      <c r="D544" s="1" t="s">
        <v>104</v>
      </c>
      <c r="E544" s="1" t="s">
        <v>74</v>
      </c>
      <c r="F544" s="1" t="s">
        <v>30</v>
      </c>
      <c r="G544" s="2">
        <v>133.66</v>
      </c>
      <c r="H544" s="1">
        <v>13</v>
      </c>
      <c r="I544" s="1">
        <v>213</v>
      </c>
      <c r="J544" s="1">
        <v>203</v>
      </c>
      <c r="K544" s="1">
        <v>71</v>
      </c>
      <c r="L544" s="1">
        <v>62</v>
      </c>
      <c r="M544" s="1" t="s">
        <v>49</v>
      </c>
      <c r="N544" s="1" t="s">
        <v>60</v>
      </c>
      <c r="O544" s="1" t="s">
        <v>81</v>
      </c>
      <c r="P544" s="2">
        <v>93.56</v>
      </c>
      <c r="Q544" s="1" t="str">
        <f t="shared" si="24"/>
        <v>YES</v>
      </c>
      <c r="R544" s="2">
        <f t="shared" si="25"/>
        <v>120.294</v>
      </c>
      <c r="S544" s="2">
        <f>J544*G544</f>
        <v>27132.98</v>
      </c>
      <c r="T544" s="1">
        <f t="shared" ca="1" si="26"/>
        <v>81</v>
      </c>
      <c r="U544" s="1" t="s">
        <v>34</v>
      </c>
      <c r="V544" s="1" t="s">
        <v>34</v>
      </c>
      <c r="W544" s="1" t="s">
        <v>34</v>
      </c>
      <c r="X544" s="1" t="s">
        <v>2759</v>
      </c>
      <c r="Y544" s="1">
        <v>7</v>
      </c>
    </row>
    <row r="545" spans="1:25" x14ac:dyDescent="0.3">
      <c r="A545" s="1" t="s">
        <v>730</v>
      </c>
      <c r="B545" s="1" t="s">
        <v>52</v>
      </c>
      <c r="C545" s="1" t="s">
        <v>53</v>
      </c>
      <c r="D545" s="1" t="s">
        <v>47</v>
      </c>
      <c r="E545" s="1" t="s">
        <v>40</v>
      </c>
      <c r="F545" s="1" t="s">
        <v>54</v>
      </c>
      <c r="G545" s="2">
        <v>415.72</v>
      </c>
      <c r="H545" s="1">
        <v>18</v>
      </c>
      <c r="I545" s="1">
        <v>83</v>
      </c>
      <c r="J545" s="1">
        <v>76</v>
      </c>
      <c r="K545" s="1">
        <v>66</v>
      </c>
      <c r="L545" s="1">
        <v>145</v>
      </c>
      <c r="M545" s="1" t="s">
        <v>31</v>
      </c>
      <c r="N545" s="1" t="s">
        <v>42</v>
      </c>
      <c r="O545" s="1" t="s">
        <v>183</v>
      </c>
      <c r="P545" s="2">
        <v>291</v>
      </c>
      <c r="Q545" s="1" t="str">
        <f t="shared" si="24"/>
        <v>YES</v>
      </c>
      <c r="R545" s="2">
        <f t="shared" si="25"/>
        <v>374.14800000000002</v>
      </c>
      <c r="S545" s="2">
        <f>J545*G545</f>
        <v>31594.720000000001</v>
      </c>
      <c r="T545" s="1">
        <f t="shared" ca="1" si="26"/>
        <v>115</v>
      </c>
      <c r="U545" s="1" t="s">
        <v>34</v>
      </c>
      <c r="V545" s="1" t="s">
        <v>34</v>
      </c>
      <c r="W545" s="1" t="s">
        <v>34</v>
      </c>
      <c r="X545" s="1" t="s">
        <v>2816</v>
      </c>
      <c r="Y545" s="1">
        <v>7.5</v>
      </c>
    </row>
    <row r="546" spans="1:25" x14ac:dyDescent="0.3">
      <c r="A546" s="1" t="s">
        <v>731</v>
      </c>
      <c r="B546" s="1" t="s">
        <v>45</v>
      </c>
      <c r="C546" s="1" t="s">
        <v>46</v>
      </c>
      <c r="D546" s="1" t="s">
        <v>47</v>
      </c>
      <c r="E546" s="1" t="s">
        <v>74</v>
      </c>
      <c r="F546" s="1" t="s">
        <v>54</v>
      </c>
      <c r="G546" s="2">
        <v>198.13</v>
      </c>
      <c r="H546" s="1">
        <v>14</v>
      </c>
      <c r="I546" s="1">
        <v>109</v>
      </c>
      <c r="J546" s="1">
        <v>87</v>
      </c>
      <c r="K546" s="1">
        <v>62</v>
      </c>
      <c r="L546" s="1">
        <v>81</v>
      </c>
      <c r="M546" s="1" t="s">
        <v>31</v>
      </c>
      <c r="N546" s="1" t="s">
        <v>32</v>
      </c>
      <c r="O546" s="1" t="s">
        <v>205</v>
      </c>
      <c r="P546" s="2">
        <v>138.69</v>
      </c>
      <c r="Q546" s="1" t="str">
        <f t="shared" si="24"/>
        <v>YES</v>
      </c>
      <c r="R546" s="2">
        <f t="shared" si="25"/>
        <v>178.31700000000001</v>
      </c>
      <c r="S546" s="2">
        <f>J546*G546</f>
        <v>17237.310000000001</v>
      </c>
      <c r="T546" s="1">
        <f t="shared" ca="1" si="26"/>
        <v>74</v>
      </c>
      <c r="U546" s="1" t="s">
        <v>34</v>
      </c>
      <c r="V546" s="1" t="s">
        <v>34</v>
      </c>
      <c r="W546" s="1" t="s">
        <v>34</v>
      </c>
      <c r="X546" s="1" t="s">
        <v>2621</v>
      </c>
      <c r="Y546" s="1">
        <v>8</v>
      </c>
    </row>
    <row r="547" spans="1:25" x14ac:dyDescent="0.3">
      <c r="A547" s="1" t="s">
        <v>732</v>
      </c>
      <c r="B547" s="1" t="s">
        <v>192</v>
      </c>
      <c r="C547" s="1" t="s">
        <v>193</v>
      </c>
      <c r="D547" s="1" t="s">
        <v>85</v>
      </c>
      <c r="E547" s="1" t="s">
        <v>40</v>
      </c>
      <c r="F547" s="1" t="s">
        <v>54</v>
      </c>
      <c r="G547" s="2">
        <v>63.18</v>
      </c>
      <c r="H547" s="1">
        <v>24</v>
      </c>
      <c r="I547" s="1">
        <v>241</v>
      </c>
      <c r="J547" s="1">
        <v>212</v>
      </c>
      <c r="K547" s="1">
        <v>80</v>
      </c>
      <c r="L547" s="1">
        <v>131</v>
      </c>
      <c r="M547" s="1" t="s">
        <v>41</v>
      </c>
      <c r="N547" s="1" t="s">
        <v>32</v>
      </c>
      <c r="O547" s="1" t="s">
        <v>195</v>
      </c>
      <c r="P547" s="2">
        <v>44.23</v>
      </c>
      <c r="Q547" s="1" t="str">
        <f t="shared" si="24"/>
        <v>YES</v>
      </c>
      <c r="R547" s="2">
        <f t="shared" si="25"/>
        <v>56.862000000000002</v>
      </c>
      <c r="S547" s="2">
        <f>J547*G547</f>
        <v>13394.16</v>
      </c>
      <c r="T547" s="1">
        <f t="shared" ca="1" si="26"/>
        <v>63</v>
      </c>
      <c r="U547" s="1" t="s">
        <v>34</v>
      </c>
      <c r="V547" s="1" t="s">
        <v>34</v>
      </c>
      <c r="W547" s="1" t="s">
        <v>34</v>
      </c>
      <c r="X547" s="1" t="s">
        <v>2817</v>
      </c>
      <c r="Y547" s="1">
        <v>8.5</v>
      </c>
    </row>
    <row r="548" spans="1:25" x14ac:dyDescent="0.3">
      <c r="A548" s="1" t="s">
        <v>733</v>
      </c>
      <c r="B548" s="1" t="s">
        <v>189</v>
      </c>
      <c r="C548" s="1" t="s">
        <v>190</v>
      </c>
      <c r="D548" s="1" t="s">
        <v>59</v>
      </c>
      <c r="E548" s="1" t="s">
        <v>40</v>
      </c>
      <c r="F548" s="1" t="s">
        <v>30</v>
      </c>
      <c r="G548" s="2">
        <v>380.64</v>
      </c>
      <c r="H548" s="1">
        <v>2</v>
      </c>
      <c r="I548" s="1">
        <v>163</v>
      </c>
      <c r="J548" s="1">
        <v>138</v>
      </c>
      <c r="K548" s="1">
        <v>59</v>
      </c>
      <c r="L548" s="1">
        <v>117</v>
      </c>
      <c r="M548" s="1" t="s">
        <v>41</v>
      </c>
      <c r="N548" s="1" t="s">
        <v>32</v>
      </c>
      <c r="O548" s="1" t="s">
        <v>43</v>
      </c>
      <c r="P548" s="2">
        <v>266.45</v>
      </c>
      <c r="Q548" s="1" t="str">
        <f t="shared" si="24"/>
        <v>YES</v>
      </c>
      <c r="R548" s="2">
        <f t="shared" si="25"/>
        <v>342.57600000000002</v>
      </c>
      <c r="S548" s="2">
        <f>J548*G548</f>
        <v>52528.32</v>
      </c>
      <c r="T548" s="1">
        <f t="shared" ca="1" si="26"/>
        <v>117</v>
      </c>
      <c r="U548" s="1" t="s">
        <v>34</v>
      </c>
      <c r="V548" s="1" t="s">
        <v>34</v>
      </c>
      <c r="W548" s="1" t="s">
        <v>34</v>
      </c>
      <c r="X548" s="1" t="s">
        <v>2655</v>
      </c>
      <c r="Y548" s="1">
        <v>9</v>
      </c>
    </row>
    <row r="549" spans="1:25" x14ac:dyDescent="0.3">
      <c r="A549" s="1" t="s">
        <v>734</v>
      </c>
      <c r="B549" s="1" t="s">
        <v>45</v>
      </c>
      <c r="C549" s="1" t="s">
        <v>46</v>
      </c>
      <c r="D549" s="1" t="s">
        <v>47</v>
      </c>
      <c r="E549" s="1" t="s">
        <v>74</v>
      </c>
      <c r="F549" s="1" t="s">
        <v>48</v>
      </c>
      <c r="G549" s="2">
        <v>155.65</v>
      </c>
      <c r="H549" s="1">
        <v>17</v>
      </c>
      <c r="I549" s="1">
        <v>291</v>
      </c>
      <c r="J549" s="1">
        <v>256</v>
      </c>
      <c r="K549" s="1">
        <v>108</v>
      </c>
      <c r="L549" s="1">
        <v>86</v>
      </c>
      <c r="M549" s="1" t="s">
        <v>41</v>
      </c>
      <c r="N549" s="1" t="s">
        <v>60</v>
      </c>
      <c r="O549" s="1" t="s">
        <v>302</v>
      </c>
      <c r="P549" s="2">
        <v>108.95</v>
      </c>
      <c r="Q549" s="1" t="str">
        <f t="shared" si="24"/>
        <v>YES</v>
      </c>
      <c r="R549" s="2">
        <f t="shared" si="25"/>
        <v>140.08500000000001</v>
      </c>
      <c r="S549" s="2">
        <f>J549*G549</f>
        <v>39846.400000000001</v>
      </c>
      <c r="T549" s="1">
        <f t="shared" ca="1" si="26"/>
        <v>133</v>
      </c>
      <c r="U549" s="1" t="s">
        <v>34</v>
      </c>
      <c r="V549" s="1" t="s">
        <v>34</v>
      </c>
      <c r="W549" s="1" t="s">
        <v>34</v>
      </c>
      <c r="X549" s="1" t="s">
        <v>2523</v>
      </c>
      <c r="Y549" s="1">
        <v>9.5</v>
      </c>
    </row>
    <row r="550" spans="1:25" x14ac:dyDescent="0.3">
      <c r="A550" s="1" t="s">
        <v>735</v>
      </c>
      <c r="B550" s="1" t="s">
        <v>166</v>
      </c>
      <c r="C550" s="1" t="s">
        <v>167</v>
      </c>
      <c r="D550" s="1" t="s">
        <v>59</v>
      </c>
      <c r="E550" s="1" t="s">
        <v>29</v>
      </c>
      <c r="F550" s="1" t="s">
        <v>54</v>
      </c>
      <c r="G550" s="2">
        <v>444.83</v>
      </c>
      <c r="H550" s="1">
        <v>0</v>
      </c>
      <c r="I550" s="1">
        <v>240</v>
      </c>
      <c r="J550" s="1">
        <v>212</v>
      </c>
      <c r="K550" s="1">
        <v>64</v>
      </c>
      <c r="L550" s="1">
        <v>110</v>
      </c>
      <c r="M550" s="1" t="s">
        <v>31</v>
      </c>
      <c r="N550" s="1" t="s">
        <v>60</v>
      </c>
      <c r="O550" s="1" t="s">
        <v>217</v>
      </c>
      <c r="P550" s="2">
        <v>311.38</v>
      </c>
      <c r="Q550" s="1" t="str">
        <f t="shared" si="24"/>
        <v>YES</v>
      </c>
      <c r="R550" s="2">
        <f t="shared" si="25"/>
        <v>400.34699999999998</v>
      </c>
      <c r="S550" s="2">
        <f>J550*G550</f>
        <v>94303.959999999992</v>
      </c>
      <c r="T550" s="1">
        <f t="shared" ca="1" si="26"/>
        <v>100</v>
      </c>
      <c r="U550" s="1" t="s">
        <v>34</v>
      </c>
      <c r="V550" s="1" t="s">
        <v>34</v>
      </c>
      <c r="W550" s="1" t="s">
        <v>34</v>
      </c>
      <c r="X550" s="1" t="s">
        <v>2600</v>
      </c>
      <c r="Y550" s="1">
        <v>5</v>
      </c>
    </row>
    <row r="551" spans="1:25" x14ac:dyDescent="0.3">
      <c r="A551" s="1" t="s">
        <v>736</v>
      </c>
      <c r="B551" s="1" t="s">
        <v>123</v>
      </c>
      <c r="C551" s="1" t="s">
        <v>124</v>
      </c>
      <c r="D551" s="1" t="s">
        <v>47</v>
      </c>
      <c r="E551" s="1" t="s">
        <v>40</v>
      </c>
      <c r="F551" s="1" t="s">
        <v>48</v>
      </c>
      <c r="G551" s="2">
        <v>209.93</v>
      </c>
      <c r="H551" s="1">
        <v>17</v>
      </c>
      <c r="I551" s="1">
        <v>136</v>
      </c>
      <c r="J551" s="1">
        <v>110</v>
      </c>
      <c r="K551" s="1">
        <v>92</v>
      </c>
      <c r="L551" s="1">
        <v>126</v>
      </c>
      <c r="M551" s="1" t="s">
        <v>31</v>
      </c>
      <c r="N551" s="1" t="s">
        <v>60</v>
      </c>
      <c r="O551" s="1" t="s">
        <v>340</v>
      </c>
      <c r="P551" s="2">
        <v>146.94999999999999</v>
      </c>
      <c r="Q551" s="1" t="str">
        <f t="shared" si="24"/>
        <v>YES</v>
      </c>
      <c r="R551" s="2">
        <f t="shared" si="25"/>
        <v>188.93700000000001</v>
      </c>
      <c r="S551" s="2">
        <f>J551*G551</f>
        <v>23092.3</v>
      </c>
      <c r="T551" s="1">
        <f t="shared" ca="1" si="26"/>
        <v>138</v>
      </c>
      <c r="U551" s="1" t="s">
        <v>34</v>
      </c>
      <c r="V551" s="1" t="s">
        <v>34</v>
      </c>
      <c r="W551" s="1" t="s">
        <v>34</v>
      </c>
      <c r="X551" s="1" t="s">
        <v>2522</v>
      </c>
      <c r="Y551" s="1">
        <v>5.5</v>
      </c>
    </row>
    <row r="552" spans="1:25" x14ac:dyDescent="0.3">
      <c r="A552" s="1" t="s">
        <v>737</v>
      </c>
      <c r="B552" s="1" t="s">
        <v>111</v>
      </c>
      <c r="C552" s="1" t="s">
        <v>112</v>
      </c>
      <c r="D552" s="1" t="s">
        <v>97</v>
      </c>
      <c r="E552" s="1" t="s">
        <v>40</v>
      </c>
      <c r="F552" s="1" t="s">
        <v>54</v>
      </c>
      <c r="G552" s="2">
        <v>93.13</v>
      </c>
      <c r="H552" s="1">
        <v>3</v>
      </c>
      <c r="I552" s="1">
        <v>240</v>
      </c>
      <c r="J552" s="1">
        <v>204</v>
      </c>
      <c r="K552" s="1">
        <v>99</v>
      </c>
      <c r="L552" s="1">
        <v>80</v>
      </c>
      <c r="M552" s="1" t="s">
        <v>49</v>
      </c>
      <c r="N552" s="1" t="s">
        <v>32</v>
      </c>
      <c r="O552" s="1" t="s">
        <v>209</v>
      </c>
      <c r="P552" s="2">
        <v>65.19</v>
      </c>
      <c r="Q552" s="1" t="str">
        <f t="shared" si="24"/>
        <v>YES</v>
      </c>
      <c r="R552" s="2">
        <f t="shared" si="25"/>
        <v>83.816999999999993</v>
      </c>
      <c r="S552" s="2">
        <f>J552*G552</f>
        <v>18998.52</v>
      </c>
      <c r="T552" s="1">
        <f t="shared" ca="1" si="26"/>
        <v>127</v>
      </c>
      <c r="U552" s="1" t="s">
        <v>34</v>
      </c>
      <c r="V552" s="1" t="s">
        <v>34</v>
      </c>
      <c r="W552" s="1" t="s">
        <v>34</v>
      </c>
      <c r="X552" s="1" t="s">
        <v>2818</v>
      </c>
      <c r="Y552" s="1">
        <v>6</v>
      </c>
    </row>
    <row r="553" spans="1:25" x14ac:dyDescent="0.3">
      <c r="A553" s="1" t="s">
        <v>738</v>
      </c>
      <c r="B553" s="1" t="s">
        <v>102</v>
      </c>
      <c r="C553" s="1" t="s">
        <v>103</v>
      </c>
      <c r="D553" s="1" t="s">
        <v>104</v>
      </c>
      <c r="E553" s="1" t="s">
        <v>29</v>
      </c>
      <c r="F553" s="1" t="s">
        <v>48</v>
      </c>
      <c r="G553" s="2">
        <v>180.08</v>
      </c>
      <c r="H553" s="1">
        <v>16</v>
      </c>
      <c r="I553" s="1">
        <v>84</v>
      </c>
      <c r="J553" s="1">
        <v>71</v>
      </c>
      <c r="K553" s="1">
        <v>107</v>
      </c>
      <c r="L553" s="1">
        <v>148</v>
      </c>
      <c r="M553" s="1" t="s">
        <v>31</v>
      </c>
      <c r="N553" s="1" t="s">
        <v>42</v>
      </c>
      <c r="O553" s="1" t="s">
        <v>33</v>
      </c>
      <c r="P553" s="2">
        <v>126.06</v>
      </c>
      <c r="Q553" s="1" t="str">
        <f t="shared" si="24"/>
        <v>NO</v>
      </c>
      <c r="R553" s="2">
        <f t="shared" si="25"/>
        <v>180.08</v>
      </c>
      <c r="S553" s="2">
        <f>J553*G553</f>
        <v>12785.68</v>
      </c>
      <c r="T553" s="1">
        <f t="shared" ca="1" si="26"/>
        <v>141</v>
      </c>
      <c r="U553" s="1" t="s">
        <v>34</v>
      </c>
      <c r="V553" s="1" t="s">
        <v>34</v>
      </c>
      <c r="W553" s="1" t="s">
        <v>34</v>
      </c>
      <c r="X553" s="1" t="s">
        <v>2641</v>
      </c>
      <c r="Y553" s="1">
        <v>6.5</v>
      </c>
    </row>
    <row r="554" spans="1:25" x14ac:dyDescent="0.3">
      <c r="A554" s="1" t="s">
        <v>739</v>
      </c>
      <c r="B554" s="1" t="s">
        <v>189</v>
      </c>
      <c r="C554" s="1" t="s">
        <v>190</v>
      </c>
      <c r="D554" s="1" t="s">
        <v>59</v>
      </c>
      <c r="E554" s="1" t="s">
        <v>29</v>
      </c>
      <c r="F554" s="1" t="s">
        <v>48</v>
      </c>
      <c r="G554" s="2">
        <v>440.53</v>
      </c>
      <c r="H554" s="1">
        <v>0</v>
      </c>
      <c r="I554" s="1">
        <v>291</v>
      </c>
      <c r="J554" s="1">
        <v>274</v>
      </c>
      <c r="K554" s="1">
        <v>57</v>
      </c>
      <c r="L554" s="1">
        <v>85</v>
      </c>
      <c r="M554" s="1" t="s">
        <v>41</v>
      </c>
      <c r="N554" s="1" t="s">
        <v>42</v>
      </c>
      <c r="O554" s="1" t="s">
        <v>377</v>
      </c>
      <c r="P554" s="2">
        <v>308.37</v>
      </c>
      <c r="Q554" s="1" t="str">
        <f t="shared" si="24"/>
        <v>YES</v>
      </c>
      <c r="R554" s="2">
        <f t="shared" si="25"/>
        <v>396.47699999999998</v>
      </c>
      <c r="S554" s="2">
        <f>J554*G554</f>
        <v>120705.21999999999</v>
      </c>
      <c r="T554" s="1">
        <f t="shared" ca="1" si="26"/>
        <v>65</v>
      </c>
      <c r="U554" s="1" t="s">
        <v>34</v>
      </c>
      <c r="V554" s="1" t="s">
        <v>34</v>
      </c>
      <c r="W554" s="1" t="s">
        <v>34</v>
      </c>
      <c r="X554" s="1" t="s">
        <v>2527</v>
      </c>
      <c r="Y554" s="1">
        <v>7</v>
      </c>
    </row>
    <row r="555" spans="1:25" x14ac:dyDescent="0.3">
      <c r="A555" s="1" t="s">
        <v>740</v>
      </c>
      <c r="B555" s="1" t="s">
        <v>143</v>
      </c>
      <c r="C555" s="1" t="s">
        <v>144</v>
      </c>
      <c r="D555" s="1" t="s">
        <v>47</v>
      </c>
      <c r="E555" s="1" t="s">
        <v>74</v>
      </c>
      <c r="F555" s="1" t="s">
        <v>30</v>
      </c>
      <c r="G555" s="2">
        <v>215.32</v>
      </c>
      <c r="H555" s="1">
        <v>3</v>
      </c>
      <c r="I555" s="1">
        <v>198</v>
      </c>
      <c r="J555" s="1">
        <v>170</v>
      </c>
      <c r="K555" s="1">
        <v>42</v>
      </c>
      <c r="L555" s="1">
        <v>91</v>
      </c>
      <c r="M555" s="1" t="s">
        <v>49</v>
      </c>
      <c r="N555" s="1" t="s">
        <v>42</v>
      </c>
      <c r="O555" s="1" t="s">
        <v>203</v>
      </c>
      <c r="P555" s="2">
        <v>150.72</v>
      </c>
      <c r="Q555" s="1" t="str">
        <f t="shared" si="24"/>
        <v>YES</v>
      </c>
      <c r="R555" s="2">
        <f t="shared" si="25"/>
        <v>193.78800000000001</v>
      </c>
      <c r="S555" s="2">
        <f>J555*G555</f>
        <v>36604.400000000001</v>
      </c>
      <c r="T555" s="1">
        <f t="shared" ca="1" si="26"/>
        <v>102</v>
      </c>
      <c r="U555" s="1" t="s">
        <v>34</v>
      </c>
      <c r="V555" s="1" t="s">
        <v>34</v>
      </c>
      <c r="W555" s="1" t="s">
        <v>34</v>
      </c>
      <c r="X555" s="1" t="s">
        <v>2819</v>
      </c>
      <c r="Y555" s="1">
        <v>7.5</v>
      </c>
    </row>
    <row r="556" spans="1:25" x14ac:dyDescent="0.3">
      <c r="A556" s="1" t="s">
        <v>741</v>
      </c>
      <c r="B556" s="1" t="s">
        <v>77</v>
      </c>
      <c r="C556" s="1" t="s">
        <v>78</v>
      </c>
      <c r="D556" s="1" t="s">
        <v>47</v>
      </c>
      <c r="E556" s="1" t="s">
        <v>40</v>
      </c>
      <c r="F556" s="1" t="s">
        <v>54</v>
      </c>
      <c r="G556" s="2">
        <v>41.42</v>
      </c>
      <c r="H556" s="1">
        <v>16</v>
      </c>
      <c r="I556" s="1">
        <v>237</v>
      </c>
      <c r="J556" s="1">
        <v>225</v>
      </c>
      <c r="K556" s="1">
        <v>51</v>
      </c>
      <c r="L556" s="1">
        <v>118</v>
      </c>
      <c r="M556" s="1" t="s">
        <v>41</v>
      </c>
      <c r="N556" s="1" t="s">
        <v>42</v>
      </c>
      <c r="O556" s="1" t="s">
        <v>347</v>
      </c>
      <c r="P556" s="2">
        <v>28.99</v>
      </c>
      <c r="Q556" s="1" t="str">
        <f t="shared" si="24"/>
        <v>YES</v>
      </c>
      <c r="R556" s="2">
        <f t="shared" si="25"/>
        <v>37.278000000000006</v>
      </c>
      <c r="S556" s="2">
        <f>J556*G556</f>
        <v>9319.5</v>
      </c>
      <c r="T556" s="1">
        <f t="shared" ca="1" si="26"/>
        <v>79</v>
      </c>
      <c r="U556" s="1" t="s">
        <v>34</v>
      </c>
      <c r="V556" s="1" t="s">
        <v>34</v>
      </c>
      <c r="W556" s="1" t="s">
        <v>34</v>
      </c>
      <c r="X556" s="1" t="s">
        <v>2820</v>
      </c>
      <c r="Y556" s="1">
        <v>8</v>
      </c>
    </row>
    <row r="557" spans="1:25" x14ac:dyDescent="0.3">
      <c r="A557" s="1" t="s">
        <v>742</v>
      </c>
      <c r="B557" s="1" t="s">
        <v>197</v>
      </c>
      <c r="C557" s="1" t="s">
        <v>198</v>
      </c>
      <c r="D557" s="1" t="s">
        <v>104</v>
      </c>
      <c r="E557" s="1" t="s">
        <v>40</v>
      </c>
      <c r="F557" s="1" t="s">
        <v>54</v>
      </c>
      <c r="G557" s="2">
        <v>209.46</v>
      </c>
      <c r="H557" s="1">
        <v>19</v>
      </c>
      <c r="I557" s="1">
        <v>120</v>
      </c>
      <c r="J557" s="1">
        <v>100</v>
      </c>
      <c r="K557" s="1">
        <v>41</v>
      </c>
      <c r="L557" s="1">
        <v>65</v>
      </c>
      <c r="M557" s="1" t="s">
        <v>31</v>
      </c>
      <c r="N557" s="1" t="s">
        <v>42</v>
      </c>
      <c r="O557" s="1" t="s">
        <v>170</v>
      </c>
      <c r="P557" s="2">
        <v>146.62</v>
      </c>
      <c r="Q557" s="1" t="str">
        <f t="shared" si="24"/>
        <v>YES</v>
      </c>
      <c r="R557" s="2">
        <f t="shared" si="25"/>
        <v>188.51400000000001</v>
      </c>
      <c r="S557" s="2">
        <f>J557*G557</f>
        <v>20946</v>
      </c>
      <c r="T557" s="1">
        <f t="shared" ca="1" si="26"/>
        <v>95</v>
      </c>
      <c r="U557" s="1" t="s">
        <v>34</v>
      </c>
      <c r="V557" s="1" t="s">
        <v>34</v>
      </c>
      <c r="W557" s="1" t="s">
        <v>34</v>
      </c>
      <c r="X557" s="1" t="s">
        <v>2684</v>
      </c>
      <c r="Y557" s="1">
        <v>8.5</v>
      </c>
    </row>
    <row r="558" spans="1:25" x14ac:dyDescent="0.3">
      <c r="A558" s="1" t="s">
        <v>743</v>
      </c>
      <c r="B558" s="1" t="s">
        <v>126</v>
      </c>
      <c r="C558" s="1" t="s">
        <v>127</v>
      </c>
      <c r="D558" s="1" t="s">
        <v>85</v>
      </c>
      <c r="E558" s="1" t="s">
        <v>40</v>
      </c>
      <c r="F558" s="1" t="s">
        <v>54</v>
      </c>
      <c r="G558" s="2">
        <v>262.04000000000002</v>
      </c>
      <c r="H558" s="1">
        <v>24</v>
      </c>
      <c r="I558" s="1">
        <v>126</v>
      </c>
      <c r="J558" s="1">
        <v>114</v>
      </c>
      <c r="K558" s="1">
        <v>111</v>
      </c>
      <c r="L558" s="1">
        <v>148</v>
      </c>
      <c r="M558" s="1" t="s">
        <v>41</v>
      </c>
      <c r="N558" s="1" t="s">
        <v>60</v>
      </c>
      <c r="O558" s="1" t="s">
        <v>240</v>
      </c>
      <c r="P558" s="2">
        <v>183.43</v>
      </c>
      <c r="Q558" s="1" t="str">
        <f t="shared" si="24"/>
        <v>YES</v>
      </c>
      <c r="R558" s="2">
        <f t="shared" si="25"/>
        <v>235.83600000000001</v>
      </c>
      <c r="S558" s="2">
        <f>J558*G558</f>
        <v>29872.560000000001</v>
      </c>
      <c r="T558" s="1">
        <f t="shared" ca="1" si="26"/>
        <v>111</v>
      </c>
      <c r="U558" s="1" t="s">
        <v>34</v>
      </c>
      <c r="V558" s="1" t="s">
        <v>34</v>
      </c>
      <c r="W558" s="1" t="s">
        <v>34</v>
      </c>
      <c r="X558" s="1" t="s">
        <v>2821</v>
      </c>
      <c r="Y558" s="1">
        <v>9</v>
      </c>
    </row>
    <row r="559" spans="1:25" x14ac:dyDescent="0.3">
      <c r="A559" s="1" t="s">
        <v>744</v>
      </c>
      <c r="B559" s="1" t="s">
        <v>143</v>
      </c>
      <c r="C559" s="1" t="s">
        <v>144</v>
      </c>
      <c r="D559" s="1" t="s">
        <v>47</v>
      </c>
      <c r="E559" s="1" t="s">
        <v>40</v>
      </c>
      <c r="F559" s="1" t="s">
        <v>30</v>
      </c>
      <c r="G559" s="2">
        <v>319.64</v>
      </c>
      <c r="H559" s="1">
        <v>8</v>
      </c>
      <c r="I559" s="1">
        <v>137</v>
      </c>
      <c r="J559" s="1">
        <v>102</v>
      </c>
      <c r="K559" s="1">
        <v>84</v>
      </c>
      <c r="L559" s="1">
        <v>90</v>
      </c>
      <c r="M559" s="1" t="s">
        <v>49</v>
      </c>
      <c r="N559" s="1" t="s">
        <v>32</v>
      </c>
      <c r="O559" s="1" t="s">
        <v>135</v>
      </c>
      <c r="P559" s="2">
        <v>223.75</v>
      </c>
      <c r="Q559" s="1" t="str">
        <f t="shared" si="24"/>
        <v>YES</v>
      </c>
      <c r="R559" s="2">
        <f t="shared" si="25"/>
        <v>287.67599999999999</v>
      </c>
      <c r="S559" s="2">
        <f>J559*G559</f>
        <v>32603.279999999999</v>
      </c>
      <c r="T559" s="1">
        <f t="shared" ca="1" si="26"/>
        <v>71</v>
      </c>
      <c r="U559" s="1" t="s">
        <v>34</v>
      </c>
      <c r="V559" s="1" t="s">
        <v>34</v>
      </c>
      <c r="W559" s="1" t="s">
        <v>34</v>
      </c>
      <c r="X559" s="1" t="s">
        <v>2752</v>
      </c>
      <c r="Y559" s="1">
        <v>9.5</v>
      </c>
    </row>
    <row r="560" spans="1:25" x14ac:dyDescent="0.3">
      <c r="A560" s="1" t="s">
        <v>745</v>
      </c>
      <c r="B560" s="1" t="s">
        <v>262</v>
      </c>
      <c r="C560" s="1" t="s">
        <v>263</v>
      </c>
      <c r="D560" s="1" t="s">
        <v>104</v>
      </c>
      <c r="E560" s="1" t="s">
        <v>40</v>
      </c>
      <c r="F560" s="1" t="s">
        <v>30</v>
      </c>
      <c r="G560" s="2">
        <v>408.71</v>
      </c>
      <c r="H560" s="1">
        <v>25</v>
      </c>
      <c r="I560" s="1">
        <v>151</v>
      </c>
      <c r="J560" s="1">
        <v>130</v>
      </c>
      <c r="K560" s="1">
        <v>94</v>
      </c>
      <c r="L560" s="1">
        <v>85</v>
      </c>
      <c r="M560" s="1" t="s">
        <v>31</v>
      </c>
      <c r="N560" s="1" t="s">
        <v>32</v>
      </c>
      <c r="O560" s="1" t="s">
        <v>272</v>
      </c>
      <c r="P560" s="2">
        <v>286.10000000000002</v>
      </c>
      <c r="Q560" s="1" t="str">
        <f t="shared" si="24"/>
        <v>YES</v>
      </c>
      <c r="R560" s="2">
        <f t="shared" si="25"/>
        <v>367.839</v>
      </c>
      <c r="S560" s="2">
        <f>J560*G560</f>
        <v>53132.299999999996</v>
      </c>
      <c r="T560" s="1">
        <f t="shared" ca="1" si="26"/>
        <v>72</v>
      </c>
      <c r="U560" s="1" t="s">
        <v>34</v>
      </c>
      <c r="V560" s="1" t="s">
        <v>34</v>
      </c>
      <c r="W560" s="1" t="s">
        <v>34</v>
      </c>
      <c r="X560" s="1" t="s">
        <v>2822</v>
      </c>
      <c r="Y560" s="1">
        <v>5</v>
      </c>
    </row>
    <row r="561" spans="1:25" x14ac:dyDescent="0.3">
      <c r="A561" s="1" t="s">
        <v>746</v>
      </c>
      <c r="B561" s="1" t="s">
        <v>69</v>
      </c>
      <c r="C561" s="1" t="s">
        <v>70</v>
      </c>
      <c r="D561" s="1" t="s">
        <v>59</v>
      </c>
      <c r="E561" s="1" t="s">
        <v>74</v>
      </c>
      <c r="F561" s="1" t="s">
        <v>30</v>
      </c>
      <c r="G561" s="2">
        <v>413.79</v>
      </c>
      <c r="H561" s="1">
        <v>25</v>
      </c>
      <c r="I561" s="1">
        <v>227</v>
      </c>
      <c r="J561" s="1">
        <v>223</v>
      </c>
      <c r="K561" s="1">
        <v>47</v>
      </c>
      <c r="L561" s="1">
        <v>92</v>
      </c>
      <c r="M561" s="1" t="s">
        <v>41</v>
      </c>
      <c r="N561" s="1" t="s">
        <v>32</v>
      </c>
      <c r="O561" s="1" t="s">
        <v>292</v>
      </c>
      <c r="P561" s="2">
        <v>289.64999999999998</v>
      </c>
      <c r="Q561" s="1" t="str">
        <f t="shared" si="24"/>
        <v>YES</v>
      </c>
      <c r="R561" s="2">
        <f t="shared" si="25"/>
        <v>372.411</v>
      </c>
      <c r="S561" s="2">
        <f>J561*G561</f>
        <v>92275.17</v>
      </c>
      <c r="T561" s="1">
        <f t="shared" ca="1" si="26"/>
        <v>83</v>
      </c>
      <c r="U561" s="1" t="s">
        <v>34</v>
      </c>
      <c r="V561" s="1" t="s">
        <v>34</v>
      </c>
      <c r="W561" s="1" t="s">
        <v>34</v>
      </c>
      <c r="X561" s="1" t="s">
        <v>2788</v>
      </c>
      <c r="Y561" s="1">
        <v>5.5</v>
      </c>
    </row>
    <row r="562" spans="1:25" x14ac:dyDescent="0.3">
      <c r="A562" s="1" t="s">
        <v>747</v>
      </c>
      <c r="B562" s="1" t="s">
        <v>107</v>
      </c>
      <c r="C562" s="1" t="s">
        <v>108</v>
      </c>
      <c r="D562" s="1" t="s">
        <v>39</v>
      </c>
      <c r="E562" s="1" t="s">
        <v>74</v>
      </c>
      <c r="F562" s="1" t="s">
        <v>48</v>
      </c>
      <c r="G562" s="2">
        <v>213.97</v>
      </c>
      <c r="H562" s="1">
        <v>10</v>
      </c>
      <c r="I562" s="1">
        <v>167</v>
      </c>
      <c r="J562" s="1">
        <v>152</v>
      </c>
      <c r="K562" s="1">
        <v>42</v>
      </c>
      <c r="L562" s="1">
        <v>91</v>
      </c>
      <c r="M562" s="1" t="s">
        <v>41</v>
      </c>
      <c r="N562" s="1" t="s">
        <v>42</v>
      </c>
      <c r="O562" s="1" t="s">
        <v>55</v>
      </c>
      <c r="P562" s="2">
        <v>149.78</v>
      </c>
      <c r="Q562" s="1" t="str">
        <f t="shared" si="24"/>
        <v>YES</v>
      </c>
      <c r="R562" s="2">
        <f t="shared" si="25"/>
        <v>192.57300000000001</v>
      </c>
      <c r="S562" s="2">
        <f>J562*G562</f>
        <v>32523.439999999999</v>
      </c>
      <c r="T562" s="1">
        <f t="shared" ca="1" si="26"/>
        <v>91</v>
      </c>
      <c r="U562" s="1" t="s">
        <v>34</v>
      </c>
      <c r="V562" s="1" t="s">
        <v>34</v>
      </c>
      <c r="W562" s="1" t="s">
        <v>34</v>
      </c>
      <c r="X562" s="1" t="s">
        <v>2652</v>
      </c>
      <c r="Y562" s="1">
        <v>6</v>
      </c>
    </row>
    <row r="563" spans="1:25" x14ac:dyDescent="0.3">
      <c r="A563" s="1" t="s">
        <v>748</v>
      </c>
      <c r="B563" s="1" t="s">
        <v>123</v>
      </c>
      <c r="C563" s="1" t="s">
        <v>124</v>
      </c>
      <c r="D563" s="1" t="s">
        <v>47</v>
      </c>
      <c r="E563" s="1" t="s">
        <v>29</v>
      </c>
      <c r="F563" s="1" t="s">
        <v>54</v>
      </c>
      <c r="G563" s="2">
        <v>317.10000000000002</v>
      </c>
      <c r="H563" s="1">
        <v>9</v>
      </c>
      <c r="I563" s="1">
        <v>286</v>
      </c>
      <c r="J563" s="1">
        <v>281</v>
      </c>
      <c r="K563" s="1">
        <v>110</v>
      </c>
      <c r="L563" s="1">
        <v>141</v>
      </c>
      <c r="M563" s="1" t="s">
        <v>41</v>
      </c>
      <c r="N563" s="1" t="s">
        <v>42</v>
      </c>
      <c r="O563" s="1" t="s">
        <v>384</v>
      </c>
      <c r="P563" s="2">
        <v>221.97</v>
      </c>
      <c r="Q563" s="1" t="str">
        <f t="shared" si="24"/>
        <v>YES</v>
      </c>
      <c r="R563" s="2">
        <f t="shared" si="25"/>
        <v>285.39000000000004</v>
      </c>
      <c r="S563" s="2">
        <f>J563*G563</f>
        <v>89105.1</v>
      </c>
      <c r="T563" s="1">
        <f t="shared" ca="1" si="26"/>
        <v>147</v>
      </c>
      <c r="U563" s="1" t="s">
        <v>34</v>
      </c>
      <c r="V563" s="1" t="s">
        <v>34</v>
      </c>
      <c r="W563" s="1" t="s">
        <v>34</v>
      </c>
      <c r="X563" s="1" t="s">
        <v>2651</v>
      </c>
      <c r="Y563" s="1">
        <v>6.5</v>
      </c>
    </row>
    <row r="564" spans="1:25" x14ac:dyDescent="0.3">
      <c r="A564" s="1" t="s">
        <v>749</v>
      </c>
      <c r="B564" s="1" t="s">
        <v>176</v>
      </c>
      <c r="C564" s="1" t="s">
        <v>177</v>
      </c>
      <c r="D564" s="1" t="s">
        <v>39</v>
      </c>
      <c r="E564" s="1" t="s">
        <v>74</v>
      </c>
      <c r="F564" s="1" t="s">
        <v>48</v>
      </c>
      <c r="G564" s="2">
        <v>290.14999999999998</v>
      </c>
      <c r="H564" s="1">
        <v>19</v>
      </c>
      <c r="I564" s="1">
        <v>236</v>
      </c>
      <c r="J564" s="1">
        <v>213</v>
      </c>
      <c r="K564" s="1">
        <v>91</v>
      </c>
      <c r="L564" s="1">
        <v>123</v>
      </c>
      <c r="M564" s="1" t="s">
        <v>49</v>
      </c>
      <c r="N564" s="1" t="s">
        <v>60</v>
      </c>
      <c r="O564" s="1" t="s">
        <v>395</v>
      </c>
      <c r="P564" s="2">
        <v>203.1</v>
      </c>
      <c r="Q564" s="1" t="str">
        <f t="shared" si="24"/>
        <v>YES</v>
      </c>
      <c r="R564" s="2">
        <f t="shared" si="25"/>
        <v>261.13499999999999</v>
      </c>
      <c r="S564" s="2">
        <f>J564*G564</f>
        <v>61801.95</v>
      </c>
      <c r="T564" s="1">
        <f t="shared" ca="1" si="26"/>
        <v>101</v>
      </c>
      <c r="U564" s="1" t="s">
        <v>34</v>
      </c>
      <c r="V564" s="1" t="s">
        <v>34</v>
      </c>
      <c r="W564" s="1" t="s">
        <v>34</v>
      </c>
      <c r="X564" s="1" t="s">
        <v>2823</v>
      </c>
      <c r="Y564" s="1">
        <v>7</v>
      </c>
    </row>
    <row r="565" spans="1:25" x14ac:dyDescent="0.3">
      <c r="A565" s="1" t="s">
        <v>750</v>
      </c>
      <c r="B565" s="1" t="s">
        <v>69</v>
      </c>
      <c r="C565" s="1" t="s">
        <v>70</v>
      </c>
      <c r="D565" s="1" t="s">
        <v>59</v>
      </c>
      <c r="E565" s="1" t="s">
        <v>40</v>
      </c>
      <c r="F565" s="1" t="s">
        <v>30</v>
      </c>
      <c r="G565" s="2">
        <v>63.52</v>
      </c>
      <c r="H565" s="1">
        <v>20</v>
      </c>
      <c r="I565" s="1">
        <v>123</v>
      </c>
      <c r="J565" s="1">
        <v>94</v>
      </c>
      <c r="K565" s="1">
        <v>118</v>
      </c>
      <c r="L565" s="1">
        <v>86</v>
      </c>
      <c r="M565" s="1" t="s">
        <v>41</v>
      </c>
      <c r="N565" s="1" t="s">
        <v>32</v>
      </c>
      <c r="O565" s="1" t="s">
        <v>88</v>
      </c>
      <c r="P565" s="2">
        <v>44.46</v>
      </c>
      <c r="Q565" s="1" t="str">
        <f t="shared" si="24"/>
        <v>NO</v>
      </c>
      <c r="R565" s="2">
        <f t="shared" si="25"/>
        <v>63.52</v>
      </c>
      <c r="S565" s="2">
        <f>J565*G565</f>
        <v>5970.88</v>
      </c>
      <c r="T565" s="1">
        <f t="shared" ca="1" si="26"/>
        <v>124</v>
      </c>
      <c r="U565" s="1" t="s">
        <v>34</v>
      </c>
      <c r="V565" s="1" t="s">
        <v>34</v>
      </c>
      <c r="W565" s="1" t="s">
        <v>34</v>
      </c>
      <c r="X565" s="1" t="s">
        <v>2659</v>
      </c>
      <c r="Y565" s="1">
        <v>7.5</v>
      </c>
    </row>
    <row r="566" spans="1:25" x14ac:dyDescent="0.3">
      <c r="A566" s="1" t="s">
        <v>751</v>
      </c>
      <c r="B566" s="1" t="s">
        <v>63</v>
      </c>
      <c r="C566" s="1" t="s">
        <v>64</v>
      </c>
      <c r="D566" s="1" t="s">
        <v>28</v>
      </c>
      <c r="E566" s="1" t="s">
        <v>74</v>
      </c>
      <c r="F566" s="1" t="s">
        <v>30</v>
      </c>
      <c r="G566" s="2">
        <v>335.18</v>
      </c>
      <c r="H566" s="1">
        <v>4</v>
      </c>
      <c r="I566" s="1">
        <v>139</v>
      </c>
      <c r="J566" s="1">
        <v>119</v>
      </c>
      <c r="K566" s="1">
        <v>96</v>
      </c>
      <c r="L566" s="1">
        <v>52</v>
      </c>
      <c r="M566" s="1" t="s">
        <v>41</v>
      </c>
      <c r="N566" s="1" t="s">
        <v>42</v>
      </c>
      <c r="O566" s="1" t="s">
        <v>81</v>
      </c>
      <c r="P566" s="2">
        <v>234.63</v>
      </c>
      <c r="Q566" s="1" t="str">
        <f t="shared" si="24"/>
        <v>YES</v>
      </c>
      <c r="R566" s="2">
        <f t="shared" si="25"/>
        <v>301.66200000000003</v>
      </c>
      <c r="S566" s="2">
        <f>J566*G566</f>
        <v>39886.42</v>
      </c>
      <c r="T566" s="1">
        <f t="shared" ca="1" si="26"/>
        <v>81</v>
      </c>
      <c r="U566" s="1" t="s">
        <v>34</v>
      </c>
      <c r="V566" s="1" t="s">
        <v>34</v>
      </c>
      <c r="W566" s="1" t="s">
        <v>34</v>
      </c>
      <c r="X566" s="1" t="s">
        <v>2665</v>
      </c>
      <c r="Y566" s="1">
        <v>8</v>
      </c>
    </row>
    <row r="567" spans="1:25" x14ac:dyDescent="0.3">
      <c r="A567" s="1" t="s">
        <v>752</v>
      </c>
      <c r="B567" s="1" t="s">
        <v>111</v>
      </c>
      <c r="C567" s="1" t="s">
        <v>112</v>
      </c>
      <c r="D567" s="1" t="s">
        <v>97</v>
      </c>
      <c r="E567" s="1" t="s">
        <v>74</v>
      </c>
      <c r="F567" s="1" t="s">
        <v>30</v>
      </c>
      <c r="G567" s="2">
        <v>52.21</v>
      </c>
      <c r="H567" s="1">
        <v>15</v>
      </c>
      <c r="I567" s="1">
        <v>114</v>
      </c>
      <c r="J567" s="1">
        <v>96</v>
      </c>
      <c r="K567" s="1">
        <v>115</v>
      </c>
      <c r="L567" s="1">
        <v>51</v>
      </c>
      <c r="M567" s="1" t="s">
        <v>49</v>
      </c>
      <c r="N567" s="1" t="s">
        <v>60</v>
      </c>
      <c r="O567" s="1" t="s">
        <v>289</v>
      </c>
      <c r="P567" s="2">
        <v>36.549999999999997</v>
      </c>
      <c r="Q567" s="1" t="str">
        <f t="shared" si="24"/>
        <v>NO</v>
      </c>
      <c r="R567" s="2">
        <f t="shared" si="25"/>
        <v>52.21</v>
      </c>
      <c r="S567" s="2">
        <f>J567*G567</f>
        <v>5012.16</v>
      </c>
      <c r="T567" s="1">
        <f t="shared" ca="1" si="26"/>
        <v>92</v>
      </c>
      <c r="U567" s="1" t="s">
        <v>34</v>
      </c>
      <c r="V567" s="1" t="s">
        <v>34</v>
      </c>
      <c r="W567" s="1" t="s">
        <v>34</v>
      </c>
      <c r="X567" s="1" t="s">
        <v>2694</v>
      </c>
      <c r="Y567" s="1">
        <v>8.5</v>
      </c>
    </row>
    <row r="568" spans="1:25" x14ac:dyDescent="0.3">
      <c r="A568" s="1" t="s">
        <v>753</v>
      </c>
      <c r="B568" s="1" t="s">
        <v>72</v>
      </c>
      <c r="C568" s="1" t="s">
        <v>73</v>
      </c>
      <c r="D568" s="1" t="s">
        <v>47</v>
      </c>
      <c r="E568" s="1" t="s">
        <v>29</v>
      </c>
      <c r="F568" s="1" t="s">
        <v>30</v>
      </c>
      <c r="G568" s="2">
        <v>224.49</v>
      </c>
      <c r="H568" s="1">
        <v>19</v>
      </c>
      <c r="I568" s="1">
        <v>292</v>
      </c>
      <c r="J568" s="1">
        <v>284</v>
      </c>
      <c r="K568" s="1">
        <v>94</v>
      </c>
      <c r="L568" s="1">
        <v>51</v>
      </c>
      <c r="M568" s="1" t="s">
        <v>31</v>
      </c>
      <c r="N568" s="1" t="s">
        <v>60</v>
      </c>
      <c r="O568" s="1" t="s">
        <v>260</v>
      </c>
      <c r="P568" s="2">
        <v>157.13999999999999</v>
      </c>
      <c r="Q568" s="1" t="str">
        <f t="shared" si="24"/>
        <v>YES</v>
      </c>
      <c r="R568" s="2">
        <f t="shared" si="25"/>
        <v>202.04100000000003</v>
      </c>
      <c r="S568" s="2">
        <f>J568*G568</f>
        <v>63755.16</v>
      </c>
      <c r="T568" s="1">
        <f t="shared" ca="1" si="26"/>
        <v>70</v>
      </c>
      <c r="U568" s="1" t="s">
        <v>34</v>
      </c>
      <c r="V568" s="1" t="s">
        <v>34</v>
      </c>
      <c r="W568" s="1" t="s">
        <v>34</v>
      </c>
      <c r="X568" s="1" t="s">
        <v>2824</v>
      </c>
      <c r="Y568" s="1">
        <v>9</v>
      </c>
    </row>
    <row r="569" spans="1:25" x14ac:dyDescent="0.3">
      <c r="A569" s="1" t="s">
        <v>754</v>
      </c>
      <c r="B569" s="1" t="s">
        <v>166</v>
      </c>
      <c r="C569" s="1" t="s">
        <v>167</v>
      </c>
      <c r="D569" s="1" t="s">
        <v>59</v>
      </c>
      <c r="E569" s="1" t="s">
        <v>29</v>
      </c>
      <c r="F569" s="1" t="s">
        <v>48</v>
      </c>
      <c r="G569" s="2">
        <v>393.18</v>
      </c>
      <c r="H569" s="1">
        <v>15</v>
      </c>
      <c r="I569" s="1">
        <v>176</v>
      </c>
      <c r="J569" s="1">
        <v>157</v>
      </c>
      <c r="K569" s="1">
        <v>94</v>
      </c>
      <c r="L569" s="1">
        <v>74</v>
      </c>
      <c r="M569" s="1" t="s">
        <v>41</v>
      </c>
      <c r="N569" s="1" t="s">
        <v>60</v>
      </c>
      <c r="O569" s="1" t="s">
        <v>55</v>
      </c>
      <c r="P569" s="2">
        <v>275.23</v>
      </c>
      <c r="Q569" s="1" t="str">
        <f t="shared" si="24"/>
        <v>YES</v>
      </c>
      <c r="R569" s="2">
        <f t="shared" si="25"/>
        <v>353.86200000000002</v>
      </c>
      <c r="S569" s="2">
        <f>J569*G569</f>
        <v>61729.26</v>
      </c>
      <c r="T569" s="1">
        <f t="shared" ca="1" si="26"/>
        <v>91</v>
      </c>
      <c r="U569" s="1" t="s">
        <v>34</v>
      </c>
      <c r="V569" s="1" t="s">
        <v>34</v>
      </c>
      <c r="W569" s="1" t="s">
        <v>34</v>
      </c>
      <c r="X569" s="1" t="s">
        <v>2648</v>
      </c>
      <c r="Y569" s="1">
        <v>9.5</v>
      </c>
    </row>
    <row r="570" spans="1:25" x14ac:dyDescent="0.3">
      <c r="A570" s="1" t="s">
        <v>755</v>
      </c>
      <c r="B570" s="1" t="s">
        <v>102</v>
      </c>
      <c r="C570" s="1" t="s">
        <v>103</v>
      </c>
      <c r="D570" s="1" t="s">
        <v>104</v>
      </c>
      <c r="E570" s="1" t="s">
        <v>29</v>
      </c>
      <c r="F570" s="1" t="s">
        <v>54</v>
      </c>
      <c r="G570" s="2">
        <v>497.67</v>
      </c>
      <c r="H570" s="1">
        <v>8</v>
      </c>
      <c r="I570" s="1">
        <v>142</v>
      </c>
      <c r="J570" s="1">
        <v>140</v>
      </c>
      <c r="K570" s="1">
        <v>63</v>
      </c>
      <c r="L570" s="1">
        <v>123</v>
      </c>
      <c r="M570" s="1" t="s">
        <v>31</v>
      </c>
      <c r="N570" s="1" t="s">
        <v>42</v>
      </c>
      <c r="O570" s="1" t="s">
        <v>311</v>
      </c>
      <c r="P570" s="2">
        <v>348.37</v>
      </c>
      <c r="Q570" s="1" t="str">
        <f t="shared" si="24"/>
        <v>YES</v>
      </c>
      <c r="R570" s="2">
        <f t="shared" si="25"/>
        <v>447.90300000000002</v>
      </c>
      <c r="S570" s="2">
        <f>J570*G570</f>
        <v>69673.8</v>
      </c>
      <c r="T570" s="1">
        <f t="shared" ca="1" si="26"/>
        <v>80</v>
      </c>
      <c r="U570" s="1" t="s">
        <v>34</v>
      </c>
      <c r="V570" s="1" t="s">
        <v>34</v>
      </c>
      <c r="W570" s="1" t="s">
        <v>34</v>
      </c>
      <c r="X570" s="1" t="s">
        <v>2745</v>
      </c>
      <c r="Y570" s="1">
        <v>5</v>
      </c>
    </row>
    <row r="571" spans="1:25" x14ac:dyDescent="0.3">
      <c r="A571" s="1" t="s">
        <v>756</v>
      </c>
      <c r="B571" s="1" t="s">
        <v>37</v>
      </c>
      <c r="C571" s="1" t="s">
        <v>38</v>
      </c>
      <c r="D571" s="1" t="s">
        <v>39</v>
      </c>
      <c r="E571" s="1" t="s">
        <v>74</v>
      </c>
      <c r="F571" s="1" t="s">
        <v>30</v>
      </c>
      <c r="G571" s="2">
        <v>112.12</v>
      </c>
      <c r="H571" s="1">
        <v>4</v>
      </c>
      <c r="I571" s="1">
        <v>244</v>
      </c>
      <c r="J571" s="1">
        <v>225</v>
      </c>
      <c r="K571" s="1">
        <v>43</v>
      </c>
      <c r="L571" s="1">
        <v>133</v>
      </c>
      <c r="M571" s="1" t="s">
        <v>49</v>
      </c>
      <c r="N571" s="1" t="s">
        <v>60</v>
      </c>
      <c r="O571" s="1" t="s">
        <v>203</v>
      </c>
      <c r="P571" s="2">
        <v>78.48</v>
      </c>
      <c r="Q571" s="1" t="str">
        <f t="shared" si="24"/>
        <v>YES</v>
      </c>
      <c r="R571" s="2">
        <f t="shared" si="25"/>
        <v>100.908</v>
      </c>
      <c r="S571" s="2">
        <f>J571*G571</f>
        <v>25227</v>
      </c>
      <c r="T571" s="1">
        <f t="shared" ca="1" si="26"/>
        <v>102</v>
      </c>
      <c r="U571" s="1" t="s">
        <v>34</v>
      </c>
      <c r="V571" s="1" t="s">
        <v>34</v>
      </c>
      <c r="W571" s="1" t="s">
        <v>34</v>
      </c>
      <c r="X571" s="1" t="s">
        <v>2618</v>
      </c>
      <c r="Y571" s="1">
        <v>5.5</v>
      </c>
    </row>
    <row r="572" spans="1:25" x14ac:dyDescent="0.3">
      <c r="A572" s="1" t="s">
        <v>757</v>
      </c>
      <c r="B572" s="1" t="s">
        <v>176</v>
      </c>
      <c r="C572" s="1" t="s">
        <v>177</v>
      </c>
      <c r="D572" s="1" t="s">
        <v>39</v>
      </c>
      <c r="E572" s="1" t="s">
        <v>29</v>
      </c>
      <c r="F572" s="1" t="s">
        <v>54</v>
      </c>
      <c r="G572" s="2">
        <v>216.92</v>
      </c>
      <c r="H572" s="1">
        <v>24</v>
      </c>
      <c r="I572" s="1">
        <v>268</v>
      </c>
      <c r="J572" s="1">
        <v>255</v>
      </c>
      <c r="K572" s="1">
        <v>94</v>
      </c>
      <c r="L572" s="1">
        <v>118</v>
      </c>
      <c r="M572" s="1" t="s">
        <v>31</v>
      </c>
      <c r="N572" s="1" t="s">
        <v>60</v>
      </c>
      <c r="O572" s="1" t="s">
        <v>311</v>
      </c>
      <c r="P572" s="2">
        <v>151.84</v>
      </c>
      <c r="Q572" s="1" t="str">
        <f t="shared" si="24"/>
        <v>YES</v>
      </c>
      <c r="R572" s="2">
        <f t="shared" si="25"/>
        <v>195.22799999999998</v>
      </c>
      <c r="S572" s="2">
        <f>J572*G572</f>
        <v>55314.6</v>
      </c>
      <c r="T572" s="1">
        <f t="shared" ca="1" si="26"/>
        <v>80</v>
      </c>
      <c r="U572" s="1" t="s">
        <v>34</v>
      </c>
      <c r="V572" s="1" t="s">
        <v>34</v>
      </c>
      <c r="W572" s="1" t="s">
        <v>34</v>
      </c>
      <c r="X572" s="1" t="s">
        <v>2734</v>
      </c>
      <c r="Y572" s="1">
        <v>6</v>
      </c>
    </row>
    <row r="573" spans="1:25" x14ac:dyDescent="0.3">
      <c r="A573" s="1" t="s">
        <v>758</v>
      </c>
      <c r="B573" s="1" t="s">
        <v>197</v>
      </c>
      <c r="C573" s="1" t="s">
        <v>198</v>
      </c>
      <c r="D573" s="1" t="s">
        <v>104</v>
      </c>
      <c r="E573" s="1" t="s">
        <v>29</v>
      </c>
      <c r="F573" s="1" t="s">
        <v>30</v>
      </c>
      <c r="G573" s="2">
        <v>114.95</v>
      </c>
      <c r="H573" s="1">
        <v>21</v>
      </c>
      <c r="I573" s="1">
        <v>178</v>
      </c>
      <c r="J573" s="1">
        <v>149</v>
      </c>
      <c r="K573" s="1">
        <v>85</v>
      </c>
      <c r="L573" s="1">
        <v>92</v>
      </c>
      <c r="M573" s="1" t="s">
        <v>49</v>
      </c>
      <c r="N573" s="1" t="s">
        <v>60</v>
      </c>
      <c r="O573" s="1" t="s">
        <v>266</v>
      </c>
      <c r="P573" s="2">
        <v>80.47</v>
      </c>
      <c r="Q573" s="1" t="str">
        <f t="shared" si="24"/>
        <v>YES</v>
      </c>
      <c r="R573" s="2">
        <f t="shared" si="25"/>
        <v>103.455</v>
      </c>
      <c r="S573" s="2">
        <f>J573*G573</f>
        <v>17127.55</v>
      </c>
      <c r="T573" s="1">
        <f t="shared" ca="1" si="26"/>
        <v>139</v>
      </c>
      <c r="U573" s="1" t="s">
        <v>34</v>
      </c>
      <c r="V573" s="1" t="s">
        <v>34</v>
      </c>
      <c r="W573" s="1" t="s">
        <v>34</v>
      </c>
      <c r="X573" s="1" t="s">
        <v>2817</v>
      </c>
      <c r="Y573" s="1">
        <v>6.5</v>
      </c>
    </row>
    <row r="574" spans="1:25" x14ac:dyDescent="0.3">
      <c r="A574" s="1" t="s">
        <v>759</v>
      </c>
      <c r="B574" s="1" t="s">
        <v>197</v>
      </c>
      <c r="C574" s="1" t="s">
        <v>198</v>
      </c>
      <c r="D574" s="1" t="s">
        <v>104</v>
      </c>
      <c r="E574" s="1" t="s">
        <v>40</v>
      </c>
      <c r="F574" s="1" t="s">
        <v>30</v>
      </c>
      <c r="G574" s="2">
        <v>284.14</v>
      </c>
      <c r="H574" s="1">
        <v>17</v>
      </c>
      <c r="I574" s="1">
        <v>114</v>
      </c>
      <c r="J574" s="1">
        <v>94</v>
      </c>
      <c r="K574" s="1">
        <v>46</v>
      </c>
      <c r="L574" s="1">
        <v>79</v>
      </c>
      <c r="M574" s="1" t="s">
        <v>31</v>
      </c>
      <c r="N574" s="1" t="s">
        <v>32</v>
      </c>
      <c r="O574" s="1" t="s">
        <v>105</v>
      </c>
      <c r="P574" s="2">
        <v>198.9</v>
      </c>
      <c r="Q574" s="1" t="str">
        <f t="shared" si="24"/>
        <v>YES</v>
      </c>
      <c r="R574" s="2">
        <f t="shared" si="25"/>
        <v>255.726</v>
      </c>
      <c r="S574" s="2">
        <f>J574*G574</f>
        <v>26709.16</v>
      </c>
      <c r="T574" s="1">
        <f t="shared" ca="1" si="26"/>
        <v>144</v>
      </c>
      <c r="U574" s="1" t="s">
        <v>34</v>
      </c>
      <c r="V574" s="1" t="s">
        <v>34</v>
      </c>
      <c r="W574" s="1" t="s">
        <v>34</v>
      </c>
      <c r="X574" s="1" t="s">
        <v>2690</v>
      </c>
      <c r="Y574" s="1">
        <v>7</v>
      </c>
    </row>
    <row r="575" spans="1:25" x14ac:dyDescent="0.3">
      <c r="A575" s="1" t="s">
        <v>760</v>
      </c>
      <c r="B575" s="1" t="s">
        <v>237</v>
      </c>
      <c r="C575" s="1" t="s">
        <v>238</v>
      </c>
      <c r="D575" s="1" t="s">
        <v>85</v>
      </c>
      <c r="E575" s="1" t="s">
        <v>74</v>
      </c>
      <c r="F575" s="1" t="s">
        <v>30</v>
      </c>
      <c r="G575" s="2">
        <v>115.18</v>
      </c>
      <c r="H575" s="1">
        <v>9</v>
      </c>
      <c r="I575" s="1">
        <v>195</v>
      </c>
      <c r="J575" s="1">
        <v>174</v>
      </c>
      <c r="K575" s="1">
        <v>116</v>
      </c>
      <c r="L575" s="1">
        <v>149</v>
      </c>
      <c r="M575" s="1" t="s">
        <v>41</v>
      </c>
      <c r="N575" s="1" t="s">
        <v>32</v>
      </c>
      <c r="O575" s="1" t="s">
        <v>50</v>
      </c>
      <c r="P575" s="2">
        <v>80.63</v>
      </c>
      <c r="Q575" s="1" t="str">
        <f t="shared" si="24"/>
        <v>YES</v>
      </c>
      <c r="R575" s="2">
        <f t="shared" si="25"/>
        <v>103.66200000000001</v>
      </c>
      <c r="S575" s="2">
        <f>J575*G575</f>
        <v>20041.32</v>
      </c>
      <c r="T575" s="1">
        <f t="shared" ca="1" si="26"/>
        <v>114</v>
      </c>
      <c r="U575" s="1" t="s">
        <v>34</v>
      </c>
      <c r="V575" s="1" t="s">
        <v>34</v>
      </c>
      <c r="W575" s="1" t="s">
        <v>34</v>
      </c>
      <c r="X575" s="1" t="s">
        <v>2825</v>
      </c>
      <c r="Y575" s="1">
        <v>7.5</v>
      </c>
    </row>
    <row r="576" spans="1:25" x14ac:dyDescent="0.3">
      <c r="A576" s="1" t="s">
        <v>761</v>
      </c>
      <c r="B576" s="1" t="s">
        <v>45</v>
      </c>
      <c r="C576" s="1" t="s">
        <v>46</v>
      </c>
      <c r="D576" s="1" t="s">
        <v>47</v>
      </c>
      <c r="E576" s="1" t="s">
        <v>74</v>
      </c>
      <c r="F576" s="1" t="s">
        <v>30</v>
      </c>
      <c r="G576" s="2">
        <v>164.46</v>
      </c>
      <c r="H576" s="1">
        <v>8</v>
      </c>
      <c r="I576" s="1">
        <v>235</v>
      </c>
      <c r="J576" s="1">
        <v>224</v>
      </c>
      <c r="K576" s="1">
        <v>113</v>
      </c>
      <c r="L576" s="1">
        <v>59</v>
      </c>
      <c r="M576" s="1" t="s">
        <v>49</v>
      </c>
      <c r="N576" s="1" t="s">
        <v>42</v>
      </c>
      <c r="O576" s="1" t="s">
        <v>35</v>
      </c>
      <c r="P576" s="2">
        <v>115.12</v>
      </c>
      <c r="Q576" s="1" t="str">
        <f t="shared" si="24"/>
        <v>YES</v>
      </c>
      <c r="R576" s="2">
        <f t="shared" si="25"/>
        <v>148.01400000000001</v>
      </c>
      <c r="S576" s="2">
        <f>J576*G576</f>
        <v>36839.040000000001</v>
      </c>
      <c r="T576" s="1">
        <f t="shared" ca="1" si="26"/>
        <v>85</v>
      </c>
      <c r="U576" s="1" t="s">
        <v>34</v>
      </c>
      <c r="V576" s="1" t="s">
        <v>34</v>
      </c>
      <c r="W576" s="1" t="s">
        <v>34</v>
      </c>
      <c r="X576" s="1" t="s">
        <v>2738</v>
      </c>
      <c r="Y576" s="1">
        <v>8</v>
      </c>
    </row>
    <row r="577" spans="1:25" x14ac:dyDescent="0.3">
      <c r="A577" s="1" t="s">
        <v>762</v>
      </c>
      <c r="B577" s="1" t="s">
        <v>143</v>
      </c>
      <c r="C577" s="1" t="s">
        <v>144</v>
      </c>
      <c r="D577" s="1" t="s">
        <v>47</v>
      </c>
      <c r="E577" s="1" t="s">
        <v>40</v>
      </c>
      <c r="F577" s="1" t="s">
        <v>54</v>
      </c>
      <c r="G577" s="2">
        <v>411.21</v>
      </c>
      <c r="H577" s="1">
        <v>17</v>
      </c>
      <c r="I577" s="1">
        <v>145</v>
      </c>
      <c r="J577" s="1">
        <v>123</v>
      </c>
      <c r="K577" s="1">
        <v>105</v>
      </c>
      <c r="L577" s="1">
        <v>57</v>
      </c>
      <c r="M577" s="1" t="s">
        <v>41</v>
      </c>
      <c r="N577" s="1" t="s">
        <v>32</v>
      </c>
      <c r="O577" s="1" t="s">
        <v>311</v>
      </c>
      <c r="P577" s="2">
        <v>287.85000000000002</v>
      </c>
      <c r="Q577" s="1" t="str">
        <f t="shared" si="24"/>
        <v>YES</v>
      </c>
      <c r="R577" s="2">
        <f t="shared" si="25"/>
        <v>370.089</v>
      </c>
      <c r="S577" s="2">
        <f>J577*G577</f>
        <v>50578.829999999994</v>
      </c>
      <c r="T577" s="1">
        <f t="shared" ca="1" si="26"/>
        <v>80</v>
      </c>
      <c r="U577" s="1" t="s">
        <v>34</v>
      </c>
      <c r="V577" s="1" t="s">
        <v>34</v>
      </c>
      <c r="W577" s="1" t="s">
        <v>34</v>
      </c>
      <c r="X577" s="1" t="s">
        <v>2610</v>
      </c>
      <c r="Y577" s="1">
        <v>8.5</v>
      </c>
    </row>
    <row r="578" spans="1:25" x14ac:dyDescent="0.3">
      <c r="A578" s="1" t="s">
        <v>763</v>
      </c>
      <c r="B578" s="1" t="s">
        <v>143</v>
      </c>
      <c r="C578" s="1" t="s">
        <v>144</v>
      </c>
      <c r="D578" s="1" t="s">
        <v>47</v>
      </c>
      <c r="E578" s="1" t="s">
        <v>40</v>
      </c>
      <c r="F578" s="1" t="s">
        <v>48</v>
      </c>
      <c r="G578" s="2">
        <v>444.65</v>
      </c>
      <c r="H578" s="1">
        <v>20</v>
      </c>
      <c r="I578" s="1">
        <v>146</v>
      </c>
      <c r="J578" s="1">
        <v>132</v>
      </c>
      <c r="K578" s="1">
        <v>41</v>
      </c>
      <c r="L578" s="1">
        <v>108</v>
      </c>
      <c r="M578" s="1" t="s">
        <v>49</v>
      </c>
      <c r="N578" s="1" t="s">
        <v>42</v>
      </c>
      <c r="O578" s="1" t="s">
        <v>292</v>
      </c>
      <c r="P578" s="2">
        <v>311.25</v>
      </c>
      <c r="Q578" s="1" t="str">
        <f t="shared" ref="Q578:Q641" si="27">IF(J578&gt;K578,"YES","NO")</f>
        <v>YES</v>
      </c>
      <c r="R578" s="2">
        <f t="shared" ref="R578:R641" si="28">IF(Q578="YES",G578*0.9,G578)</f>
        <v>400.185</v>
      </c>
      <c r="S578" s="2">
        <f>J578*G578</f>
        <v>58693.799999999996</v>
      </c>
      <c r="T578" s="1">
        <f t="shared" ref="T578:T641" ca="1" si="29">TODAY()-DATE(MID(O578,7,4),MID(O578,4,2),LEFT(O578,2))</f>
        <v>83</v>
      </c>
      <c r="U578" s="1" t="s">
        <v>34</v>
      </c>
      <c r="V578" s="1" t="s">
        <v>34</v>
      </c>
      <c r="W578" s="1" t="s">
        <v>34</v>
      </c>
      <c r="X578" s="1" t="s">
        <v>2677</v>
      </c>
      <c r="Y578" s="1">
        <v>9</v>
      </c>
    </row>
    <row r="579" spans="1:25" x14ac:dyDescent="0.3">
      <c r="A579" s="1" t="s">
        <v>764</v>
      </c>
      <c r="B579" s="1" t="s">
        <v>83</v>
      </c>
      <c r="C579" s="1" t="s">
        <v>84</v>
      </c>
      <c r="D579" s="1" t="s">
        <v>85</v>
      </c>
      <c r="E579" s="1" t="s">
        <v>29</v>
      </c>
      <c r="F579" s="1" t="s">
        <v>54</v>
      </c>
      <c r="G579" s="2">
        <v>272.41000000000003</v>
      </c>
      <c r="H579" s="1">
        <v>25</v>
      </c>
      <c r="I579" s="1">
        <v>218</v>
      </c>
      <c r="J579" s="1">
        <v>214</v>
      </c>
      <c r="K579" s="1">
        <v>116</v>
      </c>
      <c r="L579" s="1">
        <v>89</v>
      </c>
      <c r="M579" s="1" t="s">
        <v>41</v>
      </c>
      <c r="N579" s="1" t="s">
        <v>60</v>
      </c>
      <c r="O579" s="1" t="s">
        <v>180</v>
      </c>
      <c r="P579" s="2">
        <v>190.69</v>
      </c>
      <c r="Q579" s="1" t="str">
        <f t="shared" si="27"/>
        <v>YES</v>
      </c>
      <c r="R579" s="2">
        <f t="shared" si="28"/>
        <v>245.16900000000004</v>
      </c>
      <c r="S579" s="2">
        <f>J579*G579</f>
        <v>58295.740000000005</v>
      </c>
      <c r="T579" s="1">
        <f t="shared" ca="1" si="29"/>
        <v>122</v>
      </c>
      <c r="U579" s="1" t="s">
        <v>34</v>
      </c>
      <c r="V579" s="1" t="s">
        <v>34</v>
      </c>
      <c r="W579" s="1" t="s">
        <v>34</v>
      </c>
      <c r="X579" s="1" t="s">
        <v>2612</v>
      </c>
      <c r="Y579" s="1">
        <v>9.5</v>
      </c>
    </row>
    <row r="580" spans="1:25" x14ac:dyDescent="0.3">
      <c r="A580" s="1" t="s">
        <v>765</v>
      </c>
      <c r="B580" s="1" t="s">
        <v>83</v>
      </c>
      <c r="C580" s="1" t="s">
        <v>84</v>
      </c>
      <c r="D580" s="1" t="s">
        <v>85</v>
      </c>
      <c r="E580" s="1" t="s">
        <v>29</v>
      </c>
      <c r="F580" s="1" t="s">
        <v>30</v>
      </c>
      <c r="G580" s="2">
        <v>420.91</v>
      </c>
      <c r="H580" s="1">
        <v>0</v>
      </c>
      <c r="I580" s="1">
        <v>175</v>
      </c>
      <c r="J580" s="1">
        <v>168</v>
      </c>
      <c r="K580" s="1">
        <v>55</v>
      </c>
      <c r="L580" s="1">
        <v>83</v>
      </c>
      <c r="M580" s="1" t="s">
        <v>31</v>
      </c>
      <c r="N580" s="1" t="s">
        <v>42</v>
      </c>
      <c r="O580" s="1" t="s">
        <v>145</v>
      </c>
      <c r="P580" s="2">
        <v>294.64</v>
      </c>
      <c r="Q580" s="1" t="str">
        <f t="shared" si="27"/>
        <v>YES</v>
      </c>
      <c r="R580" s="2">
        <f t="shared" si="28"/>
        <v>378.81900000000002</v>
      </c>
      <c r="S580" s="2">
        <f>J580*G580</f>
        <v>70712.88</v>
      </c>
      <c r="T580" s="1">
        <f t="shared" ca="1" si="29"/>
        <v>68</v>
      </c>
      <c r="U580" s="1" t="s">
        <v>34</v>
      </c>
      <c r="V580" s="1" t="s">
        <v>34</v>
      </c>
      <c r="W580" s="1" t="s">
        <v>34</v>
      </c>
      <c r="X580" s="1" t="s">
        <v>2826</v>
      </c>
      <c r="Y580" s="1">
        <v>5</v>
      </c>
    </row>
    <row r="581" spans="1:25" x14ac:dyDescent="0.3">
      <c r="A581" s="1" t="s">
        <v>766</v>
      </c>
      <c r="B581" s="1" t="s">
        <v>95</v>
      </c>
      <c r="C581" s="1" t="s">
        <v>96</v>
      </c>
      <c r="D581" s="1" t="s">
        <v>97</v>
      </c>
      <c r="E581" s="1" t="s">
        <v>74</v>
      </c>
      <c r="F581" s="1" t="s">
        <v>54</v>
      </c>
      <c r="G581" s="2">
        <v>445.94</v>
      </c>
      <c r="H581" s="1">
        <v>3</v>
      </c>
      <c r="I581" s="1">
        <v>185</v>
      </c>
      <c r="J581" s="1">
        <v>182</v>
      </c>
      <c r="K581" s="1">
        <v>91</v>
      </c>
      <c r="L581" s="1">
        <v>60</v>
      </c>
      <c r="M581" s="1" t="s">
        <v>31</v>
      </c>
      <c r="N581" s="1" t="s">
        <v>32</v>
      </c>
      <c r="O581" s="1" t="s">
        <v>145</v>
      </c>
      <c r="P581" s="2">
        <v>312.16000000000003</v>
      </c>
      <c r="Q581" s="1" t="str">
        <f t="shared" si="27"/>
        <v>YES</v>
      </c>
      <c r="R581" s="2">
        <f t="shared" si="28"/>
        <v>401.346</v>
      </c>
      <c r="S581" s="2">
        <f>J581*G581</f>
        <v>81161.08</v>
      </c>
      <c r="T581" s="1">
        <f t="shared" ca="1" si="29"/>
        <v>68</v>
      </c>
      <c r="U581" s="1" t="s">
        <v>34</v>
      </c>
      <c r="V581" s="1" t="s">
        <v>34</v>
      </c>
      <c r="W581" s="1" t="s">
        <v>34</v>
      </c>
      <c r="X581" s="1" t="s">
        <v>2679</v>
      </c>
      <c r="Y581" s="1">
        <v>5.5</v>
      </c>
    </row>
    <row r="582" spans="1:25" x14ac:dyDescent="0.3">
      <c r="A582" s="1" t="s">
        <v>767</v>
      </c>
      <c r="B582" s="1" t="s">
        <v>237</v>
      </c>
      <c r="C582" s="1" t="s">
        <v>238</v>
      </c>
      <c r="D582" s="1" t="s">
        <v>85</v>
      </c>
      <c r="E582" s="1" t="s">
        <v>29</v>
      </c>
      <c r="F582" s="1" t="s">
        <v>54</v>
      </c>
      <c r="G582" s="2">
        <v>453.82</v>
      </c>
      <c r="H582" s="1">
        <v>25</v>
      </c>
      <c r="I582" s="1">
        <v>220</v>
      </c>
      <c r="J582" s="1">
        <v>215</v>
      </c>
      <c r="K582" s="1">
        <v>105</v>
      </c>
      <c r="L582" s="1">
        <v>109</v>
      </c>
      <c r="M582" s="1" t="s">
        <v>31</v>
      </c>
      <c r="N582" s="1" t="s">
        <v>42</v>
      </c>
      <c r="O582" s="1" t="s">
        <v>220</v>
      </c>
      <c r="P582" s="2">
        <v>317.67</v>
      </c>
      <c r="Q582" s="1" t="str">
        <f t="shared" si="27"/>
        <v>YES</v>
      </c>
      <c r="R582" s="2">
        <f t="shared" si="28"/>
        <v>408.43799999999999</v>
      </c>
      <c r="S582" s="2">
        <f>J582*G582</f>
        <v>97571.3</v>
      </c>
      <c r="T582" s="1">
        <f t="shared" ca="1" si="29"/>
        <v>106</v>
      </c>
      <c r="U582" s="1" t="s">
        <v>34</v>
      </c>
      <c r="V582" s="1" t="s">
        <v>34</v>
      </c>
      <c r="W582" s="1" t="s">
        <v>34</v>
      </c>
      <c r="X582" s="1" t="s">
        <v>2788</v>
      </c>
      <c r="Y582" s="1">
        <v>6</v>
      </c>
    </row>
    <row r="583" spans="1:25" x14ac:dyDescent="0.3">
      <c r="A583" s="1" t="s">
        <v>768</v>
      </c>
      <c r="B583" s="1" t="s">
        <v>45</v>
      </c>
      <c r="C583" s="1" t="s">
        <v>46</v>
      </c>
      <c r="D583" s="1" t="s">
        <v>47</v>
      </c>
      <c r="E583" s="1" t="s">
        <v>40</v>
      </c>
      <c r="F583" s="1" t="s">
        <v>48</v>
      </c>
      <c r="G583" s="2">
        <v>196.7</v>
      </c>
      <c r="H583" s="1">
        <v>13</v>
      </c>
      <c r="I583" s="1">
        <v>241</v>
      </c>
      <c r="J583" s="1">
        <v>213</v>
      </c>
      <c r="K583" s="1">
        <v>51</v>
      </c>
      <c r="L583" s="1">
        <v>144</v>
      </c>
      <c r="M583" s="1" t="s">
        <v>41</v>
      </c>
      <c r="N583" s="1" t="s">
        <v>60</v>
      </c>
      <c r="O583" s="1" t="s">
        <v>185</v>
      </c>
      <c r="P583" s="2">
        <v>137.69</v>
      </c>
      <c r="Q583" s="1" t="str">
        <f t="shared" si="27"/>
        <v>YES</v>
      </c>
      <c r="R583" s="2">
        <f t="shared" si="28"/>
        <v>177.03</v>
      </c>
      <c r="S583" s="2">
        <f>J583*G583</f>
        <v>41897.1</v>
      </c>
      <c r="T583" s="1">
        <f t="shared" ca="1" si="29"/>
        <v>104</v>
      </c>
      <c r="U583" s="1" t="s">
        <v>34</v>
      </c>
      <c r="V583" s="1" t="s">
        <v>34</v>
      </c>
      <c r="W583" s="1" t="s">
        <v>34</v>
      </c>
      <c r="X583" s="1" t="s">
        <v>2601</v>
      </c>
      <c r="Y583" s="1">
        <v>6.5</v>
      </c>
    </row>
    <row r="584" spans="1:25" x14ac:dyDescent="0.3">
      <c r="A584" s="1" t="s">
        <v>769</v>
      </c>
      <c r="B584" s="1" t="s">
        <v>102</v>
      </c>
      <c r="C584" s="1" t="s">
        <v>103</v>
      </c>
      <c r="D584" s="1" t="s">
        <v>104</v>
      </c>
      <c r="E584" s="1" t="s">
        <v>74</v>
      </c>
      <c r="F584" s="1" t="s">
        <v>54</v>
      </c>
      <c r="G584" s="2">
        <v>189.04</v>
      </c>
      <c r="H584" s="1">
        <v>20</v>
      </c>
      <c r="I584" s="1">
        <v>149</v>
      </c>
      <c r="J584" s="1">
        <v>140</v>
      </c>
      <c r="K584" s="1">
        <v>106</v>
      </c>
      <c r="L584" s="1">
        <v>98</v>
      </c>
      <c r="M584" s="1" t="s">
        <v>31</v>
      </c>
      <c r="N584" s="1" t="s">
        <v>32</v>
      </c>
      <c r="O584" s="1" t="s">
        <v>254</v>
      </c>
      <c r="P584" s="2">
        <v>132.33000000000001</v>
      </c>
      <c r="Q584" s="1" t="str">
        <f t="shared" si="27"/>
        <v>YES</v>
      </c>
      <c r="R584" s="2">
        <f t="shared" si="28"/>
        <v>170.136</v>
      </c>
      <c r="S584" s="2">
        <f>J584*G584</f>
        <v>26465.599999999999</v>
      </c>
      <c r="T584" s="1">
        <f t="shared" ca="1" si="29"/>
        <v>145</v>
      </c>
      <c r="U584" s="1" t="s">
        <v>34</v>
      </c>
      <c r="V584" s="1" t="s">
        <v>34</v>
      </c>
      <c r="W584" s="1" t="s">
        <v>34</v>
      </c>
      <c r="X584" s="1" t="s">
        <v>2789</v>
      </c>
      <c r="Y584" s="1">
        <v>7</v>
      </c>
    </row>
    <row r="585" spans="1:25" x14ac:dyDescent="0.3">
      <c r="A585" s="1" t="s">
        <v>770</v>
      </c>
      <c r="B585" s="1" t="s">
        <v>192</v>
      </c>
      <c r="C585" s="1" t="s">
        <v>193</v>
      </c>
      <c r="D585" s="1" t="s">
        <v>85</v>
      </c>
      <c r="E585" s="1" t="s">
        <v>40</v>
      </c>
      <c r="F585" s="1" t="s">
        <v>54</v>
      </c>
      <c r="G585" s="2">
        <v>350.31</v>
      </c>
      <c r="H585" s="1">
        <v>17</v>
      </c>
      <c r="I585" s="1">
        <v>275</v>
      </c>
      <c r="J585" s="1">
        <v>275</v>
      </c>
      <c r="K585" s="1">
        <v>113</v>
      </c>
      <c r="L585" s="1">
        <v>140</v>
      </c>
      <c r="M585" s="1" t="s">
        <v>31</v>
      </c>
      <c r="N585" s="1" t="s">
        <v>42</v>
      </c>
      <c r="O585" s="1" t="s">
        <v>240</v>
      </c>
      <c r="P585" s="2">
        <v>245.22</v>
      </c>
      <c r="Q585" s="1" t="str">
        <f t="shared" si="27"/>
        <v>YES</v>
      </c>
      <c r="R585" s="2">
        <f t="shared" si="28"/>
        <v>315.279</v>
      </c>
      <c r="S585" s="2">
        <f>J585*G585</f>
        <v>96335.25</v>
      </c>
      <c r="T585" s="1">
        <f t="shared" ca="1" si="29"/>
        <v>111</v>
      </c>
      <c r="U585" s="1" t="s">
        <v>34</v>
      </c>
      <c r="V585" s="1" t="s">
        <v>34</v>
      </c>
      <c r="W585" s="1" t="s">
        <v>34</v>
      </c>
      <c r="X585" s="1" t="s">
        <v>2713</v>
      </c>
      <c r="Y585" s="1">
        <v>7.5</v>
      </c>
    </row>
    <row r="586" spans="1:25" x14ac:dyDescent="0.3">
      <c r="A586" s="1" t="s">
        <v>771</v>
      </c>
      <c r="B586" s="1" t="s">
        <v>26</v>
      </c>
      <c r="C586" s="1" t="s">
        <v>27</v>
      </c>
      <c r="D586" s="1" t="s">
        <v>28</v>
      </c>
      <c r="E586" s="1" t="s">
        <v>74</v>
      </c>
      <c r="F586" s="1" t="s">
        <v>30</v>
      </c>
      <c r="G586" s="2">
        <v>207.36</v>
      </c>
      <c r="H586" s="1">
        <v>16</v>
      </c>
      <c r="I586" s="1">
        <v>265</v>
      </c>
      <c r="J586" s="1">
        <v>238</v>
      </c>
      <c r="K586" s="1">
        <v>104</v>
      </c>
      <c r="L586" s="1">
        <v>74</v>
      </c>
      <c r="M586" s="1" t="s">
        <v>49</v>
      </c>
      <c r="N586" s="1" t="s">
        <v>42</v>
      </c>
      <c r="O586" s="1" t="s">
        <v>121</v>
      </c>
      <c r="P586" s="2">
        <v>145.15</v>
      </c>
      <c r="Q586" s="1" t="str">
        <f t="shared" si="27"/>
        <v>YES</v>
      </c>
      <c r="R586" s="2">
        <f t="shared" si="28"/>
        <v>186.62400000000002</v>
      </c>
      <c r="S586" s="2">
        <f>J586*G586</f>
        <v>49351.68</v>
      </c>
      <c r="T586" s="1">
        <f t="shared" ca="1" si="29"/>
        <v>130</v>
      </c>
      <c r="U586" s="1" t="s">
        <v>34</v>
      </c>
      <c r="V586" s="1" t="s">
        <v>34</v>
      </c>
      <c r="W586" s="1" t="s">
        <v>34</v>
      </c>
      <c r="X586" s="1" t="s">
        <v>2786</v>
      </c>
      <c r="Y586" s="1">
        <v>8</v>
      </c>
    </row>
    <row r="587" spans="1:25" x14ac:dyDescent="0.3">
      <c r="A587" s="1" t="s">
        <v>772</v>
      </c>
      <c r="B587" s="1" t="s">
        <v>102</v>
      </c>
      <c r="C587" s="1" t="s">
        <v>103</v>
      </c>
      <c r="D587" s="1" t="s">
        <v>104</v>
      </c>
      <c r="E587" s="1" t="s">
        <v>74</v>
      </c>
      <c r="F587" s="1" t="s">
        <v>54</v>
      </c>
      <c r="G587" s="2">
        <v>79.16</v>
      </c>
      <c r="H587" s="1">
        <v>0</v>
      </c>
      <c r="I587" s="1">
        <v>82</v>
      </c>
      <c r="J587" s="1">
        <v>57</v>
      </c>
      <c r="K587" s="1">
        <v>87</v>
      </c>
      <c r="L587" s="1">
        <v>122</v>
      </c>
      <c r="M587" s="1" t="s">
        <v>31</v>
      </c>
      <c r="N587" s="1" t="s">
        <v>32</v>
      </c>
      <c r="O587" s="1" t="s">
        <v>128</v>
      </c>
      <c r="P587" s="2">
        <v>55.41</v>
      </c>
      <c r="Q587" s="1" t="str">
        <f t="shared" si="27"/>
        <v>NO</v>
      </c>
      <c r="R587" s="2">
        <f t="shared" si="28"/>
        <v>79.16</v>
      </c>
      <c r="S587" s="2">
        <f>J587*G587</f>
        <v>4512.12</v>
      </c>
      <c r="T587" s="1">
        <f t="shared" ca="1" si="29"/>
        <v>77</v>
      </c>
      <c r="U587" s="1" t="s">
        <v>34</v>
      </c>
      <c r="V587" s="1" t="s">
        <v>34</v>
      </c>
      <c r="W587" s="1" t="s">
        <v>34</v>
      </c>
      <c r="X587" s="1" t="s">
        <v>2622</v>
      </c>
      <c r="Y587" s="1">
        <v>8.5</v>
      </c>
    </row>
    <row r="588" spans="1:25" x14ac:dyDescent="0.3">
      <c r="A588" s="1" t="s">
        <v>773</v>
      </c>
      <c r="B588" s="1" t="s">
        <v>299</v>
      </c>
      <c r="C588" s="1" t="s">
        <v>300</v>
      </c>
      <c r="D588" s="1" t="s">
        <v>39</v>
      </c>
      <c r="E588" s="1" t="s">
        <v>29</v>
      </c>
      <c r="F588" s="1" t="s">
        <v>30</v>
      </c>
      <c r="G588" s="2">
        <v>418.11</v>
      </c>
      <c r="H588" s="1">
        <v>14</v>
      </c>
      <c r="I588" s="1">
        <v>215</v>
      </c>
      <c r="J588" s="1">
        <v>210</v>
      </c>
      <c r="K588" s="1">
        <v>95</v>
      </c>
      <c r="L588" s="1">
        <v>54</v>
      </c>
      <c r="M588" s="1" t="s">
        <v>31</v>
      </c>
      <c r="N588" s="1" t="s">
        <v>60</v>
      </c>
      <c r="O588" s="1" t="s">
        <v>302</v>
      </c>
      <c r="P588" s="2">
        <v>292.68</v>
      </c>
      <c r="Q588" s="1" t="str">
        <f t="shared" si="27"/>
        <v>YES</v>
      </c>
      <c r="R588" s="2">
        <f t="shared" si="28"/>
        <v>376.29900000000004</v>
      </c>
      <c r="S588" s="2">
        <f>J588*G588</f>
        <v>87803.1</v>
      </c>
      <c r="T588" s="1">
        <f t="shared" ca="1" si="29"/>
        <v>133</v>
      </c>
      <c r="U588" s="1" t="s">
        <v>34</v>
      </c>
      <c r="V588" s="1" t="s">
        <v>34</v>
      </c>
      <c r="W588" s="1" t="s">
        <v>34</v>
      </c>
      <c r="X588" s="1" t="s">
        <v>2721</v>
      </c>
      <c r="Y588" s="1">
        <v>9</v>
      </c>
    </row>
    <row r="589" spans="1:25" x14ac:dyDescent="0.3">
      <c r="A589" s="1" t="s">
        <v>774</v>
      </c>
      <c r="B589" s="1" t="s">
        <v>130</v>
      </c>
      <c r="C589" s="1" t="s">
        <v>131</v>
      </c>
      <c r="D589" s="1" t="s">
        <v>132</v>
      </c>
      <c r="E589" s="1" t="s">
        <v>29</v>
      </c>
      <c r="F589" s="1" t="s">
        <v>54</v>
      </c>
      <c r="G589" s="2">
        <v>346.13</v>
      </c>
      <c r="H589" s="1">
        <v>15</v>
      </c>
      <c r="I589" s="1">
        <v>196</v>
      </c>
      <c r="J589" s="1">
        <v>163</v>
      </c>
      <c r="K589" s="1">
        <v>99</v>
      </c>
      <c r="L589" s="1">
        <v>77</v>
      </c>
      <c r="M589" s="1" t="s">
        <v>31</v>
      </c>
      <c r="N589" s="1" t="s">
        <v>60</v>
      </c>
      <c r="O589" s="1" t="s">
        <v>109</v>
      </c>
      <c r="P589" s="2">
        <v>242.29</v>
      </c>
      <c r="Q589" s="1" t="str">
        <f t="shared" si="27"/>
        <v>YES</v>
      </c>
      <c r="R589" s="2">
        <f t="shared" si="28"/>
        <v>311.517</v>
      </c>
      <c r="S589" s="2">
        <f>J589*G589</f>
        <v>56419.19</v>
      </c>
      <c r="T589" s="1">
        <f t="shared" ca="1" si="29"/>
        <v>89</v>
      </c>
      <c r="U589" s="1" t="s">
        <v>34</v>
      </c>
      <c r="V589" s="1" t="s">
        <v>34</v>
      </c>
      <c r="W589" s="1" t="s">
        <v>34</v>
      </c>
      <c r="X589" s="1" t="s">
        <v>2800</v>
      </c>
      <c r="Y589" s="1">
        <v>9.5</v>
      </c>
    </row>
    <row r="590" spans="1:25" x14ac:dyDescent="0.3">
      <c r="A590" s="1" t="s">
        <v>775</v>
      </c>
      <c r="B590" s="1" t="s">
        <v>63</v>
      </c>
      <c r="C590" s="1" t="s">
        <v>64</v>
      </c>
      <c r="D590" s="1" t="s">
        <v>28</v>
      </c>
      <c r="E590" s="1" t="s">
        <v>40</v>
      </c>
      <c r="F590" s="1" t="s">
        <v>54</v>
      </c>
      <c r="G590" s="2">
        <v>384.87</v>
      </c>
      <c r="H590" s="1">
        <v>16</v>
      </c>
      <c r="I590" s="1">
        <v>148</v>
      </c>
      <c r="J590" s="1">
        <v>115</v>
      </c>
      <c r="K590" s="1">
        <v>93</v>
      </c>
      <c r="L590" s="1">
        <v>90</v>
      </c>
      <c r="M590" s="1" t="s">
        <v>31</v>
      </c>
      <c r="N590" s="1" t="s">
        <v>42</v>
      </c>
      <c r="O590" s="1" t="s">
        <v>203</v>
      </c>
      <c r="P590" s="2">
        <v>269.41000000000003</v>
      </c>
      <c r="Q590" s="1" t="str">
        <f t="shared" si="27"/>
        <v>YES</v>
      </c>
      <c r="R590" s="2">
        <f t="shared" si="28"/>
        <v>346.38300000000004</v>
      </c>
      <c r="S590" s="2">
        <f>J590*G590</f>
        <v>44260.05</v>
      </c>
      <c r="T590" s="1">
        <f t="shared" ca="1" si="29"/>
        <v>102</v>
      </c>
      <c r="U590" s="1" t="s">
        <v>34</v>
      </c>
      <c r="V590" s="1" t="s">
        <v>34</v>
      </c>
      <c r="W590" s="1" t="s">
        <v>34</v>
      </c>
      <c r="X590" s="1" t="s">
        <v>2694</v>
      </c>
      <c r="Y590" s="1">
        <v>5</v>
      </c>
    </row>
    <row r="591" spans="1:25" x14ac:dyDescent="0.3">
      <c r="A591" s="1" t="s">
        <v>776</v>
      </c>
      <c r="B591" s="1" t="s">
        <v>102</v>
      </c>
      <c r="C591" s="1" t="s">
        <v>103</v>
      </c>
      <c r="D591" s="1" t="s">
        <v>104</v>
      </c>
      <c r="E591" s="1" t="s">
        <v>29</v>
      </c>
      <c r="F591" s="1" t="s">
        <v>54</v>
      </c>
      <c r="G591" s="2">
        <v>326.75</v>
      </c>
      <c r="H591" s="1">
        <v>6</v>
      </c>
      <c r="I591" s="1">
        <v>280</v>
      </c>
      <c r="J591" s="1">
        <v>256</v>
      </c>
      <c r="K591" s="1">
        <v>46</v>
      </c>
      <c r="L591" s="1">
        <v>124</v>
      </c>
      <c r="M591" s="1" t="s">
        <v>49</v>
      </c>
      <c r="N591" s="1" t="s">
        <v>42</v>
      </c>
      <c r="O591" s="1" t="s">
        <v>361</v>
      </c>
      <c r="P591" s="2">
        <v>228.72</v>
      </c>
      <c r="Q591" s="1" t="str">
        <f t="shared" si="27"/>
        <v>YES</v>
      </c>
      <c r="R591" s="2">
        <f t="shared" si="28"/>
        <v>294.07499999999999</v>
      </c>
      <c r="S591" s="2">
        <f>J591*G591</f>
        <v>83648</v>
      </c>
      <c r="T591" s="1">
        <f t="shared" ca="1" si="29"/>
        <v>99</v>
      </c>
      <c r="U591" s="1" t="s">
        <v>34</v>
      </c>
      <c r="V591" s="1" t="s">
        <v>34</v>
      </c>
      <c r="W591" s="1" t="s">
        <v>34</v>
      </c>
      <c r="X591" s="1" t="s">
        <v>2827</v>
      </c>
      <c r="Y591" s="1">
        <v>5.5</v>
      </c>
    </row>
    <row r="592" spans="1:25" x14ac:dyDescent="0.3">
      <c r="A592" s="1" t="s">
        <v>777</v>
      </c>
      <c r="B592" s="1" t="s">
        <v>69</v>
      </c>
      <c r="C592" s="1" t="s">
        <v>70</v>
      </c>
      <c r="D592" s="1" t="s">
        <v>59</v>
      </c>
      <c r="E592" s="1" t="s">
        <v>40</v>
      </c>
      <c r="F592" s="1" t="s">
        <v>54</v>
      </c>
      <c r="G592" s="2">
        <v>339.23</v>
      </c>
      <c r="H592" s="1">
        <v>17</v>
      </c>
      <c r="I592" s="1">
        <v>198</v>
      </c>
      <c r="J592" s="1">
        <v>192</v>
      </c>
      <c r="K592" s="1">
        <v>84</v>
      </c>
      <c r="L592" s="1">
        <v>146</v>
      </c>
      <c r="M592" s="1" t="s">
        <v>31</v>
      </c>
      <c r="N592" s="1" t="s">
        <v>42</v>
      </c>
      <c r="O592" s="1" t="s">
        <v>178</v>
      </c>
      <c r="P592" s="2">
        <v>237.46</v>
      </c>
      <c r="Q592" s="1" t="str">
        <f t="shared" si="27"/>
        <v>YES</v>
      </c>
      <c r="R592" s="2">
        <f t="shared" si="28"/>
        <v>305.30700000000002</v>
      </c>
      <c r="S592" s="2">
        <f>J592*G592</f>
        <v>65132.160000000003</v>
      </c>
      <c r="T592" s="1">
        <f t="shared" ca="1" si="29"/>
        <v>90</v>
      </c>
      <c r="U592" s="1" t="s">
        <v>34</v>
      </c>
      <c r="V592" s="1" t="s">
        <v>34</v>
      </c>
      <c r="W592" s="1" t="s">
        <v>34</v>
      </c>
      <c r="X592" s="1" t="s">
        <v>2788</v>
      </c>
      <c r="Y592" s="1">
        <v>6</v>
      </c>
    </row>
    <row r="593" spans="1:25" x14ac:dyDescent="0.3">
      <c r="A593" s="1" t="s">
        <v>778</v>
      </c>
      <c r="B593" s="1" t="s">
        <v>69</v>
      </c>
      <c r="C593" s="1" t="s">
        <v>70</v>
      </c>
      <c r="D593" s="1" t="s">
        <v>59</v>
      </c>
      <c r="E593" s="1" t="s">
        <v>40</v>
      </c>
      <c r="F593" s="1" t="s">
        <v>48</v>
      </c>
      <c r="G593" s="2">
        <v>127.07</v>
      </c>
      <c r="H593" s="1">
        <v>13</v>
      </c>
      <c r="I593" s="1">
        <v>189</v>
      </c>
      <c r="J593" s="1">
        <v>162</v>
      </c>
      <c r="K593" s="1">
        <v>68</v>
      </c>
      <c r="L593" s="1">
        <v>89</v>
      </c>
      <c r="M593" s="1" t="s">
        <v>49</v>
      </c>
      <c r="N593" s="1" t="s">
        <v>60</v>
      </c>
      <c r="O593" s="1" t="s">
        <v>209</v>
      </c>
      <c r="P593" s="2">
        <v>88.95</v>
      </c>
      <c r="Q593" s="1" t="str">
        <f t="shared" si="27"/>
        <v>YES</v>
      </c>
      <c r="R593" s="2">
        <f t="shared" si="28"/>
        <v>114.363</v>
      </c>
      <c r="S593" s="2">
        <f>J593*G593</f>
        <v>20585.34</v>
      </c>
      <c r="T593" s="1">
        <f t="shared" ca="1" si="29"/>
        <v>127</v>
      </c>
      <c r="U593" s="1" t="s">
        <v>34</v>
      </c>
      <c r="V593" s="1" t="s">
        <v>34</v>
      </c>
      <c r="W593" s="1" t="s">
        <v>34</v>
      </c>
      <c r="X593" s="1" t="s">
        <v>2726</v>
      </c>
      <c r="Y593" s="1">
        <v>6.5</v>
      </c>
    </row>
    <row r="594" spans="1:25" x14ac:dyDescent="0.3">
      <c r="A594" s="1" t="s">
        <v>779</v>
      </c>
      <c r="B594" s="1" t="s">
        <v>262</v>
      </c>
      <c r="C594" s="1" t="s">
        <v>263</v>
      </c>
      <c r="D594" s="1" t="s">
        <v>104</v>
      </c>
      <c r="E594" s="1" t="s">
        <v>40</v>
      </c>
      <c r="F594" s="1" t="s">
        <v>48</v>
      </c>
      <c r="G594" s="2">
        <v>411.14</v>
      </c>
      <c r="H594" s="1">
        <v>16</v>
      </c>
      <c r="I594" s="1">
        <v>112</v>
      </c>
      <c r="J594" s="1">
        <v>103</v>
      </c>
      <c r="K594" s="1">
        <v>43</v>
      </c>
      <c r="L594" s="1">
        <v>139</v>
      </c>
      <c r="M594" s="1" t="s">
        <v>31</v>
      </c>
      <c r="N594" s="1" t="s">
        <v>42</v>
      </c>
      <c r="O594" s="1" t="s">
        <v>65</v>
      </c>
      <c r="P594" s="2">
        <v>287.8</v>
      </c>
      <c r="Q594" s="1" t="str">
        <f t="shared" si="27"/>
        <v>YES</v>
      </c>
      <c r="R594" s="2">
        <f t="shared" si="28"/>
        <v>370.02600000000001</v>
      </c>
      <c r="S594" s="2">
        <f>J594*G594</f>
        <v>42347.42</v>
      </c>
      <c r="T594" s="1">
        <f t="shared" ca="1" si="29"/>
        <v>142</v>
      </c>
      <c r="U594" s="1" t="s">
        <v>34</v>
      </c>
      <c r="V594" s="1" t="s">
        <v>34</v>
      </c>
      <c r="W594" s="1" t="s">
        <v>34</v>
      </c>
      <c r="X594" s="1" t="s">
        <v>2828</v>
      </c>
      <c r="Y594" s="1">
        <v>7</v>
      </c>
    </row>
    <row r="595" spans="1:25" x14ac:dyDescent="0.3">
      <c r="A595" s="1" t="s">
        <v>780</v>
      </c>
      <c r="B595" s="1" t="s">
        <v>102</v>
      </c>
      <c r="C595" s="1" t="s">
        <v>103</v>
      </c>
      <c r="D595" s="1" t="s">
        <v>104</v>
      </c>
      <c r="E595" s="1" t="s">
        <v>74</v>
      </c>
      <c r="F595" s="1" t="s">
        <v>30</v>
      </c>
      <c r="G595" s="2">
        <v>185.68</v>
      </c>
      <c r="H595" s="1">
        <v>10</v>
      </c>
      <c r="I595" s="1">
        <v>290</v>
      </c>
      <c r="J595" s="1">
        <v>266</v>
      </c>
      <c r="K595" s="1">
        <v>110</v>
      </c>
      <c r="L595" s="1">
        <v>117</v>
      </c>
      <c r="M595" s="1" t="s">
        <v>41</v>
      </c>
      <c r="N595" s="1" t="s">
        <v>60</v>
      </c>
      <c r="O595" s="1" t="s">
        <v>390</v>
      </c>
      <c r="P595" s="2">
        <v>129.97999999999999</v>
      </c>
      <c r="Q595" s="1" t="str">
        <f t="shared" si="27"/>
        <v>YES</v>
      </c>
      <c r="R595" s="2">
        <f t="shared" si="28"/>
        <v>167.11200000000002</v>
      </c>
      <c r="S595" s="2">
        <f>J595*G595</f>
        <v>49390.880000000005</v>
      </c>
      <c r="T595" s="1">
        <f t="shared" ca="1" si="29"/>
        <v>120</v>
      </c>
      <c r="U595" s="1" t="s">
        <v>34</v>
      </c>
      <c r="V595" s="1" t="s">
        <v>34</v>
      </c>
      <c r="W595" s="1" t="s">
        <v>34</v>
      </c>
      <c r="X595" s="1" t="s">
        <v>2721</v>
      </c>
      <c r="Y595" s="1">
        <v>7.5</v>
      </c>
    </row>
    <row r="596" spans="1:25" x14ac:dyDescent="0.3">
      <c r="A596" s="1" t="s">
        <v>781</v>
      </c>
      <c r="B596" s="1" t="s">
        <v>130</v>
      </c>
      <c r="C596" s="1" t="s">
        <v>131</v>
      </c>
      <c r="D596" s="1" t="s">
        <v>132</v>
      </c>
      <c r="E596" s="1" t="s">
        <v>40</v>
      </c>
      <c r="F596" s="1" t="s">
        <v>30</v>
      </c>
      <c r="G596" s="2">
        <v>292.29000000000002</v>
      </c>
      <c r="H596" s="1">
        <v>25</v>
      </c>
      <c r="I596" s="1">
        <v>254</v>
      </c>
      <c r="J596" s="1">
        <v>240</v>
      </c>
      <c r="K596" s="1">
        <v>73</v>
      </c>
      <c r="L596" s="1">
        <v>54</v>
      </c>
      <c r="M596" s="1" t="s">
        <v>49</v>
      </c>
      <c r="N596" s="1" t="s">
        <v>32</v>
      </c>
      <c r="O596" s="1" t="s">
        <v>242</v>
      </c>
      <c r="P596" s="2">
        <v>204.6</v>
      </c>
      <c r="Q596" s="1" t="str">
        <f t="shared" si="27"/>
        <v>YES</v>
      </c>
      <c r="R596" s="2">
        <f t="shared" si="28"/>
        <v>263.06100000000004</v>
      </c>
      <c r="S596" s="2">
        <f>J596*G596</f>
        <v>70149.600000000006</v>
      </c>
      <c r="T596" s="1">
        <f t="shared" ca="1" si="29"/>
        <v>105</v>
      </c>
      <c r="U596" s="1" t="s">
        <v>34</v>
      </c>
      <c r="V596" s="1" t="s">
        <v>34</v>
      </c>
      <c r="W596" s="1" t="s">
        <v>34</v>
      </c>
      <c r="X596" s="1" t="s">
        <v>2714</v>
      </c>
      <c r="Y596" s="1">
        <v>8</v>
      </c>
    </row>
    <row r="597" spans="1:25" x14ac:dyDescent="0.3">
      <c r="A597" s="1" t="s">
        <v>782</v>
      </c>
      <c r="B597" s="1" t="s">
        <v>63</v>
      </c>
      <c r="C597" s="1" t="s">
        <v>64</v>
      </c>
      <c r="D597" s="1" t="s">
        <v>28</v>
      </c>
      <c r="E597" s="1" t="s">
        <v>29</v>
      </c>
      <c r="F597" s="1" t="s">
        <v>48</v>
      </c>
      <c r="G597" s="2">
        <v>139.21</v>
      </c>
      <c r="H597" s="1">
        <v>22</v>
      </c>
      <c r="I597" s="1">
        <v>263</v>
      </c>
      <c r="J597" s="1">
        <v>253</v>
      </c>
      <c r="K597" s="1">
        <v>105</v>
      </c>
      <c r="L597" s="1">
        <v>128</v>
      </c>
      <c r="M597" s="1" t="s">
        <v>41</v>
      </c>
      <c r="N597" s="1" t="s">
        <v>60</v>
      </c>
      <c r="O597" s="1" t="s">
        <v>224</v>
      </c>
      <c r="P597" s="2">
        <v>97.45</v>
      </c>
      <c r="Q597" s="1" t="str">
        <f t="shared" si="27"/>
        <v>YES</v>
      </c>
      <c r="R597" s="2">
        <f t="shared" si="28"/>
        <v>125.28900000000002</v>
      </c>
      <c r="S597" s="2">
        <f>J597*G597</f>
        <v>35220.130000000005</v>
      </c>
      <c r="T597" s="1">
        <f t="shared" ca="1" si="29"/>
        <v>140</v>
      </c>
      <c r="U597" s="1" t="s">
        <v>34</v>
      </c>
      <c r="V597" s="1" t="s">
        <v>34</v>
      </c>
      <c r="W597" s="1" t="s">
        <v>34</v>
      </c>
      <c r="X597" s="1" t="s">
        <v>2802</v>
      </c>
      <c r="Y597" s="1">
        <v>8.5</v>
      </c>
    </row>
    <row r="598" spans="1:25" x14ac:dyDescent="0.3">
      <c r="A598" s="1" t="s">
        <v>783</v>
      </c>
      <c r="B598" s="1" t="s">
        <v>111</v>
      </c>
      <c r="C598" s="1" t="s">
        <v>112</v>
      </c>
      <c r="D598" s="1" t="s">
        <v>97</v>
      </c>
      <c r="E598" s="1" t="s">
        <v>40</v>
      </c>
      <c r="F598" s="1" t="s">
        <v>30</v>
      </c>
      <c r="G598" s="2">
        <v>339.86</v>
      </c>
      <c r="H598" s="1">
        <v>5</v>
      </c>
      <c r="I598" s="1">
        <v>280</v>
      </c>
      <c r="J598" s="1">
        <v>269</v>
      </c>
      <c r="K598" s="1">
        <v>95</v>
      </c>
      <c r="L598" s="1">
        <v>91</v>
      </c>
      <c r="M598" s="1" t="s">
        <v>49</v>
      </c>
      <c r="N598" s="1" t="s">
        <v>60</v>
      </c>
      <c r="O598" s="1" t="s">
        <v>157</v>
      </c>
      <c r="P598" s="2">
        <v>237.9</v>
      </c>
      <c r="Q598" s="1" t="str">
        <f t="shared" si="27"/>
        <v>YES</v>
      </c>
      <c r="R598" s="2">
        <f t="shared" si="28"/>
        <v>305.87400000000002</v>
      </c>
      <c r="S598" s="2">
        <f>J598*G598</f>
        <v>91422.34</v>
      </c>
      <c r="T598" s="1">
        <f t="shared" ca="1" si="29"/>
        <v>103</v>
      </c>
      <c r="U598" s="1" t="s">
        <v>34</v>
      </c>
      <c r="V598" s="1" t="s">
        <v>34</v>
      </c>
      <c r="W598" s="1" t="s">
        <v>34</v>
      </c>
      <c r="X598" s="1" t="s">
        <v>2627</v>
      </c>
      <c r="Y598" s="1">
        <v>9</v>
      </c>
    </row>
    <row r="599" spans="1:25" x14ac:dyDescent="0.3">
      <c r="A599" s="1" t="s">
        <v>784</v>
      </c>
      <c r="B599" s="1" t="s">
        <v>126</v>
      </c>
      <c r="C599" s="1" t="s">
        <v>127</v>
      </c>
      <c r="D599" s="1" t="s">
        <v>85</v>
      </c>
      <c r="E599" s="1" t="s">
        <v>29</v>
      </c>
      <c r="F599" s="1" t="s">
        <v>48</v>
      </c>
      <c r="G599" s="2">
        <v>462.53</v>
      </c>
      <c r="H599" s="1">
        <v>3</v>
      </c>
      <c r="I599" s="1">
        <v>242</v>
      </c>
      <c r="J599" s="1">
        <v>204</v>
      </c>
      <c r="K599" s="1">
        <v>74</v>
      </c>
      <c r="L599" s="1">
        <v>73</v>
      </c>
      <c r="M599" s="1" t="s">
        <v>31</v>
      </c>
      <c r="N599" s="1" t="s">
        <v>60</v>
      </c>
      <c r="O599" s="1" t="s">
        <v>264</v>
      </c>
      <c r="P599" s="2">
        <v>323.77</v>
      </c>
      <c r="Q599" s="1" t="str">
        <f t="shared" si="27"/>
        <v>YES</v>
      </c>
      <c r="R599" s="2">
        <f t="shared" si="28"/>
        <v>416.27699999999999</v>
      </c>
      <c r="S599" s="2">
        <f>J599*G599</f>
        <v>94356.12</v>
      </c>
      <c r="T599" s="1">
        <f t="shared" ca="1" si="29"/>
        <v>84</v>
      </c>
      <c r="U599" s="1" t="s">
        <v>34</v>
      </c>
      <c r="V599" s="1" t="s">
        <v>34</v>
      </c>
      <c r="W599" s="1" t="s">
        <v>34</v>
      </c>
      <c r="X599" s="1" t="s">
        <v>2741</v>
      </c>
      <c r="Y599" s="1">
        <v>9.5</v>
      </c>
    </row>
    <row r="600" spans="1:25" x14ac:dyDescent="0.3">
      <c r="A600" s="1" t="s">
        <v>785</v>
      </c>
      <c r="B600" s="1" t="s">
        <v>166</v>
      </c>
      <c r="C600" s="1" t="s">
        <v>167</v>
      </c>
      <c r="D600" s="1" t="s">
        <v>59</v>
      </c>
      <c r="E600" s="1" t="s">
        <v>74</v>
      </c>
      <c r="F600" s="1" t="s">
        <v>48</v>
      </c>
      <c r="G600" s="2">
        <v>107.5</v>
      </c>
      <c r="H600" s="1">
        <v>19</v>
      </c>
      <c r="I600" s="1">
        <v>282</v>
      </c>
      <c r="J600" s="1">
        <v>282</v>
      </c>
      <c r="K600" s="1">
        <v>115</v>
      </c>
      <c r="L600" s="1">
        <v>50</v>
      </c>
      <c r="M600" s="1" t="s">
        <v>49</v>
      </c>
      <c r="N600" s="1" t="s">
        <v>60</v>
      </c>
      <c r="O600" s="1" t="s">
        <v>185</v>
      </c>
      <c r="P600" s="2">
        <v>75.25</v>
      </c>
      <c r="Q600" s="1" t="str">
        <f t="shared" si="27"/>
        <v>YES</v>
      </c>
      <c r="R600" s="2">
        <f t="shared" si="28"/>
        <v>96.75</v>
      </c>
      <c r="S600" s="2">
        <f>J600*G600</f>
        <v>30315</v>
      </c>
      <c r="T600" s="1">
        <f t="shared" ca="1" si="29"/>
        <v>104</v>
      </c>
      <c r="U600" s="1" t="s">
        <v>34</v>
      </c>
      <c r="V600" s="1" t="s">
        <v>34</v>
      </c>
      <c r="W600" s="1" t="s">
        <v>34</v>
      </c>
      <c r="X600" s="1" t="s">
        <v>2595</v>
      </c>
      <c r="Y600" s="1">
        <v>5</v>
      </c>
    </row>
    <row r="601" spans="1:25" x14ac:dyDescent="0.3">
      <c r="A601" s="1" t="s">
        <v>786</v>
      </c>
      <c r="B601" s="1" t="s">
        <v>143</v>
      </c>
      <c r="C601" s="1" t="s">
        <v>144</v>
      </c>
      <c r="D601" s="1" t="s">
        <v>47</v>
      </c>
      <c r="E601" s="1" t="s">
        <v>74</v>
      </c>
      <c r="F601" s="1" t="s">
        <v>54</v>
      </c>
      <c r="G601" s="2">
        <v>76.400000000000006</v>
      </c>
      <c r="H601" s="1">
        <v>8</v>
      </c>
      <c r="I601" s="1">
        <v>109</v>
      </c>
      <c r="J601" s="1">
        <v>80</v>
      </c>
      <c r="K601" s="1">
        <v>104</v>
      </c>
      <c r="L601" s="1">
        <v>94</v>
      </c>
      <c r="M601" s="1" t="s">
        <v>49</v>
      </c>
      <c r="N601" s="1" t="s">
        <v>32</v>
      </c>
      <c r="O601" s="1" t="s">
        <v>55</v>
      </c>
      <c r="P601" s="2">
        <v>53.48</v>
      </c>
      <c r="Q601" s="1" t="str">
        <f t="shared" si="27"/>
        <v>NO</v>
      </c>
      <c r="R601" s="2">
        <f t="shared" si="28"/>
        <v>76.400000000000006</v>
      </c>
      <c r="S601" s="2">
        <f>J601*G601</f>
        <v>6112</v>
      </c>
      <c r="T601" s="1">
        <f t="shared" ca="1" si="29"/>
        <v>91</v>
      </c>
      <c r="U601" s="1" t="s">
        <v>34</v>
      </c>
      <c r="V601" s="1" t="s">
        <v>34</v>
      </c>
      <c r="W601" s="1" t="s">
        <v>34</v>
      </c>
      <c r="X601" s="1" t="s">
        <v>2530</v>
      </c>
      <c r="Y601" s="1">
        <v>5.5</v>
      </c>
    </row>
    <row r="602" spans="1:25" x14ac:dyDescent="0.3">
      <c r="A602" s="1" t="s">
        <v>787</v>
      </c>
      <c r="B602" s="1" t="s">
        <v>26</v>
      </c>
      <c r="C602" s="1" t="s">
        <v>27</v>
      </c>
      <c r="D602" s="1" t="s">
        <v>28</v>
      </c>
      <c r="E602" s="1" t="s">
        <v>29</v>
      </c>
      <c r="F602" s="1" t="s">
        <v>30</v>
      </c>
      <c r="G602" s="2">
        <v>349.41</v>
      </c>
      <c r="H602" s="1">
        <v>25</v>
      </c>
      <c r="I602" s="1">
        <v>81</v>
      </c>
      <c r="J602" s="1">
        <v>49</v>
      </c>
      <c r="K602" s="1">
        <v>101</v>
      </c>
      <c r="L602" s="1">
        <v>86</v>
      </c>
      <c r="M602" s="1" t="s">
        <v>41</v>
      </c>
      <c r="N602" s="1" t="s">
        <v>60</v>
      </c>
      <c r="O602" s="1" t="s">
        <v>187</v>
      </c>
      <c r="P602" s="2">
        <v>244.59</v>
      </c>
      <c r="Q602" s="1" t="str">
        <f t="shared" si="27"/>
        <v>NO</v>
      </c>
      <c r="R602" s="2">
        <f t="shared" si="28"/>
        <v>349.41</v>
      </c>
      <c r="S602" s="2">
        <f>J602*G602</f>
        <v>17121.09</v>
      </c>
      <c r="T602" s="1">
        <f t="shared" ca="1" si="29"/>
        <v>148</v>
      </c>
      <c r="U602" s="1" t="s">
        <v>34</v>
      </c>
      <c r="V602" s="1" t="s">
        <v>34</v>
      </c>
      <c r="W602" s="1" t="s">
        <v>34</v>
      </c>
      <c r="X602" s="1" t="s">
        <v>2698</v>
      </c>
      <c r="Y602" s="1">
        <v>6</v>
      </c>
    </row>
    <row r="603" spans="1:25" x14ac:dyDescent="0.3">
      <c r="A603" s="1" t="s">
        <v>788</v>
      </c>
      <c r="B603" s="1" t="s">
        <v>26</v>
      </c>
      <c r="C603" s="1" t="s">
        <v>27</v>
      </c>
      <c r="D603" s="1" t="s">
        <v>28</v>
      </c>
      <c r="E603" s="1" t="s">
        <v>29</v>
      </c>
      <c r="F603" s="1" t="s">
        <v>30</v>
      </c>
      <c r="G603" s="2">
        <v>340.4</v>
      </c>
      <c r="H603" s="1">
        <v>10</v>
      </c>
      <c r="I603" s="1">
        <v>130</v>
      </c>
      <c r="J603" s="1">
        <v>108</v>
      </c>
      <c r="K603" s="1">
        <v>51</v>
      </c>
      <c r="L603" s="1">
        <v>146</v>
      </c>
      <c r="M603" s="1" t="s">
        <v>41</v>
      </c>
      <c r="N603" s="1" t="s">
        <v>60</v>
      </c>
      <c r="O603" s="1" t="s">
        <v>75</v>
      </c>
      <c r="P603" s="2">
        <v>238.28</v>
      </c>
      <c r="Q603" s="1" t="str">
        <f t="shared" si="27"/>
        <v>YES</v>
      </c>
      <c r="R603" s="2">
        <f t="shared" si="28"/>
        <v>306.36</v>
      </c>
      <c r="S603" s="2">
        <f>J603*G603</f>
        <v>36763.199999999997</v>
      </c>
      <c r="T603" s="1">
        <f t="shared" ca="1" si="29"/>
        <v>123</v>
      </c>
      <c r="U603" s="1" t="s">
        <v>34</v>
      </c>
      <c r="V603" s="1" t="s">
        <v>34</v>
      </c>
      <c r="W603" s="1" t="s">
        <v>34</v>
      </c>
      <c r="X603" s="1" t="s">
        <v>2568</v>
      </c>
      <c r="Y603" s="1">
        <v>6.5</v>
      </c>
    </row>
    <row r="604" spans="1:25" x14ac:dyDescent="0.3">
      <c r="A604" s="1" t="s">
        <v>789</v>
      </c>
      <c r="B604" s="1" t="s">
        <v>262</v>
      </c>
      <c r="C604" s="1" t="s">
        <v>263</v>
      </c>
      <c r="D604" s="1" t="s">
        <v>104</v>
      </c>
      <c r="E604" s="1" t="s">
        <v>74</v>
      </c>
      <c r="F604" s="1" t="s">
        <v>30</v>
      </c>
      <c r="G604" s="2">
        <v>197.54</v>
      </c>
      <c r="H604" s="1">
        <v>25</v>
      </c>
      <c r="I604" s="1">
        <v>158</v>
      </c>
      <c r="J604" s="1">
        <v>122</v>
      </c>
      <c r="K604" s="1">
        <v>65</v>
      </c>
      <c r="L604" s="1">
        <v>102</v>
      </c>
      <c r="M604" s="1" t="s">
        <v>41</v>
      </c>
      <c r="N604" s="1" t="s">
        <v>42</v>
      </c>
      <c r="O604" s="1" t="s">
        <v>257</v>
      </c>
      <c r="P604" s="2">
        <v>138.28</v>
      </c>
      <c r="Q604" s="1" t="str">
        <f t="shared" si="27"/>
        <v>YES</v>
      </c>
      <c r="R604" s="2">
        <f t="shared" si="28"/>
        <v>177.786</v>
      </c>
      <c r="S604" s="2">
        <f>J604*G604</f>
        <v>24099.879999999997</v>
      </c>
      <c r="T604" s="1">
        <f t="shared" ca="1" si="29"/>
        <v>113</v>
      </c>
      <c r="U604" s="1" t="s">
        <v>34</v>
      </c>
      <c r="V604" s="1" t="s">
        <v>34</v>
      </c>
      <c r="W604" s="1" t="s">
        <v>34</v>
      </c>
      <c r="X604" s="1" t="s">
        <v>2800</v>
      </c>
      <c r="Y604" s="1">
        <v>7</v>
      </c>
    </row>
    <row r="605" spans="1:25" x14ac:dyDescent="0.3">
      <c r="A605" s="1" t="s">
        <v>790</v>
      </c>
      <c r="B605" s="1" t="s">
        <v>63</v>
      </c>
      <c r="C605" s="1" t="s">
        <v>64</v>
      </c>
      <c r="D605" s="1" t="s">
        <v>28</v>
      </c>
      <c r="E605" s="1" t="s">
        <v>40</v>
      </c>
      <c r="F605" s="1" t="s">
        <v>30</v>
      </c>
      <c r="G605" s="2">
        <v>146.43</v>
      </c>
      <c r="H605" s="1">
        <v>13</v>
      </c>
      <c r="I605" s="1">
        <v>98</v>
      </c>
      <c r="J605" s="1">
        <v>80</v>
      </c>
      <c r="K605" s="1">
        <v>51</v>
      </c>
      <c r="L605" s="1">
        <v>143</v>
      </c>
      <c r="M605" s="1" t="s">
        <v>41</v>
      </c>
      <c r="N605" s="1" t="s">
        <v>60</v>
      </c>
      <c r="O605" s="1" t="s">
        <v>86</v>
      </c>
      <c r="P605" s="2">
        <v>102.5</v>
      </c>
      <c r="Q605" s="1" t="str">
        <f t="shared" si="27"/>
        <v>YES</v>
      </c>
      <c r="R605" s="2">
        <f t="shared" si="28"/>
        <v>131.78700000000001</v>
      </c>
      <c r="S605" s="2">
        <f>J605*G605</f>
        <v>11714.400000000001</v>
      </c>
      <c r="T605" s="1">
        <f t="shared" ca="1" si="29"/>
        <v>121</v>
      </c>
      <c r="U605" s="1" t="s">
        <v>34</v>
      </c>
      <c r="V605" s="1" t="s">
        <v>34</v>
      </c>
      <c r="W605" s="1" t="s">
        <v>34</v>
      </c>
      <c r="X605" s="1" t="s">
        <v>2613</v>
      </c>
      <c r="Y605" s="1">
        <v>7.5</v>
      </c>
    </row>
    <row r="606" spans="1:25" x14ac:dyDescent="0.3">
      <c r="A606" s="1" t="s">
        <v>791</v>
      </c>
      <c r="B606" s="1" t="s">
        <v>69</v>
      </c>
      <c r="C606" s="1" t="s">
        <v>70</v>
      </c>
      <c r="D606" s="1" t="s">
        <v>59</v>
      </c>
      <c r="E606" s="1" t="s">
        <v>74</v>
      </c>
      <c r="F606" s="1" t="s">
        <v>54</v>
      </c>
      <c r="G606" s="2">
        <v>211.37</v>
      </c>
      <c r="H606" s="1">
        <v>2</v>
      </c>
      <c r="I606" s="1">
        <v>124</v>
      </c>
      <c r="J606" s="1">
        <v>109</v>
      </c>
      <c r="K606" s="1">
        <v>109</v>
      </c>
      <c r="L606" s="1">
        <v>60</v>
      </c>
      <c r="M606" s="1" t="s">
        <v>31</v>
      </c>
      <c r="N606" s="1" t="s">
        <v>42</v>
      </c>
      <c r="O606" s="1" t="s">
        <v>55</v>
      </c>
      <c r="P606" s="2">
        <v>147.96</v>
      </c>
      <c r="Q606" s="1" t="str">
        <f t="shared" si="27"/>
        <v>NO</v>
      </c>
      <c r="R606" s="2">
        <f t="shared" si="28"/>
        <v>211.37</v>
      </c>
      <c r="S606" s="2">
        <f>J606*G606</f>
        <v>23039.33</v>
      </c>
      <c r="T606" s="1">
        <f t="shared" ca="1" si="29"/>
        <v>91</v>
      </c>
      <c r="U606" s="1" t="s">
        <v>34</v>
      </c>
      <c r="V606" s="1" t="s">
        <v>34</v>
      </c>
      <c r="W606" s="1" t="s">
        <v>34</v>
      </c>
      <c r="X606" s="1" t="s">
        <v>2710</v>
      </c>
      <c r="Y606" s="1">
        <v>8</v>
      </c>
    </row>
    <row r="607" spans="1:25" x14ac:dyDescent="0.3">
      <c r="A607" s="1" t="s">
        <v>792</v>
      </c>
      <c r="B607" s="1" t="s">
        <v>26</v>
      </c>
      <c r="C607" s="1" t="s">
        <v>27</v>
      </c>
      <c r="D607" s="1" t="s">
        <v>28</v>
      </c>
      <c r="E607" s="1" t="s">
        <v>74</v>
      </c>
      <c r="F607" s="1" t="s">
        <v>30</v>
      </c>
      <c r="G607" s="2">
        <v>178.28</v>
      </c>
      <c r="H607" s="1">
        <v>0</v>
      </c>
      <c r="I607" s="1">
        <v>186</v>
      </c>
      <c r="J607" s="1">
        <v>158</v>
      </c>
      <c r="K607" s="1">
        <v>80</v>
      </c>
      <c r="L607" s="1">
        <v>59</v>
      </c>
      <c r="M607" s="1" t="s">
        <v>31</v>
      </c>
      <c r="N607" s="1" t="s">
        <v>60</v>
      </c>
      <c r="O607" s="1" t="s">
        <v>333</v>
      </c>
      <c r="P607" s="2">
        <v>124.8</v>
      </c>
      <c r="Q607" s="1" t="str">
        <f t="shared" si="27"/>
        <v>YES</v>
      </c>
      <c r="R607" s="2">
        <f t="shared" si="28"/>
        <v>160.452</v>
      </c>
      <c r="S607" s="2">
        <f>J607*G607</f>
        <v>28168.240000000002</v>
      </c>
      <c r="T607" s="1">
        <f t="shared" ca="1" si="29"/>
        <v>109</v>
      </c>
      <c r="U607" s="1" t="s">
        <v>34</v>
      </c>
      <c r="V607" s="1" t="s">
        <v>34</v>
      </c>
      <c r="W607" s="1" t="s">
        <v>34</v>
      </c>
      <c r="X607" s="1" t="s">
        <v>2829</v>
      </c>
      <c r="Y607" s="1">
        <v>8.5</v>
      </c>
    </row>
    <row r="608" spans="1:25" x14ac:dyDescent="0.3">
      <c r="A608" s="1" t="s">
        <v>793</v>
      </c>
      <c r="B608" s="1" t="s">
        <v>63</v>
      </c>
      <c r="C608" s="1" t="s">
        <v>64</v>
      </c>
      <c r="D608" s="1" t="s">
        <v>28</v>
      </c>
      <c r="E608" s="1" t="s">
        <v>74</v>
      </c>
      <c r="F608" s="1" t="s">
        <v>30</v>
      </c>
      <c r="G608" s="2">
        <v>482.14</v>
      </c>
      <c r="H608" s="1">
        <v>16</v>
      </c>
      <c r="I608" s="1">
        <v>99</v>
      </c>
      <c r="J608" s="1">
        <v>66</v>
      </c>
      <c r="K608" s="1">
        <v>83</v>
      </c>
      <c r="L608" s="1">
        <v>142</v>
      </c>
      <c r="M608" s="1" t="s">
        <v>49</v>
      </c>
      <c r="N608" s="1" t="s">
        <v>32</v>
      </c>
      <c r="O608" s="1" t="s">
        <v>287</v>
      </c>
      <c r="P608" s="2">
        <v>337.5</v>
      </c>
      <c r="Q608" s="1" t="str">
        <f t="shared" si="27"/>
        <v>NO</v>
      </c>
      <c r="R608" s="2">
        <f t="shared" si="28"/>
        <v>482.14</v>
      </c>
      <c r="S608" s="2">
        <f>J608*G608</f>
        <v>31821.239999999998</v>
      </c>
      <c r="T608" s="1">
        <f t="shared" ca="1" si="29"/>
        <v>143</v>
      </c>
      <c r="U608" s="1" t="s">
        <v>34</v>
      </c>
      <c r="V608" s="1" t="s">
        <v>34</v>
      </c>
      <c r="W608" s="1" t="s">
        <v>34</v>
      </c>
      <c r="X608" s="1" t="s">
        <v>2782</v>
      </c>
      <c r="Y608" s="1">
        <v>9</v>
      </c>
    </row>
    <row r="609" spans="1:25" x14ac:dyDescent="0.3">
      <c r="A609" s="1" t="s">
        <v>794</v>
      </c>
      <c r="B609" s="1" t="s">
        <v>126</v>
      </c>
      <c r="C609" s="1" t="s">
        <v>127</v>
      </c>
      <c r="D609" s="1" t="s">
        <v>85</v>
      </c>
      <c r="E609" s="1" t="s">
        <v>40</v>
      </c>
      <c r="F609" s="1" t="s">
        <v>48</v>
      </c>
      <c r="G609" s="2">
        <v>68.819999999999993</v>
      </c>
      <c r="H609" s="1">
        <v>14</v>
      </c>
      <c r="I609" s="1">
        <v>298</v>
      </c>
      <c r="J609" s="1">
        <v>275</v>
      </c>
      <c r="K609" s="1">
        <v>40</v>
      </c>
      <c r="L609" s="1">
        <v>67</v>
      </c>
      <c r="M609" s="1" t="s">
        <v>41</v>
      </c>
      <c r="N609" s="1" t="s">
        <v>60</v>
      </c>
      <c r="O609" s="1" t="s">
        <v>390</v>
      </c>
      <c r="P609" s="2">
        <v>48.17</v>
      </c>
      <c r="Q609" s="1" t="str">
        <f t="shared" si="27"/>
        <v>YES</v>
      </c>
      <c r="R609" s="2">
        <f t="shared" si="28"/>
        <v>61.937999999999995</v>
      </c>
      <c r="S609" s="2">
        <f>J609*G609</f>
        <v>18925.499999999996</v>
      </c>
      <c r="T609" s="1">
        <f t="shared" ca="1" si="29"/>
        <v>120</v>
      </c>
      <c r="U609" s="1" t="s">
        <v>34</v>
      </c>
      <c r="V609" s="1" t="s">
        <v>34</v>
      </c>
      <c r="W609" s="1" t="s">
        <v>34</v>
      </c>
      <c r="X609" s="1" t="s">
        <v>2559</v>
      </c>
      <c r="Y609" s="1">
        <v>9.5</v>
      </c>
    </row>
    <row r="610" spans="1:25" x14ac:dyDescent="0.3">
      <c r="A610" s="1" t="s">
        <v>795</v>
      </c>
      <c r="B610" s="1" t="s">
        <v>189</v>
      </c>
      <c r="C610" s="1" t="s">
        <v>190</v>
      </c>
      <c r="D610" s="1" t="s">
        <v>59</v>
      </c>
      <c r="E610" s="1" t="s">
        <v>74</v>
      </c>
      <c r="F610" s="1" t="s">
        <v>54</v>
      </c>
      <c r="G610" s="2">
        <v>441.29</v>
      </c>
      <c r="H610" s="1">
        <v>10</v>
      </c>
      <c r="I610" s="1">
        <v>276</v>
      </c>
      <c r="J610" s="1">
        <v>276</v>
      </c>
      <c r="K610" s="1">
        <v>99</v>
      </c>
      <c r="L610" s="1">
        <v>104</v>
      </c>
      <c r="M610" s="1" t="s">
        <v>49</v>
      </c>
      <c r="N610" s="1" t="s">
        <v>42</v>
      </c>
      <c r="O610" s="1" t="s">
        <v>133</v>
      </c>
      <c r="P610" s="2">
        <v>308.89999999999998</v>
      </c>
      <c r="Q610" s="1" t="str">
        <f t="shared" si="27"/>
        <v>YES</v>
      </c>
      <c r="R610" s="2">
        <f t="shared" si="28"/>
        <v>397.161</v>
      </c>
      <c r="S610" s="2">
        <f>J610*G610</f>
        <v>121796.04000000001</v>
      </c>
      <c r="T610" s="1">
        <f t="shared" ca="1" si="29"/>
        <v>76</v>
      </c>
      <c r="U610" s="1" t="s">
        <v>34</v>
      </c>
      <c r="V610" s="1" t="s">
        <v>34</v>
      </c>
      <c r="W610" s="1" t="s">
        <v>34</v>
      </c>
      <c r="X610" s="1" t="s">
        <v>2627</v>
      </c>
      <c r="Y610" s="1">
        <v>5</v>
      </c>
    </row>
    <row r="611" spans="1:25" x14ac:dyDescent="0.3">
      <c r="A611" s="1" t="s">
        <v>796</v>
      </c>
      <c r="B611" s="1" t="s">
        <v>299</v>
      </c>
      <c r="C611" s="1" t="s">
        <v>300</v>
      </c>
      <c r="D611" s="1" t="s">
        <v>39</v>
      </c>
      <c r="E611" s="1" t="s">
        <v>74</v>
      </c>
      <c r="F611" s="1" t="s">
        <v>30</v>
      </c>
      <c r="G611" s="2">
        <v>50.82</v>
      </c>
      <c r="H611" s="1">
        <v>18</v>
      </c>
      <c r="I611" s="1">
        <v>283</v>
      </c>
      <c r="J611" s="1">
        <v>257</v>
      </c>
      <c r="K611" s="1">
        <v>76</v>
      </c>
      <c r="L611" s="1">
        <v>93</v>
      </c>
      <c r="M611" s="1" t="s">
        <v>41</v>
      </c>
      <c r="N611" s="1" t="s">
        <v>32</v>
      </c>
      <c r="O611" s="1" t="s">
        <v>35</v>
      </c>
      <c r="P611" s="2">
        <v>35.57</v>
      </c>
      <c r="Q611" s="1" t="str">
        <f t="shared" si="27"/>
        <v>YES</v>
      </c>
      <c r="R611" s="2">
        <f t="shared" si="28"/>
        <v>45.738</v>
      </c>
      <c r="S611" s="2">
        <f>J611*G611</f>
        <v>13060.74</v>
      </c>
      <c r="T611" s="1">
        <f t="shared" ca="1" si="29"/>
        <v>85</v>
      </c>
      <c r="U611" s="1" t="s">
        <v>34</v>
      </c>
      <c r="V611" s="1" t="s">
        <v>34</v>
      </c>
      <c r="W611" s="1" t="s">
        <v>34</v>
      </c>
      <c r="X611" s="1" t="s">
        <v>2537</v>
      </c>
      <c r="Y611" s="1">
        <v>5.5</v>
      </c>
    </row>
    <row r="612" spans="1:25" x14ac:dyDescent="0.3">
      <c r="A612" s="1" t="s">
        <v>797</v>
      </c>
      <c r="B612" s="1" t="s">
        <v>197</v>
      </c>
      <c r="C612" s="1" t="s">
        <v>198</v>
      </c>
      <c r="D612" s="1" t="s">
        <v>104</v>
      </c>
      <c r="E612" s="1" t="s">
        <v>40</v>
      </c>
      <c r="F612" s="1" t="s">
        <v>30</v>
      </c>
      <c r="G612" s="2">
        <v>173.31</v>
      </c>
      <c r="H612" s="1">
        <v>6</v>
      </c>
      <c r="I612" s="1">
        <v>242</v>
      </c>
      <c r="J612" s="1">
        <v>220</v>
      </c>
      <c r="K612" s="1">
        <v>46</v>
      </c>
      <c r="L612" s="1">
        <v>115</v>
      </c>
      <c r="M612" s="1" t="s">
        <v>31</v>
      </c>
      <c r="N612" s="1" t="s">
        <v>60</v>
      </c>
      <c r="O612" s="1" t="s">
        <v>302</v>
      </c>
      <c r="P612" s="2">
        <v>121.32</v>
      </c>
      <c r="Q612" s="1" t="str">
        <f t="shared" si="27"/>
        <v>YES</v>
      </c>
      <c r="R612" s="2">
        <f t="shared" si="28"/>
        <v>155.97900000000001</v>
      </c>
      <c r="S612" s="2">
        <f>J612*G612</f>
        <v>38128.199999999997</v>
      </c>
      <c r="T612" s="1">
        <f t="shared" ca="1" si="29"/>
        <v>133</v>
      </c>
      <c r="U612" s="1" t="s">
        <v>34</v>
      </c>
      <c r="V612" s="1" t="s">
        <v>34</v>
      </c>
      <c r="W612" s="1" t="s">
        <v>34</v>
      </c>
      <c r="X612" s="1" t="s">
        <v>2701</v>
      </c>
      <c r="Y612" s="1">
        <v>6</v>
      </c>
    </row>
    <row r="613" spans="1:25" x14ac:dyDescent="0.3">
      <c r="A613" s="1" t="s">
        <v>798</v>
      </c>
      <c r="B613" s="1" t="s">
        <v>107</v>
      </c>
      <c r="C613" s="1" t="s">
        <v>108</v>
      </c>
      <c r="D613" s="1" t="s">
        <v>39</v>
      </c>
      <c r="E613" s="1" t="s">
        <v>40</v>
      </c>
      <c r="F613" s="1" t="s">
        <v>30</v>
      </c>
      <c r="G613" s="2">
        <v>266.86</v>
      </c>
      <c r="H613" s="1">
        <v>1</v>
      </c>
      <c r="I613" s="1">
        <v>245</v>
      </c>
      <c r="J613" s="1">
        <v>227</v>
      </c>
      <c r="K613" s="1">
        <v>89</v>
      </c>
      <c r="L613" s="1">
        <v>90</v>
      </c>
      <c r="M613" s="1" t="s">
        <v>31</v>
      </c>
      <c r="N613" s="1" t="s">
        <v>42</v>
      </c>
      <c r="O613" s="1" t="s">
        <v>133</v>
      </c>
      <c r="P613" s="2">
        <v>186.8</v>
      </c>
      <c r="Q613" s="1" t="str">
        <f t="shared" si="27"/>
        <v>YES</v>
      </c>
      <c r="R613" s="2">
        <f t="shared" si="28"/>
        <v>240.17400000000001</v>
      </c>
      <c r="S613" s="2">
        <f>J613*G613</f>
        <v>60577.22</v>
      </c>
      <c r="T613" s="1">
        <f t="shared" ca="1" si="29"/>
        <v>76</v>
      </c>
      <c r="U613" s="1" t="s">
        <v>34</v>
      </c>
      <c r="V613" s="1" t="s">
        <v>34</v>
      </c>
      <c r="W613" s="1" t="s">
        <v>34</v>
      </c>
      <c r="X613" s="1" t="s">
        <v>2830</v>
      </c>
      <c r="Y613" s="1">
        <v>6.5</v>
      </c>
    </row>
    <row r="614" spans="1:25" x14ac:dyDescent="0.3">
      <c r="A614" s="1" t="s">
        <v>799</v>
      </c>
      <c r="B614" s="1" t="s">
        <v>72</v>
      </c>
      <c r="C614" s="1" t="s">
        <v>73</v>
      </c>
      <c r="D614" s="1" t="s">
        <v>47</v>
      </c>
      <c r="E614" s="1" t="s">
        <v>29</v>
      </c>
      <c r="F614" s="1" t="s">
        <v>30</v>
      </c>
      <c r="G614" s="2">
        <v>146.37</v>
      </c>
      <c r="H614" s="1">
        <v>9</v>
      </c>
      <c r="I614" s="1">
        <v>138</v>
      </c>
      <c r="J614" s="1">
        <v>137</v>
      </c>
      <c r="K614" s="1">
        <v>85</v>
      </c>
      <c r="L614" s="1">
        <v>112</v>
      </c>
      <c r="M614" s="1" t="s">
        <v>49</v>
      </c>
      <c r="N614" s="1" t="s">
        <v>60</v>
      </c>
      <c r="O614" s="1" t="s">
        <v>377</v>
      </c>
      <c r="P614" s="2">
        <v>102.46</v>
      </c>
      <c r="Q614" s="1" t="str">
        <f t="shared" si="27"/>
        <v>YES</v>
      </c>
      <c r="R614" s="2">
        <f t="shared" si="28"/>
        <v>131.733</v>
      </c>
      <c r="S614" s="2">
        <f>J614*G614</f>
        <v>20052.690000000002</v>
      </c>
      <c r="T614" s="1">
        <f t="shared" ca="1" si="29"/>
        <v>65</v>
      </c>
      <c r="U614" s="1" t="s">
        <v>34</v>
      </c>
      <c r="V614" s="1" t="s">
        <v>34</v>
      </c>
      <c r="W614" s="1" t="s">
        <v>34</v>
      </c>
      <c r="X614" s="1" t="s">
        <v>2831</v>
      </c>
      <c r="Y614" s="1">
        <v>7</v>
      </c>
    </row>
    <row r="615" spans="1:25" x14ac:dyDescent="0.3">
      <c r="A615" s="1" t="s">
        <v>800</v>
      </c>
      <c r="B615" s="1" t="s">
        <v>52</v>
      </c>
      <c r="C615" s="1" t="s">
        <v>53</v>
      </c>
      <c r="D615" s="1" t="s">
        <v>47</v>
      </c>
      <c r="E615" s="1" t="s">
        <v>74</v>
      </c>
      <c r="F615" s="1" t="s">
        <v>48</v>
      </c>
      <c r="G615" s="2">
        <v>115.62</v>
      </c>
      <c r="H615" s="1">
        <v>6</v>
      </c>
      <c r="I615" s="1">
        <v>230</v>
      </c>
      <c r="J615" s="1">
        <v>198</v>
      </c>
      <c r="K615" s="1">
        <v>73</v>
      </c>
      <c r="L615" s="1">
        <v>110</v>
      </c>
      <c r="M615" s="1" t="s">
        <v>31</v>
      </c>
      <c r="N615" s="1" t="s">
        <v>60</v>
      </c>
      <c r="O615" s="1" t="s">
        <v>128</v>
      </c>
      <c r="P615" s="2">
        <v>80.930000000000007</v>
      </c>
      <c r="Q615" s="1" t="str">
        <f t="shared" si="27"/>
        <v>YES</v>
      </c>
      <c r="R615" s="2">
        <f t="shared" si="28"/>
        <v>104.05800000000001</v>
      </c>
      <c r="S615" s="2">
        <f>J615*G615</f>
        <v>22892.760000000002</v>
      </c>
      <c r="T615" s="1">
        <f t="shared" ca="1" si="29"/>
        <v>77</v>
      </c>
      <c r="U615" s="1" t="s">
        <v>34</v>
      </c>
      <c r="V615" s="1" t="s">
        <v>34</v>
      </c>
      <c r="W615" s="1" t="s">
        <v>34</v>
      </c>
      <c r="X615" s="1" t="s">
        <v>2774</v>
      </c>
      <c r="Y615" s="1">
        <v>7.5</v>
      </c>
    </row>
    <row r="616" spans="1:25" x14ac:dyDescent="0.3">
      <c r="A616" s="1" t="s">
        <v>801</v>
      </c>
      <c r="B616" s="1" t="s">
        <v>77</v>
      </c>
      <c r="C616" s="1" t="s">
        <v>78</v>
      </c>
      <c r="D616" s="1" t="s">
        <v>47</v>
      </c>
      <c r="E616" s="1" t="s">
        <v>29</v>
      </c>
      <c r="F616" s="1" t="s">
        <v>30</v>
      </c>
      <c r="G616" s="2">
        <v>347.71</v>
      </c>
      <c r="H616" s="1">
        <v>3</v>
      </c>
      <c r="I616" s="1">
        <v>209</v>
      </c>
      <c r="J616" s="1">
        <v>195</v>
      </c>
      <c r="K616" s="1">
        <v>82</v>
      </c>
      <c r="L616" s="1">
        <v>125</v>
      </c>
      <c r="M616" s="1" t="s">
        <v>49</v>
      </c>
      <c r="N616" s="1" t="s">
        <v>60</v>
      </c>
      <c r="O616" s="1" t="s">
        <v>199</v>
      </c>
      <c r="P616" s="2">
        <v>243.4</v>
      </c>
      <c r="Q616" s="1" t="str">
        <f t="shared" si="27"/>
        <v>YES</v>
      </c>
      <c r="R616" s="2">
        <f t="shared" si="28"/>
        <v>312.93899999999996</v>
      </c>
      <c r="S616" s="2">
        <f>J616*G616</f>
        <v>67803.45</v>
      </c>
      <c r="T616" s="1">
        <f t="shared" ca="1" si="29"/>
        <v>129</v>
      </c>
      <c r="U616" s="1" t="s">
        <v>34</v>
      </c>
      <c r="V616" s="1" t="s">
        <v>34</v>
      </c>
      <c r="W616" s="1" t="s">
        <v>34</v>
      </c>
      <c r="X616" s="1" t="s">
        <v>2593</v>
      </c>
      <c r="Y616" s="1">
        <v>8</v>
      </c>
    </row>
    <row r="617" spans="1:25" x14ac:dyDescent="0.3">
      <c r="A617" s="1" t="s">
        <v>802</v>
      </c>
      <c r="B617" s="1" t="s">
        <v>189</v>
      </c>
      <c r="C617" s="1" t="s">
        <v>190</v>
      </c>
      <c r="D617" s="1" t="s">
        <v>59</v>
      </c>
      <c r="E617" s="1" t="s">
        <v>40</v>
      </c>
      <c r="F617" s="1" t="s">
        <v>30</v>
      </c>
      <c r="G617" s="2">
        <v>181.15</v>
      </c>
      <c r="H617" s="1">
        <v>25</v>
      </c>
      <c r="I617" s="1">
        <v>199</v>
      </c>
      <c r="J617" s="1">
        <v>182</v>
      </c>
      <c r="K617" s="1">
        <v>40</v>
      </c>
      <c r="L617" s="1">
        <v>94</v>
      </c>
      <c r="M617" s="1" t="s">
        <v>49</v>
      </c>
      <c r="N617" s="1" t="s">
        <v>60</v>
      </c>
      <c r="O617" s="1" t="s">
        <v>240</v>
      </c>
      <c r="P617" s="2">
        <v>126.8</v>
      </c>
      <c r="Q617" s="1" t="str">
        <f t="shared" si="27"/>
        <v>YES</v>
      </c>
      <c r="R617" s="2">
        <f t="shared" si="28"/>
        <v>163.035</v>
      </c>
      <c r="S617" s="2">
        <f>J617*G617</f>
        <v>32969.300000000003</v>
      </c>
      <c r="T617" s="1">
        <f t="shared" ca="1" si="29"/>
        <v>111</v>
      </c>
      <c r="U617" s="1" t="s">
        <v>34</v>
      </c>
      <c r="V617" s="1" t="s">
        <v>34</v>
      </c>
      <c r="W617" s="1" t="s">
        <v>34</v>
      </c>
      <c r="X617" s="1" t="s">
        <v>2646</v>
      </c>
      <c r="Y617" s="1">
        <v>8.5</v>
      </c>
    </row>
    <row r="618" spans="1:25" x14ac:dyDescent="0.3">
      <c r="A618" s="1" t="s">
        <v>803</v>
      </c>
      <c r="B618" s="1" t="s">
        <v>118</v>
      </c>
      <c r="C618" s="1" t="s">
        <v>119</v>
      </c>
      <c r="D618" s="1" t="s">
        <v>97</v>
      </c>
      <c r="E618" s="1" t="s">
        <v>29</v>
      </c>
      <c r="F618" s="1" t="s">
        <v>48</v>
      </c>
      <c r="G618" s="2">
        <v>114.03</v>
      </c>
      <c r="H618" s="1">
        <v>9</v>
      </c>
      <c r="I618" s="1">
        <v>238</v>
      </c>
      <c r="J618" s="1">
        <v>202</v>
      </c>
      <c r="K618" s="1">
        <v>47</v>
      </c>
      <c r="L618" s="1">
        <v>83</v>
      </c>
      <c r="M618" s="1" t="s">
        <v>49</v>
      </c>
      <c r="N618" s="1" t="s">
        <v>32</v>
      </c>
      <c r="O618" s="1" t="s">
        <v>361</v>
      </c>
      <c r="P618" s="2">
        <v>79.819999999999993</v>
      </c>
      <c r="Q618" s="1" t="str">
        <f t="shared" si="27"/>
        <v>YES</v>
      </c>
      <c r="R618" s="2">
        <f t="shared" si="28"/>
        <v>102.62700000000001</v>
      </c>
      <c r="S618" s="2">
        <f>J618*G618</f>
        <v>23034.06</v>
      </c>
      <c r="T618" s="1">
        <f t="shared" ca="1" si="29"/>
        <v>99</v>
      </c>
      <c r="U618" s="1" t="s">
        <v>34</v>
      </c>
      <c r="V618" s="1" t="s">
        <v>34</v>
      </c>
      <c r="W618" s="1" t="s">
        <v>34</v>
      </c>
      <c r="X618" s="1" t="s">
        <v>2804</v>
      </c>
      <c r="Y618" s="1">
        <v>9</v>
      </c>
    </row>
    <row r="619" spans="1:25" x14ac:dyDescent="0.3">
      <c r="A619" s="1" t="s">
        <v>804</v>
      </c>
      <c r="B619" s="1" t="s">
        <v>83</v>
      </c>
      <c r="C619" s="1" t="s">
        <v>84</v>
      </c>
      <c r="D619" s="1" t="s">
        <v>85</v>
      </c>
      <c r="E619" s="1" t="s">
        <v>74</v>
      </c>
      <c r="F619" s="1" t="s">
        <v>54</v>
      </c>
      <c r="G619" s="2">
        <v>94.1</v>
      </c>
      <c r="H619" s="1">
        <v>14</v>
      </c>
      <c r="I619" s="1">
        <v>211</v>
      </c>
      <c r="J619" s="1">
        <v>188</v>
      </c>
      <c r="K619" s="1">
        <v>54</v>
      </c>
      <c r="L619" s="1">
        <v>137</v>
      </c>
      <c r="M619" s="1" t="s">
        <v>49</v>
      </c>
      <c r="N619" s="1" t="s">
        <v>60</v>
      </c>
      <c r="O619" s="1" t="s">
        <v>209</v>
      </c>
      <c r="P619" s="2">
        <v>65.87</v>
      </c>
      <c r="Q619" s="1" t="str">
        <f t="shared" si="27"/>
        <v>YES</v>
      </c>
      <c r="R619" s="2">
        <f t="shared" si="28"/>
        <v>84.69</v>
      </c>
      <c r="S619" s="2">
        <f>J619*G619</f>
        <v>17690.8</v>
      </c>
      <c r="T619" s="1">
        <f t="shared" ca="1" si="29"/>
        <v>127</v>
      </c>
      <c r="U619" s="1" t="s">
        <v>34</v>
      </c>
      <c r="V619" s="1" t="s">
        <v>34</v>
      </c>
      <c r="W619" s="1" t="s">
        <v>34</v>
      </c>
      <c r="X619" s="1" t="s">
        <v>2832</v>
      </c>
      <c r="Y619" s="1">
        <v>9.5</v>
      </c>
    </row>
    <row r="620" spans="1:25" x14ac:dyDescent="0.3">
      <c r="A620" s="1" t="s">
        <v>805</v>
      </c>
      <c r="B620" s="1" t="s">
        <v>176</v>
      </c>
      <c r="C620" s="1" t="s">
        <v>177</v>
      </c>
      <c r="D620" s="1" t="s">
        <v>39</v>
      </c>
      <c r="E620" s="1" t="s">
        <v>74</v>
      </c>
      <c r="F620" s="1" t="s">
        <v>30</v>
      </c>
      <c r="G620" s="2">
        <v>145.51</v>
      </c>
      <c r="H620" s="1">
        <v>13</v>
      </c>
      <c r="I620" s="1">
        <v>228</v>
      </c>
      <c r="J620" s="1">
        <v>218</v>
      </c>
      <c r="K620" s="1">
        <v>69</v>
      </c>
      <c r="L620" s="1">
        <v>99</v>
      </c>
      <c r="M620" s="1" t="s">
        <v>41</v>
      </c>
      <c r="N620" s="1" t="s">
        <v>42</v>
      </c>
      <c r="O620" s="1" t="s">
        <v>224</v>
      </c>
      <c r="P620" s="2">
        <v>101.86</v>
      </c>
      <c r="Q620" s="1" t="str">
        <f t="shared" si="27"/>
        <v>YES</v>
      </c>
      <c r="R620" s="2">
        <f t="shared" si="28"/>
        <v>130.959</v>
      </c>
      <c r="S620" s="2">
        <f>J620*G620</f>
        <v>31721.179999999997</v>
      </c>
      <c r="T620" s="1">
        <f t="shared" ca="1" si="29"/>
        <v>140</v>
      </c>
      <c r="U620" s="1" t="s">
        <v>34</v>
      </c>
      <c r="V620" s="1" t="s">
        <v>34</v>
      </c>
      <c r="W620" s="1" t="s">
        <v>34</v>
      </c>
      <c r="X620" s="1" t="s">
        <v>2688</v>
      </c>
      <c r="Y620" s="1">
        <v>5</v>
      </c>
    </row>
    <row r="621" spans="1:25" x14ac:dyDescent="0.3">
      <c r="A621" s="1" t="s">
        <v>806</v>
      </c>
      <c r="B621" s="1" t="s">
        <v>26</v>
      </c>
      <c r="C621" s="1" t="s">
        <v>27</v>
      </c>
      <c r="D621" s="1" t="s">
        <v>28</v>
      </c>
      <c r="E621" s="1" t="s">
        <v>29</v>
      </c>
      <c r="F621" s="1" t="s">
        <v>48</v>
      </c>
      <c r="G621" s="2">
        <v>156.75</v>
      </c>
      <c r="H621" s="1">
        <v>7</v>
      </c>
      <c r="I621" s="1">
        <v>222</v>
      </c>
      <c r="J621" s="1">
        <v>191</v>
      </c>
      <c r="K621" s="1">
        <v>69</v>
      </c>
      <c r="L621" s="1">
        <v>126</v>
      </c>
      <c r="M621" s="1" t="s">
        <v>49</v>
      </c>
      <c r="N621" s="1" t="s">
        <v>60</v>
      </c>
      <c r="O621" s="1" t="s">
        <v>401</v>
      </c>
      <c r="P621" s="2">
        <v>109.72</v>
      </c>
      <c r="Q621" s="1" t="str">
        <f t="shared" si="27"/>
        <v>YES</v>
      </c>
      <c r="R621" s="2">
        <f t="shared" si="28"/>
        <v>141.07500000000002</v>
      </c>
      <c r="S621" s="2">
        <f>J621*G621</f>
        <v>29939.25</v>
      </c>
      <c r="T621" s="1">
        <f t="shared" ca="1" si="29"/>
        <v>110</v>
      </c>
      <c r="U621" s="1" t="s">
        <v>34</v>
      </c>
      <c r="V621" s="1" t="s">
        <v>34</v>
      </c>
      <c r="W621" s="1" t="s">
        <v>34</v>
      </c>
      <c r="X621" s="1" t="s">
        <v>2833</v>
      </c>
      <c r="Y621" s="1">
        <v>5.5</v>
      </c>
    </row>
    <row r="622" spans="1:25" x14ac:dyDescent="0.3">
      <c r="A622" s="1" t="s">
        <v>807</v>
      </c>
      <c r="B622" s="1" t="s">
        <v>126</v>
      </c>
      <c r="C622" s="1" t="s">
        <v>127</v>
      </c>
      <c r="D622" s="1" t="s">
        <v>85</v>
      </c>
      <c r="E622" s="1" t="s">
        <v>40</v>
      </c>
      <c r="F622" s="1" t="s">
        <v>30</v>
      </c>
      <c r="G622" s="2">
        <v>434.49</v>
      </c>
      <c r="H622" s="1">
        <v>6</v>
      </c>
      <c r="I622" s="1">
        <v>249</v>
      </c>
      <c r="J622" s="1">
        <v>230</v>
      </c>
      <c r="K622" s="1">
        <v>40</v>
      </c>
      <c r="L622" s="1">
        <v>146</v>
      </c>
      <c r="M622" s="1" t="s">
        <v>41</v>
      </c>
      <c r="N622" s="1" t="s">
        <v>60</v>
      </c>
      <c r="O622" s="1" t="s">
        <v>217</v>
      </c>
      <c r="P622" s="2">
        <v>304.14</v>
      </c>
      <c r="Q622" s="1" t="str">
        <f t="shared" si="27"/>
        <v>YES</v>
      </c>
      <c r="R622" s="2">
        <f t="shared" si="28"/>
        <v>391.041</v>
      </c>
      <c r="S622" s="2">
        <f>J622*G622</f>
        <v>99932.7</v>
      </c>
      <c r="T622" s="1">
        <f t="shared" ca="1" si="29"/>
        <v>100</v>
      </c>
      <c r="U622" s="1" t="s">
        <v>34</v>
      </c>
      <c r="V622" s="1" t="s">
        <v>34</v>
      </c>
      <c r="W622" s="1" t="s">
        <v>34</v>
      </c>
      <c r="X622" s="1" t="s">
        <v>2804</v>
      </c>
      <c r="Y622" s="1">
        <v>6</v>
      </c>
    </row>
    <row r="623" spans="1:25" x14ac:dyDescent="0.3">
      <c r="A623" s="1" t="s">
        <v>808</v>
      </c>
      <c r="B623" s="1" t="s">
        <v>77</v>
      </c>
      <c r="C623" s="1" t="s">
        <v>78</v>
      </c>
      <c r="D623" s="1" t="s">
        <v>47</v>
      </c>
      <c r="E623" s="1" t="s">
        <v>74</v>
      </c>
      <c r="F623" s="1" t="s">
        <v>48</v>
      </c>
      <c r="G623" s="2">
        <v>347.03</v>
      </c>
      <c r="H623" s="1">
        <v>25</v>
      </c>
      <c r="I623" s="1">
        <v>177</v>
      </c>
      <c r="J623" s="1">
        <v>143</v>
      </c>
      <c r="K623" s="1">
        <v>112</v>
      </c>
      <c r="L623" s="1">
        <v>108</v>
      </c>
      <c r="M623" s="1" t="s">
        <v>41</v>
      </c>
      <c r="N623" s="1" t="s">
        <v>32</v>
      </c>
      <c r="O623" s="1" t="s">
        <v>75</v>
      </c>
      <c r="P623" s="2">
        <v>242.92</v>
      </c>
      <c r="Q623" s="1" t="str">
        <f t="shared" si="27"/>
        <v>YES</v>
      </c>
      <c r="R623" s="2">
        <f t="shared" si="28"/>
        <v>312.327</v>
      </c>
      <c r="S623" s="2">
        <f>J623*G623</f>
        <v>49625.289999999994</v>
      </c>
      <c r="T623" s="1">
        <f t="shared" ca="1" si="29"/>
        <v>123</v>
      </c>
      <c r="U623" s="1" t="s">
        <v>34</v>
      </c>
      <c r="V623" s="1" t="s">
        <v>34</v>
      </c>
      <c r="W623" s="1" t="s">
        <v>34</v>
      </c>
      <c r="X623" s="1" t="s">
        <v>2591</v>
      </c>
      <c r="Y623" s="1">
        <v>6.5</v>
      </c>
    </row>
    <row r="624" spans="1:25" x14ac:dyDescent="0.3">
      <c r="A624" s="1" t="s">
        <v>809</v>
      </c>
      <c r="B624" s="1" t="s">
        <v>102</v>
      </c>
      <c r="C624" s="1" t="s">
        <v>103</v>
      </c>
      <c r="D624" s="1" t="s">
        <v>104</v>
      </c>
      <c r="E624" s="1" t="s">
        <v>40</v>
      </c>
      <c r="F624" s="1" t="s">
        <v>54</v>
      </c>
      <c r="G624" s="2">
        <v>52.62</v>
      </c>
      <c r="H624" s="1">
        <v>23</v>
      </c>
      <c r="I624" s="1">
        <v>147</v>
      </c>
      <c r="J624" s="1">
        <v>122</v>
      </c>
      <c r="K624" s="1">
        <v>42</v>
      </c>
      <c r="L624" s="1">
        <v>54</v>
      </c>
      <c r="M624" s="1" t="s">
        <v>41</v>
      </c>
      <c r="N624" s="1" t="s">
        <v>32</v>
      </c>
      <c r="O624" s="1" t="s">
        <v>217</v>
      </c>
      <c r="P624" s="2">
        <v>36.83</v>
      </c>
      <c r="Q624" s="1" t="str">
        <f t="shared" si="27"/>
        <v>YES</v>
      </c>
      <c r="R624" s="2">
        <f t="shared" si="28"/>
        <v>47.357999999999997</v>
      </c>
      <c r="S624" s="2">
        <f>J624*G624</f>
        <v>6419.6399999999994</v>
      </c>
      <c r="T624" s="1">
        <f t="shared" ca="1" si="29"/>
        <v>100</v>
      </c>
      <c r="U624" s="1" t="s">
        <v>34</v>
      </c>
      <c r="V624" s="1" t="s">
        <v>34</v>
      </c>
      <c r="W624" s="1" t="s">
        <v>34</v>
      </c>
      <c r="X624" s="1" t="s">
        <v>2564</v>
      </c>
      <c r="Y624" s="1">
        <v>7</v>
      </c>
    </row>
    <row r="625" spans="1:25" x14ac:dyDescent="0.3">
      <c r="A625" s="1" t="s">
        <v>810</v>
      </c>
      <c r="B625" s="1" t="s">
        <v>189</v>
      </c>
      <c r="C625" s="1" t="s">
        <v>190</v>
      </c>
      <c r="D625" s="1" t="s">
        <v>59</v>
      </c>
      <c r="E625" s="1" t="s">
        <v>74</v>
      </c>
      <c r="F625" s="1" t="s">
        <v>48</v>
      </c>
      <c r="G625" s="2">
        <v>473.55</v>
      </c>
      <c r="H625" s="1">
        <v>4</v>
      </c>
      <c r="I625" s="1">
        <v>122</v>
      </c>
      <c r="J625" s="1">
        <v>90</v>
      </c>
      <c r="K625" s="1">
        <v>83</v>
      </c>
      <c r="L625" s="1">
        <v>101</v>
      </c>
      <c r="M625" s="1" t="s">
        <v>31</v>
      </c>
      <c r="N625" s="1" t="s">
        <v>32</v>
      </c>
      <c r="O625" s="1" t="s">
        <v>128</v>
      </c>
      <c r="P625" s="2">
        <v>331.49</v>
      </c>
      <c r="Q625" s="1" t="str">
        <f t="shared" si="27"/>
        <v>YES</v>
      </c>
      <c r="R625" s="2">
        <f t="shared" si="28"/>
        <v>426.19499999999999</v>
      </c>
      <c r="S625" s="2">
        <f>J625*G625</f>
        <v>42619.5</v>
      </c>
      <c r="T625" s="1">
        <f t="shared" ca="1" si="29"/>
        <v>77</v>
      </c>
      <c r="U625" s="1" t="s">
        <v>34</v>
      </c>
      <c r="V625" s="1" t="s">
        <v>34</v>
      </c>
      <c r="W625" s="1" t="s">
        <v>34</v>
      </c>
      <c r="X625" s="1" t="s">
        <v>2815</v>
      </c>
      <c r="Y625" s="1">
        <v>7.5</v>
      </c>
    </row>
    <row r="626" spans="1:25" x14ac:dyDescent="0.3">
      <c r="A626" s="1" t="s">
        <v>811</v>
      </c>
      <c r="B626" s="1" t="s">
        <v>69</v>
      </c>
      <c r="C626" s="1" t="s">
        <v>70</v>
      </c>
      <c r="D626" s="1" t="s">
        <v>59</v>
      </c>
      <c r="E626" s="1" t="s">
        <v>29</v>
      </c>
      <c r="F626" s="1" t="s">
        <v>30</v>
      </c>
      <c r="G626" s="2">
        <v>483.62</v>
      </c>
      <c r="H626" s="1">
        <v>22</v>
      </c>
      <c r="I626" s="1">
        <v>180</v>
      </c>
      <c r="J626" s="1">
        <v>180</v>
      </c>
      <c r="K626" s="1">
        <v>118</v>
      </c>
      <c r="L626" s="1">
        <v>61</v>
      </c>
      <c r="M626" s="1" t="s">
        <v>49</v>
      </c>
      <c r="N626" s="1" t="s">
        <v>42</v>
      </c>
      <c r="O626" s="1" t="s">
        <v>170</v>
      </c>
      <c r="P626" s="2">
        <v>338.53</v>
      </c>
      <c r="Q626" s="1" t="str">
        <f t="shared" si="27"/>
        <v>YES</v>
      </c>
      <c r="R626" s="2">
        <f t="shared" si="28"/>
        <v>435.25800000000004</v>
      </c>
      <c r="S626" s="2">
        <f>J626*G626</f>
        <v>87051.6</v>
      </c>
      <c r="T626" s="1">
        <f t="shared" ca="1" si="29"/>
        <v>95</v>
      </c>
      <c r="U626" s="1" t="s">
        <v>34</v>
      </c>
      <c r="V626" s="1" t="s">
        <v>34</v>
      </c>
      <c r="W626" s="1" t="s">
        <v>34</v>
      </c>
      <c r="X626" s="1" t="s">
        <v>2583</v>
      </c>
      <c r="Y626" s="1">
        <v>8</v>
      </c>
    </row>
    <row r="627" spans="1:25" x14ac:dyDescent="0.3">
      <c r="A627" s="1" t="s">
        <v>812</v>
      </c>
      <c r="B627" s="1" t="s">
        <v>130</v>
      </c>
      <c r="C627" s="1" t="s">
        <v>131</v>
      </c>
      <c r="D627" s="1" t="s">
        <v>132</v>
      </c>
      <c r="E627" s="1" t="s">
        <v>74</v>
      </c>
      <c r="F627" s="1" t="s">
        <v>54</v>
      </c>
      <c r="G627" s="2">
        <v>69.849999999999994</v>
      </c>
      <c r="H627" s="1">
        <v>8</v>
      </c>
      <c r="I627" s="1">
        <v>296</v>
      </c>
      <c r="J627" s="1">
        <v>270</v>
      </c>
      <c r="K627" s="1">
        <v>58</v>
      </c>
      <c r="L627" s="1">
        <v>134</v>
      </c>
      <c r="M627" s="1" t="s">
        <v>31</v>
      </c>
      <c r="N627" s="1" t="s">
        <v>32</v>
      </c>
      <c r="O627" s="1" t="s">
        <v>170</v>
      </c>
      <c r="P627" s="2">
        <v>48.89</v>
      </c>
      <c r="Q627" s="1" t="str">
        <f t="shared" si="27"/>
        <v>YES</v>
      </c>
      <c r="R627" s="2">
        <f t="shared" si="28"/>
        <v>62.864999999999995</v>
      </c>
      <c r="S627" s="2">
        <f>J627*G627</f>
        <v>18859.5</v>
      </c>
      <c r="T627" s="1">
        <f t="shared" ca="1" si="29"/>
        <v>95</v>
      </c>
      <c r="U627" s="1" t="s">
        <v>34</v>
      </c>
      <c r="V627" s="1" t="s">
        <v>34</v>
      </c>
      <c r="W627" s="1" t="s">
        <v>34</v>
      </c>
      <c r="X627" s="1" t="s">
        <v>2834</v>
      </c>
      <c r="Y627" s="1">
        <v>8.5</v>
      </c>
    </row>
    <row r="628" spans="1:25" x14ac:dyDescent="0.3">
      <c r="A628" s="1" t="s">
        <v>813</v>
      </c>
      <c r="B628" s="1" t="s">
        <v>52</v>
      </c>
      <c r="C628" s="1" t="s">
        <v>53</v>
      </c>
      <c r="D628" s="1" t="s">
        <v>47</v>
      </c>
      <c r="E628" s="1" t="s">
        <v>29</v>
      </c>
      <c r="F628" s="1" t="s">
        <v>54</v>
      </c>
      <c r="G628" s="2">
        <v>147.25</v>
      </c>
      <c r="H628" s="1">
        <v>7</v>
      </c>
      <c r="I628" s="1">
        <v>103</v>
      </c>
      <c r="J628" s="1">
        <v>66</v>
      </c>
      <c r="K628" s="1">
        <v>44</v>
      </c>
      <c r="L628" s="1">
        <v>97</v>
      </c>
      <c r="M628" s="1" t="s">
        <v>49</v>
      </c>
      <c r="N628" s="1" t="s">
        <v>32</v>
      </c>
      <c r="O628" s="1" t="s">
        <v>384</v>
      </c>
      <c r="P628" s="2">
        <v>103.07</v>
      </c>
      <c r="Q628" s="1" t="str">
        <f t="shared" si="27"/>
        <v>YES</v>
      </c>
      <c r="R628" s="2">
        <f t="shared" si="28"/>
        <v>132.52500000000001</v>
      </c>
      <c r="S628" s="2">
        <f>J628*G628</f>
        <v>9718.5</v>
      </c>
      <c r="T628" s="1">
        <f t="shared" ca="1" si="29"/>
        <v>147</v>
      </c>
      <c r="U628" s="1" t="s">
        <v>34</v>
      </c>
      <c r="V628" s="1" t="s">
        <v>34</v>
      </c>
      <c r="W628" s="1" t="s">
        <v>34</v>
      </c>
      <c r="X628" s="1" t="s">
        <v>2576</v>
      </c>
      <c r="Y628" s="1">
        <v>9</v>
      </c>
    </row>
    <row r="629" spans="1:25" x14ac:dyDescent="0.3">
      <c r="A629" s="1" t="s">
        <v>814</v>
      </c>
      <c r="B629" s="1" t="s">
        <v>52</v>
      </c>
      <c r="C629" s="1" t="s">
        <v>53</v>
      </c>
      <c r="D629" s="1" t="s">
        <v>47</v>
      </c>
      <c r="E629" s="1" t="s">
        <v>74</v>
      </c>
      <c r="F629" s="1" t="s">
        <v>30</v>
      </c>
      <c r="G629" s="2">
        <v>113.53</v>
      </c>
      <c r="H629" s="1">
        <v>18</v>
      </c>
      <c r="I629" s="1">
        <v>228</v>
      </c>
      <c r="J629" s="1">
        <v>197</v>
      </c>
      <c r="K629" s="1">
        <v>66</v>
      </c>
      <c r="L629" s="1">
        <v>114</v>
      </c>
      <c r="M629" s="1" t="s">
        <v>49</v>
      </c>
      <c r="N629" s="1" t="s">
        <v>60</v>
      </c>
      <c r="O629" s="1" t="s">
        <v>105</v>
      </c>
      <c r="P629" s="2">
        <v>79.47</v>
      </c>
      <c r="Q629" s="1" t="str">
        <f t="shared" si="27"/>
        <v>YES</v>
      </c>
      <c r="R629" s="2">
        <f t="shared" si="28"/>
        <v>102.17700000000001</v>
      </c>
      <c r="S629" s="2">
        <f>J629*G629</f>
        <v>22365.41</v>
      </c>
      <c r="T629" s="1">
        <f t="shared" ca="1" si="29"/>
        <v>144</v>
      </c>
      <c r="U629" s="1" t="s">
        <v>34</v>
      </c>
      <c r="V629" s="1" t="s">
        <v>34</v>
      </c>
      <c r="W629" s="1" t="s">
        <v>34</v>
      </c>
      <c r="X629" s="1" t="s">
        <v>2835</v>
      </c>
      <c r="Y629" s="1">
        <v>9.5</v>
      </c>
    </row>
    <row r="630" spans="1:25" x14ac:dyDescent="0.3">
      <c r="A630" s="1" t="s">
        <v>815</v>
      </c>
      <c r="B630" s="1" t="s">
        <v>57</v>
      </c>
      <c r="C630" s="1" t="s">
        <v>58</v>
      </c>
      <c r="D630" s="1" t="s">
        <v>59</v>
      </c>
      <c r="E630" s="1" t="s">
        <v>40</v>
      </c>
      <c r="F630" s="1" t="s">
        <v>54</v>
      </c>
      <c r="G630" s="2">
        <v>140.1</v>
      </c>
      <c r="H630" s="1">
        <v>13</v>
      </c>
      <c r="I630" s="1">
        <v>91</v>
      </c>
      <c r="J630" s="1">
        <v>83</v>
      </c>
      <c r="K630" s="1">
        <v>68</v>
      </c>
      <c r="L630" s="1">
        <v>128</v>
      </c>
      <c r="M630" s="1" t="s">
        <v>49</v>
      </c>
      <c r="N630" s="1" t="s">
        <v>42</v>
      </c>
      <c r="O630" s="1" t="s">
        <v>65</v>
      </c>
      <c r="P630" s="2">
        <v>98.07</v>
      </c>
      <c r="Q630" s="1" t="str">
        <f t="shared" si="27"/>
        <v>YES</v>
      </c>
      <c r="R630" s="2">
        <f t="shared" si="28"/>
        <v>126.09</v>
      </c>
      <c r="S630" s="2">
        <f>J630*G630</f>
        <v>11628.3</v>
      </c>
      <c r="T630" s="1">
        <f t="shared" ca="1" si="29"/>
        <v>142</v>
      </c>
      <c r="U630" s="1" t="s">
        <v>34</v>
      </c>
      <c r="V630" s="1" t="s">
        <v>34</v>
      </c>
      <c r="W630" s="1" t="s">
        <v>34</v>
      </c>
      <c r="X630" s="1" t="s">
        <v>2670</v>
      </c>
      <c r="Y630" s="1">
        <v>5</v>
      </c>
    </row>
    <row r="631" spans="1:25" x14ac:dyDescent="0.3">
      <c r="A631" s="1" t="s">
        <v>816</v>
      </c>
      <c r="B631" s="1" t="s">
        <v>26</v>
      </c>
      <c r="C631" s="1" t="s">
        <v>27</v>
      </c>
      <c r="D631" s="1" t="s">
        <v>28</v>
      </c>
      <c r="E631" s="1" t="s">
        <v>40</v>
      </c>
      <c r="F631" s="1" t="s">
        <v>48</v>
      </c>
      <c r="G631" s="2">
        <v>141.21</v>
      </c>
      <c r="H631" s="1">
        <v>20</v>
      </c>
      <c r="I631" s="1">
        <v>186</v>
      </c>
      <c r="J631" s="1">
        <v>173</v>
      </c>
      <c r="K631" s="1">
        <v>114</v>
      </c>
      <c r="L631" s="1">
        <v>145</v>
      </c>
      <c r="M631" s="1" t="s">
        <v>49</v>
      </c>
      <c r="N631" s="1" t="s">
        <v>42</v>
      </c>
      <c r="O631" s="1" t="s">
        <v>65</v>
      </c>
      <c r="P631" s="2">
        <v>98.85</v>
      </c>
      <c r="Q631" s="1" t="str">
        <f t="shared" si="27"/>
        <v>YES</v>
      </c>
      <c r="R631" s="2">
        <f t="shared" si="28"/>
        <v>127.08900000000001</v>
      </c>
      <c r="S631" s="2">
        <f>J631*G631</f>
        <v>24429.33</v>
      </c>
      <c r="T631" s="1">
        <f t="shared" ca="1" si="29"/>
        <v>142</v>
      </c>
      <c r="U631" s="1" t="s">
        <v>34</v>
      </c>
      <c r="V631" s="1" t="s">
        <v>34</v>
      </c>
      <c r="W631" s="1" t="s">
        <v>34</v>
      </c>
      <c r="X631" s="1" t="s">
        <v>2836</v>
      </c>
      <c r="Y631" s="1">
        <v>5.5</v>
      </c>
    </row>
    <row r="632" spans="1:25" x14ac:dyDescent="0.3">
      <c r="A632" s="1" t="s">
        <v>817</v>
      </c>
      <c r="B632" s="1" t="s">
        <v>77</v>
      </c>
      <c r="C632" s="1" t="s">
        <v>78</v>
      </c>
      <c r="D632" s="1" t="s">
        <v>47</v>
      </c>
      <c r="E632" s="1" t="s">
        <v>74</v>
      </c>
      <c r="F632" s="1" t="s">
        <v>48</v>
      </c>
      <c r="G632" s="2">
        <v>333.68</v>
      </c>
      <c r="H632" s="1">
        <v>18</v>
      </c>
      <c r="I632" s="1">
        <v>125</v>
      </c>
      <c r="J632" s="1">
        <v>112</v>
      </c>
      <c r="K632" s="1">
        <v>57</v>
      </c>
      <c r="L632" s="1">
        <v>145</v>
      </c>
      <c r="M632" s="1" t="s">
        <v>49</v>
      </c>
      <c r="N632" s="1" t="s">
        <v>60</v>
      </c>
      <c r="O632" s="1" t="s">
        <v>133</v>
      </c>
      <c r="P632" s="2">
        <v>233.58</v>
      </c>
      <c r="Q632" s="1" t="str">
        <f t="shared" si="27"/>
        <v>YES</v>
      </c>
      <c r="R632" s="2">
        <f t="shared" si="28"/>
        <v>300.31200000000001</v>
      </c>
      <c r="S632" s="2">
        <f>J632*G632</f>
        <v>37372.160000000003</v>
      </c>
      <c r="T632" s="1">
        <f t="shared" ca="1" si="29"/>
        <v>76</v>
      </c>
      <c r="U632" s="1" t="s">
        <v>34</v>
      </c>
      <c r="V632" s="1" t="s">
        <v>34</v>
      </c>
      <c r="W632" s="1" t="s">
        <v>34</v>
      </c>
      <c r="X632" s="1" t="s">
        <v>2790</v>
      </c>
      <c r="Y632" s="1">
        <v>6</v>
      </c>
    </row>
    <row r="633" spans="1:25" x14ac:dyDescent="0.3">
      <c r="A633" s="1" t="s">
        <v>818</v>
      </c>
      <c r="B633" s="1" t="s">
        <v>72</v>
      </c>
      <c r="C633" s="1" t="s">
        <v>73</v>
      </c>
      <c r="D633" s="1" t="s">
        <v>47</v>
      </c>
      <c r="E633" s="1" t="s">
        <v>40</v>
      </c>
      <c r="F633" s="1" t="s">
        <v>48</v>
      </c>
      <c r="G633" s="2">
        <v>389.6</v>
      </c>
      <c r="H633" s="1">
        <v>16</v>
      </c>
      <c r="I633" s="1">
        <v>222</v>
      </c>
      <c r="J633" s="1">
        <v>183</v>
      </c>
      <c r="K633" s="1">
        <v>81</v>
      </c>
      <c r="L633" s="1">
        <v>101</v>
      </c>
      <c r="M633" s="1" t="s">
        <v>31</v>
      </c>
      <c r="N633" s="1" t="s">
        <v>32</v>
      </c>
      <c r="O633" s="1" t="s">
        <v>333</v>
      </c>
      <c r="P633" s="2">
        <v>272.72000000000003</v>
      </c>
      <c r="Q633" s="1" t="str">
        <f t="shared" si="27"/>
        <v>YES</v>
      </c>
      <c r="R633" s="2">
        <f t="shared" si="28"/>
        <v>350.64000000000004</v>
      </c>
      <c r="S633" s="2">
        <f>J633*G633</f>
        <v>71296.800000000003</v>
      </c>
      <c r="T633" s="1">
        <f t="shared" ca="1" si="29"/>
        <v>109</v>
      </c>
      <c r="U633" s="1" t="s">
        <v>34</v>
      </c>
      <c r="V633" s="1" t="s">
        <v>34</v>
      </c>
      <c r="W633" s="1" t="s">
        <v>34</v>
      </c>
      <c r="X633" s="1" t="s">
        <v>2531</v>
      </c>
      <c r="Y633" s="1">
        <v>6.5</v>
      </c>
    </row>
    <row r="634" spans="1:25" x14ac:dyDescent="0.3">
      <c r="A634" s="1" t="s">
        <v>819</v>
      </c>
      <c r="B634" s="1" t="s">
        <v>262</v>
      </c>
      <c r="C634" s="1" t="s">
        <v>263</v>
      </c>
      <c r="D634" s="1" t="s">
        <v>104</v>
      </c>
      <c r="E634" s="1" t="s">
        <v>74</v>
      </c>
      <c r="F634" s="1" t="s">
        <v>48</v>
      </c>
      <c r="G634" s="2">
        <v>101.2</v>
      </c>
      <c r="H634" s="1">
        <v>3</v>
      </c>
      <c r="I634" s="1">
        <v>121</v>
      </c>
      <c r="J634" s="1">
        <v>96</v>
      </c>
      <c r="K634" s="1">
        <v>83</v>
      </c>
      <c r="L634" s="1">
        <v>125</v>
      </c>
      <c r="M634" s="1" t="s">
        <v>41</v>
      </c>
      <c r="N634" s="1" t="s">
        <v>60</v>
      </c>
      <c r="O634" s="1" t="s">
        <v>145</v>
      </c>
      <c r="P634" s="2">
        <v>70.84</v>
      </c>
      <c r="Q634" s="1" t="str">
        <f t="shared" si="27"/>
        <v>YES</v>
      </c>
      <c r="R634" s="2">
        <f t="shared" si="28"/>
        <v>91.08</v>
      </c>
      <c r="S634" s="2">
        <f>J634*G634</f>
        <v>9715.2000000000007</v>
      </c>
      <c r="T634" s="1">
        <f t="shared" ca="1" si="29"/>
        <v>68</v>
      </c>
      <c r="U634" s="1" t="s">
        <v>34</v>
      </c>
      <c r="V634" s="1" t="s">
        <v>34</v>
      </c>
      <c r="W634" s="1" t="s">
        <v>34</v>
      </c>
      <c r="X634" s="1" t="s">
        <v>2634</v>
      </c>
      <c r="Y634" s="1">
        <v>7</v>
      </c>
    </row>
    <row r="635" spans="1:25" x14ac:dyDescent="0.3">
      <c r="A635" s="1" t="s">
        <v>820</v>
      </c>
      <c r="B635" s="1" t="s">
        <v>197</v>
      </c>
      <c r="C635" s="1" t="s">
        <v>198</v>
      </c>
      <c r="D635" s="1" t="s">
        <v>104</v>
      </c>
      <c r="E635" s="1" t="s">
        <v>40</v>
      </c>
      <c r="F635" s="1" t="s">
        <v>30</v>
      </c>
      <c r="G635" s="2">
        <v>364.19</v>
      </c>
      <c r="H635" s="1">
        <v>2</v>
      </c>
      <c r="I635" s="1">
        <v>234</v>
      </c>
      <c r="J635" s="1">
        <v>198</v>
      </c>
      <c r="K635" s="1">
        <v>106</v>
      </c>
      <c r="L635" s="1">
        <v>125</v>
      </c>
      <c r="M635" s="1" t="s">
        <v>31</v>
      </c>
      <c r="N635" s="1" t="s">
        <v>60</v>
      </c>
      <c r="O635" s="1" t="s">
        <v>43</v>
      </c>
      <c r="P635" s="2">
        <v>254.93</v>
      </c>
      <c r="Q635" s="1" t="str">
        <f t="shared" si="27"/>
        <v>YES</v>
      </c>
      <c r="R635" s="2">
        <f t="shared" si="28"/>
        <v>327.77100000000002</v>
      </c>
      <c r="S635" s="2">
        <f>J635*G635</f>
        <v>72109.62</v>
      </c>
      <c r="T635" s="1">
        <f t="shared" ca="1" si="29"/>
        <v>117</v>
      </c>
      <c r="U635" s="1" t="s">
        <v>34</v>
      </c>
      <c r="V635" s="1" t="s">
        <v>34</v>
      </c>
      <c r="W635" s="1" t="s">
        <v>34</v>
      </c>
      <c r="X635" s="1" t="s">
        <v>2837</v>
      </c>
      <c r="Y635" s="1">
        <v>7.5</v>
      </c>
    </row>
    <row r="636" spans="1:25" x14ac:dyDescent="0.3">
      <c r="A636" s="1" t="s">
        <v>821</v>
      </c>
      <c r="B636" s="1" t="s">
        <v>197</v>
      </c>
      <c r="C636" s="1" t="s">
        <v>198</v>
      </c>
      <c r="D636" s="1" t="s">
        <v>104</v>
      </c>
      <c r="E636" s="1" t="s">
        <v>74</v>
      </c>
      <c r="F636" s="1" t="s">
        <v>30</v>
      </c>
      <c r="G636" s="2">
        <v>294.77999999999997</v>
      </c>
      <c r="H636" s="1">
        <v>15</v>
      </c>
      <c r="I636" s="1">
        <v>159</v>
      </c>
      <c r="J636" s="1">
        <v>143</v>
      </c>
      <c r="K636" s="1">
        <v>69</v>
      </c>
      <c r="L636" s="1">
        <v>90</v>
      </c>
      <c r="M636" s="1" t="s">
        <v>31</v>
      </c>
      <c r="N636" s="1" t="s">
        <v>32</v>
      </c>
      <c r="O636" s="1" t="s">
        <v>81</v>
      </c>
      <c r="P636" s="2">
        <v>206.35</v>
      </c>
      <c r="Q636" s="1" t="str">
        <f t="shared" si="27"/>
        <v>YES</v>
      </c>
      <c r="R636" s="2">
        <f t="shared" si="28"/>
        <v>265.30199999999996</v>
      </c>
      <c r="S636" s="2">
        <f>J636*G636</f>
        <v>42153.539999999994</v>
      </c>
      <c r="T636" s="1">
        <f t="shared" ca="1" si="29"/>
        <v>81</v>
      </c>
      <c r="U636" s="1" t="s">
        <v>34</v>
      </c>
      <c r="V636" s="1" t="s">
        <v>34</v>
      </c>
      <c r="W636" s="1" t="s">
        <v>34</v>
      </c>
      <c r="X636" s="1" t="s">
        <v>2745</v>
      </c>
      <c r="Y636" s="1">
        <v>8</v>
      </c>
    </row>
    <row r="637" spans="1:25" x14ac:dyDescent="0.3">
      <c r="A637" s="1" t="s">
        <v>822</v>
      </c>
      <c r="B637" s="1" t="s">
        <v>26</v>
      </c>
      <c r="C637" s="1" t="s">
        <v>27</v>
      </c>
      <c r="D637" s="1" t="s">
        <v>28</v>
      </c>
      <c r="E637" s="1" t="s">
        <v>74</v>
      </c>
      <c r="F637" s="1" t="s">
        <v>30</v>
      </c>
      <c r="G637" s="2">
        <v>149.94999999999999</v>
      </c>
      <c r="H637" s="1">
        <v>20</v>
      </c>
      <c r="I637" s="1">
        <v>292</v>
      </c>
      <c r="J637" s="1">
        <v>291</v>
      </c>
      <c r="K637" s="1">
        <v>119</v>
      </c>
      <c r="L637" s="1">
        <v>142</v>
      </c>
      <c r="M637" s="1" t="s">
        <v>31</v>
      </c>
      <c r="N637" s="1" t="s">
        <v>60</v>
      </c>
      <c r="O637" s="1" t="s">
        <v>280</v>
      </c>
      <c r="P637" s="2">
        <v>104.96</v>
      </c>
      <c r="Q637" s="1" t="str">
        <f t="shared" si="27"/>
        <v>YES</v>
      </c>
      <c r="R637" s="2">
        <f t="shared" si="28"/>
        <v>134.95499999999998</v>
      </c>
      <c r="S637" s="2">
        <f>J637*G637</f>
        <v>43635.45</v>
      </c>
      <c r="T637" s="1">
        <f t="shared" ca="1" si="29"/>
        <v>108</v>
      </c>
      <c r="U637" s="1" t="s">
        <v>34</v>
      </c>
      <c r="V637" s="1" t="s">
        <v>34</v>
      </c>
      <c r="W637" s="1" t="s">
        <v>34</v>
      </c>
      <c r="X637" s="1" t="s">
        <v>2838</v>
      </c>
      <c r="Y637" s="1">
        <v>8.5</v>
      </c>
    </row>
    <row r="638" spans="1:25" x14ac:dyDescent="0.3">
      <c r="A638" s="1" t="s">
        <v>823</v>
      </c>
      <c r="B638" s="1" t="s">
        <v>192</v>
      </c>
      <c r="C638" s="1" t="s">
        <v>193</v>
      </c>
      <c r="D638" s="1" t="s">
        <v>85</v>
      </c>
      <c r="E638" s="1" t="s">
        <v>74</v>
      </c>
      <c r="F638" s="1" t="s">
        <v>54</v>
      </c>
      <c r="G638" s="2">
        <v>67.16</v>
      </c>
      <c r="H638" s="1">
        <v>4</v>
      </c>
      <c r="I638" s="1">
        <v>111</v>
      </c>
      <c r="J638" s="1">
        <v>97</v>
      </c>
      <c r="K638" s="1">
        <v>104</v>
      </c>
      <c r="L638" s="1">
        <v>124</v>
      </c>
      <c r="M638" s="1" t="s">
        <v>41</v>
      </c>
      <c r="N638" s="1" t="s">
        <v>32</v>
      </c>
      <c r="O638" s="1" t="s">
        <v>174</v>
      </c>
      <c r="P638" s="2">
        <v>47.01</v>
      </c>
      <c r="Q638" s="1" t="str">
        <f t="shared" si="27"/>
        <v>NO</v>
      </c>
      <c r="R638" s="2">
        <f t="shared" si="28"/>
        <v>67.16</v>
      </c>
      <c r="S638" s="2">
        <f>J638*G638</f>
        <v>6514.5199999999995</v>
      </c>
      <c r="T638" s="1">
        <f t="shared" ca="1" si="29"/>
        <v>88</v>
      </c>
      <c r="U638" s="1" t="s">
        <v>34</v>
      </c>
      <c r="V638" s="1" t="s">
        <v>34</v>
      </c>
      <c r="W638" s="1" t="s">
        <v>34</v>
      </c>
      <c r="X638" s="1" t="s">
        <v>2839</v>
      </c>
      <c r="Y638" s="1">
        <v>9</v>
      </c>
    </row>
    <row r="639" spans="1:25" x14ac:dyDescent="0.3">
      <c r="A639" s="1" t="s">
        <v>824</v>
      </c>
      <c r="B639" s="1" t="s">
        <v>118</v>
      </c>
      <c r="C639" s="1" t="s">
        <v>119</v>
      </c>
      <c r="D639" s="1" t="s">
        <v>97</v>
      </c>
      <c r="E639" s="1" t="s">
        <v>74</v>
      </c>
      <c r="F639" s="1" t="s">
        <v>54</v>
      </c>
      <c r="G639" s="2">
        <v>245.83</v>
      </c>
      <c r="H639" s="1">
        <v>2</v>
      </c>
      <c r="I639" s="1">
        <v>130</v>
      </c>
      <c r="J639" s="1">
        <v>108</v>
      </c>
      <c r="K639" s="1">
        <v>54</v>
      </c>
      <c r="L639" s="1">
        <v>58</v>
      </c>
      <c r="M639" s="1" t="s">
        <v>49</v>
      </c>
      <c r="N639" s="1" t="s">
        <v>32</v>
      </c>
      <c r="O639" s="1" t="s">
        <v>55</v>
      </c>
      <c r="P639" s="2">
        <v>172.08</v>
      </c>
      <c r="Q639" s="1" t="str">
        <f t="shared" si="27"/>
        <v>YES</v>
      </c>
      <c r="R639" s="2">
        <f t="shared" si="28"/>
        <v>221.24700000000001</v>
      </c>
      <c r="S639" s="2">
        <f>J639*G639</f>
        <v>26549.640000000003</v>
      </c>
      <c r="T639" s="1">
        <f t="shared" ca="1" si="29"/>
        <v>91</v>
      </c>
      <c r="U639" s="1" t="s">
        <v>34</v>
      </c>
      <c r="V639" s="1" t="s">
        <v>34</v>
      </c>
      <c r="W639" s="1" t="s">
        <v>34</v>
      </c>
      <c r="X639" s="1" t="s">
        <v>2583</v>
      </c>
      <c r="Y639" s="1">
        <v>9.5</v>
      </c>
    </row>
    <row r="640" spans="1:25" x14ac:dyDescent="0.3">
      <c r="A640" s="1" t="s">
        <v>825</v>
      </c>
      <c r="B640" s="1" t="s">
        <v>197</v>
      </c>
      <c r="C640" s="1" t="s">
        <v>198</v>
      </c>
      <c r="D640" s="1" t="s">
        <v>104</v>
      </c>
      <c r="E640" s="1" t="s">
        <v>29</v>
      </c>
      <c r="F640" s="1" t="s">
        <v>54</v>
      </c>
      <c r="G640" s="2">
        <v>388.85</v>
      </c>
      <c r="H640" s="1">
        <v>19</v>
      </c>
      <c r="I640" s="1">
        <v>99</v>
      </c>
      <c r="J640" s="1">
        <v>93</v>
      </c>
      <c r="K640" s="1">
        <v>56</v>
      </c>
      <c r="L640" s="1">
        <v>104</v>
      </c>
      <c r="M640" s="1" t="s">
        <v>41</v>
      </c>
      <c r="N640" s="1" t="s">
        <v>32</v>
      </c>
      <c r="O640" s="1" t="s">
        <v>43</v>
      </c>
      <c r="P640" s="2">
        <v>272.19</v>
      </c>
      <c r="Q640" s="1" t="str">
        <f t="shared" si="27"/>
        <v>YES</v>
      </c>
      <c r="R640" s="2">
        <f t="shared" si="28"/>
        <v>349.96500000000003</v>
      </c>
      <c r="S640" s="2">
        <f>J640*G640</f>
        <v>36163.050000000003</v>
      </c>
      <c r="T640" s="1">
        <f t="shared" ca="1" si="29"/>
        <v>117</v>
      </c>
      <c r="U640" s="1" t="s">
        <v>34</v>
      </c>
      <c r="V640" s="1" t="s">
        <v>34</v>
      </c>
      <c r="W640" s="1" t="s">
        <v>34</v>
      </c>
      <c r="X640" s="1" t="s">
        <v>2538</v>
      </c>
      <c r="Y640" s="1">
        <v>5</v>
      </c>
    </row>
    <row r="641" spans="1:25" x14ac:dyDescent="0.3">
      <c r="A641" s="1" t="s">
        <v>826</v>
      </c>
      <c r="B641" s="1" t="s">
        <v>192</v>
      </c>
      <c r="C641" s="1" t="s">
        <v>193</v>
      </c>
      <c r="D641" s="1" t="s">
        <v>85</v>
      </c>
      <c r="E641" s="1" t="s">
        <v>74</v>
      </c>
      <c r="F641" s="1" t="s">
        <v>48</v>
      </c>
      <c r="G641" s="2">
        <v>49.46</v>
      </c>
      <c r="H641" s="1">
        <v>10</v>
      </c>
      <c r="I641" s="1">
        <v>224</v>
      </c>
      <c r="J641" s="1">
        <v>201</v>
      </c>
      <c r="K641" s="1">
        <v>43</v>
      </c>
      <c r="L641" s="1">
        <v>58</v>
      </c>
      <c r="M641" s="1" t="s">
        <v>49</v>
      </c>
      <c r="N641" s="1" t="s">
        <v>60</v>
      </c>
      <c r="O641" s="1" t="s">
        <v>347</v>
      </c>
      <c r="P641" s="2">
        <v>34.619999999999997</v>
      </c>
      <c r="Q641" s="1" t="str">
        <f t="shared" si="27"/>
        <v>YES</v>
      </c>
      <c r="R641" s="2">
        <f t="shared" si="28"/>
        <v>44.514000000000003</v>
      </c>
      <c r="S641" s="2">
        <f>J641*G641</f>
        <v>9941.4600000000009</v>
      </c>
      <c r="T641" s="1">
        <f t="shared" ca="1" si="29"/>
        <v>79</v>
      </c>
      <c r="U641" s="1" t="s">
        <v>34</v>
      </c>
      <c r="V641" s="1" t="s">
        <v>34</v>
      </c>
      <c r="W641" s="1" t="s">
        <v>34</v>
      </c>
      <c r="X641" s="1" t="s">
        <v>2543</v>
      </c>
      <c r="Y641" s="1">
        <v>5.5</v>
      </c>
    </row>
    <row r="642" spans="1:25" x14ac:dyDescent="0.3">
      <c r="A642" s="1" t="s">
        <v>827</v>
      </c>
      <c r="B642" s="1" t="s">
        <v>52</v>
      </c>
      <c r="C642" s="1" t="s">
        <v>53</v>
      </c>
      <c r="D642" s="1" t="s">
        <v>47</v>
      </c>
      <c r="E642" s="1" t="s">
        <v>40</v>
      </c>
      <c r="F642" s="1" t="s">
        <v>30</v>
      </c>
      <c r="G642" s="2">
        <v>440.67</v>
      </c>
      <c r="H642" s="1">
        <v>23</v>
      </c>
      <c r="I642" s="1">
        <v>296</v>
      </c>
      <c r="J642" s="1">
        <v>268</v>
      </c>
      <c r="K642" s="1">
        <v>119</v>
      </c>
      <c r="L642" s="1">
        <v>59</v>
      </c>
      <c r="M642" s="1" t="s">
        <v>31</v>
      </c>
      <c r="N642" s="1" t="s">
        <v>32</v>
      </c>
      <c r="O642" s="1" t="s">
        <v>272</v>
      </c>
      <c r="P642" s="2">
        <v>308.47000000000003</v>
      </c>
      <c r="Q642" s="1" t="str">
        <f t="shared" ref="Q642:Q705" si="30">IF(J642&gt;K642,"YES","NO")</f>
        <v>YES</v>
      </c>
      <c r="R642" s="2">
        <f t="shared" ref="R642:R705" si="31">IF(Q642="YES",G642*0.9,G642)</f>
        <v>396.60300000000001</v>
      </c>
      <c r="S642" s="2">
        <f>J642*G642</f>
        <v>118099.56</v>
      </c>
      <c r="T642" s="1">
        <f t="shared" ref="T642:T705" ca="1" si="32">TODAY()-DATE(MID(O642,7,4),MID(O642,4,2),LEFT(O642,2))</f>
        <v>72</v>
      </c>
      <c r="U642" s="1" t="s">
        <v>34</v>
      </c>
      <c r="V642" s="1" t="s">
        <v>34</v>
      </c>
      <c r="W642" s="1" t="s">
        <v>34</v>
      </c>
      <c r="X642" s="1" t="s">
        <v>2649</v>
      </c>
      <c r="Y642" s="1">
        <v>6</v>
      </c>
    </row>
    <row r="643" spans="1:25" x14ac:dyDescent="0.3">
      <c r="A643" s="1" t="s">
        <v>828</v>
      </c>
      <c r="B643" s="1" t="s">
        <v>197</v>
      </c>
      <c r="C643" s="1" t="s">
        <v>198</v>
      </c>
      <c r="D643" s="1" t="s">
        <v>104</v>
      </c>
      <c r="E643" s="1" t="s">
        <v>40</v>
      </c>
      <c r="F643" s="1" t="s">
        <v>48</v>
      </c>
      <c r="G643" s="2">
        <v>77.19</v>
      </c>
      <c r="H643" s="1">
        <v>15</v>
      </c>
      <c r="I643" s="1">
        <v>84</v>
      </c>
      <c r="J643" s="1">
        <v>45</v>
      </c>
      <c r="K643" s="1">
        <v>53</v>
      </c>
      <c r="L643" s="1">
        <v>127</v>
      </c>
      <c r="M643" s="1" t="s">
        <v>49</v>
      </c>
      <c r="N643" s="1" t="s">
        <v>42</v>
      </c>
      <c r="O643" s="1" t="s">
        <v>333</v>
      </c>
      <c r="P643" s="2">
        <v>54.03</v>
      </c>
      <c r="Q643" s="1" t="str">
        <f t="shared" si="30"/>
        <v>NO</v>
      </c>
      <c r="R643" s="2">
        <f t="shared" si="31"/>
        <v>77.19</v>
      </c>
      <c r="S643" s="2">
        <f>J643*G643</f>
        <v>3473.5499999999997</v>
      </c>
      <c r="T643" s="1">
        <f t="shared" ca="1" si="32"/>
        <v>109</v>
      </c>
      <c r="U643" s="1" t="s">
        <v>34</v>
      </c>
      <c r="V643" s="1" t="s">
        <v>34</v>
      </c>
      <c r="W643" s="1" t="s">
        <v>34</v>
      </c>
      <c r="X643" s="1" t="s">
        <v>2726</v>
      </c>
      <c r="Y643" s="1">
        <v>6.5</v>
      </c>
    </row>
    <row r="644" spans="1:25" x14ac:dyDescent="0.3">
      <c r="A644" s="1" t="s">
        <v>829</v>
      </c>
      <c r="B644" s="1" t="s">
        <v>63</v>
      </c>
      <c r="C644" s="1" t="s">
        <v>64</v>
      </c>
      <c r="D644" s="1" t="s">
        <v>28</v>
      </c>
      <c r="E644" s="1" t="s">
        <v>74</v>
      </c>
      <c r="F644" s="1" t="s">
        <v>30</v>
      </c>
      <c r="G644" s="2">
        <v>266.02999999999997</v>
      </c>
      <c r="H644" s="1">
        <v>10</v>
      </c>
      <c r="I644" s="1">
        <v>119</v>
      </c>
      <c r="J644" s="1">
        <v>90</v>
      </c>
      <c r="K644" s="1">
        <v>103</v>
      </c>
      <c r="L644" s="1">
        <v>111</v>
      </c>
      <c r="M644" s="1" t="s">
        <v>31</v>
      </c>
      <c r="N644" s="1" t="s">
        <v>60</v>
      </c>
      <c r="O644" s="1" t="s">
        <v>164</v>
      </c>
      <c r="P644" s="2">
        <v>186.22</v>
      </c>
      <c r="Q644" s="1" t="str">
        <f t="shared" si="30"/>
        <v>NO</v>
      </c>
      <c r="R644" s="2">
        <f t="shared" si="31"/>
        <v>266.02999999999997</v>
      </c>
      <c r="S644" s="2">
        <f>J644*G644</f>
        <v>23942.699999999997</v>
      </c>
      <c r="T644" s="1">
        <f t="shared" ca="1" si="32"/>
        <v>126</v>
      </c>
      <c r="U644" s="1" t="s">
        <v>34</v>
      </c>
      <c r="V644" s="1" t="s">
        <v>34</v>
      </c>
      <c r="W644" s="1" t="s">
        <v>34</v>
      </c>
      <c r="X644" s="1" t="s">
        <v>2550</v>
      </c>
      <c r="Y644" s="1">
        <v>7</v>
      </c>
    </row>
    <row r="645" spans="1:25" x14ac:dyDescent="0.3">
      <c r="A645" s="1" t="s">
        <v>830</v>
      </c>
      <c r="B645" s="1" t="s">
        <v>69</v>
      </c>
      <c r="C645" s="1" t="s">
        <v>70</v>
      </c>
      <c r="D645" s="1" t="s">
        <v>59</v>
      </c>
      <c r="E645" s="1" t="s">
        <v>74</v>
      </c>
      <c r="F645" s="1" t="s">
        <v>48</v>
      </c>
      <c r="G645" s="2">
        <v>345.73</v>
      </c>
      <c r="H645" s="1">
        <v>10</v>
      </c>
      <c r="I645" s="1">
        <v>262</v>
      </c>
      <c r="J645" s="1">
        <v>227</v>
      </c>
      <c r="K645" s="1">
        <v>99</v>
      </c>
      <c r="L645" s="1">
        <v>79</v>
      </c>
      <c r="M645" s="1" t="s">
        <v>41</v>
      </c>
      <c r="N645" s="1" t="s">
        <v>60</v>
      </c>
      <c r="O645" s="1" t="s">
        <v>164</v>
      </c>
      <c r="P645" s="2">
        <v>242.01</v>
      </c>
      <c r="Q645" s="1" t="str">
        <f t="shared" si="30"/>
        <v>YES</v>
      </c>
      <c r="R645" s="2">
        <f t="shared" si="31"/>
        <v>311.15700000000004</v>
      </c>
      <c r="S645" s="2">
        <f>J645*G645</f>
        <v>78480.710000000006</v>
      </c>
      <c r="T645" s="1">
        <f t="shared" ca="1" si="32"/>
        <v>126</v>
      </c>
      <c r="U645" s="1" t="s">
        <v>34</v>
      </c>
      <c r="V645" s="1" t="s">
        <v>34</v>
      </c>
      <c r="W645" s="1" t="s">
        <v>34</v>
      </c>
      <c r="X645" s="1" t="s">
        <v>2825</v>
      </c>
      <c r="Y645" s="1">
        <v>7.5</v>
      </c>
    </row>
    <row r="646" spans="1:25" x14ac:dyDescent="0.3">
      <c r="A646" s="1" t="s">
        <v>831</v>
      </c>
      <c r="B646" s="1" t="s">
        <v>143</v>
      </c>
      <c r="C646" s="1" t="s">
        <v>144</v>
      </c>
      <c r="D646" s="1" t="s">
        <v>47</v>
      </c>
      <c r="E646" s="1" t="s">
        <v>29</v>
      </c>
      <c r="F646" s="1" t="s">
        <v>54</v>
      </c>
      <c r="G646" s="2">
        <v>219.85</v>
      </c>
      <c r="H646" s="1">
        <v>4</v>
      </c>
      <c r="I646" s="1">
        <v>146</v>
      </c>
      <c r="J646" s="1">
        <v>125</v>
      </c>
      <c r="K646" s="1">
        <v>55</v>
      </c>
      <c r="L646" s="1">
        <v>107</v>
      </c>
      <c r="M646" s="1" t="s">
        <v>49</v>
      </c>
      <c r="N646" s="1" t="s">
        <v>32</v>
      </c>
      <c r="O646" s="1" t="s">
        <v>242</v>
      </c>
      <c r="P646" s="2">
        <v>153.88999999999999</v>
      </c>
      <c r="Q646" s="1" t="str">
        <f t="shared" si="30"/>
        <v>YES</v>
      </c>
      <c r="R646" s="2">
        <f t="shared" si="31"/>
        <v>197.86500000000001</v>
      </c>
      <c r="S646" s="2">
        <f>J646*G646</f>
        <v>27481.25</v>
      </c>
      <c r="T646" s="1">
        <f t="shared" ca="1" si="32"/>
        <v>105</v>
      </c>
      <c r="U646" s="1" t="s">
        <v>34</v>
      </c>
      <c r="V646" s="1" t="s">
        <v>34</v>
      </c>
      <c r="W646" s="1" t="s">
        <v>34</v>
      </c>
      <c r="X646" s="1" t="s">
        <v>2581</v>
      </c>
      <c r="Y646" s="1">
        <v>8</v>
      </c>
    </row>
    <row r="647" spans="1:25" x14ac:dyDescent="0.3">
      <c r="A647" s="1" t="s">
        <v>832</v>
      </c>
      <c r="B647" s="1" t="s">
        <v>189</v>
      </c>
      <c r="C647" s="1" t="s">
        <v>190</v>
      </c>
      <c r="D647" s="1" t="s">
        <v>59</v>
      </c>
      <c r="E647" s="1" t="s">
        <v>40</v>
      </c>
      <c r="F647" s="1" t="s">
        <v>30</v>
      </c>
      <c r="G647" s="2">
        <v>313.32</v>
      </c>
      <c r="H647" s="1">
        <v>8</v>
      </c>
      <c r="I647" s="1">
        <v>137</v>
      </c>
      <c r="J647" s="1">
        <v>102</v>
      </c>
      <c r="K647" s="1">
        <v>118</v>
      </c>
      <c r="L647" s="1">
        <v>73</v>
      </c>
      <c r="M647" s="1" t="s">
        <v>41</v>
      </c>
      <c r="N647" s="1" t="s">
        <v>60</v>
      </c>
      <c r="O647" s="1" t="s">
        <v>139</v>
      </c>
      <c r="P647" s="2">
        <v>219.32</v>
      </c>
      <c r="Q647" s="1" t="str">
        <f t="shared" si="30"/>
        <v>NO</v>
      </c>
      <c r="R647" s="2">
        <f t="shared" si="31"/>
        <v>313.32</v>
      </c>
      <c r="S647" s="2">
        <f>J647*G647</f>
        <v>31958.639999999999</v>
      </c>
      <c r="T647" s="1">
        <f t="shared" ca="1" si="32"/>
        <v>75</v>
      </c>
      <c r="U647" s="1" t="s">
        <v>34</v>
      </c>
      <c r="V647" s="1" t="s">
        <v>34</v>
      </c>
      <c r="W647" s="1" t="s">
        <v>34</v>
      </c>
      <c r="X647" s="1" t="s">
        <v>2724</v>
      </c>
      <c r="Y647" s="1">
        <v>8.5</v>
      </c>
    </row>
    <row r="648" spans="1:25" x14ac:dyDescent="0.3">
      <c r="A648" s="1" t="s">
        <v>833</v>
      </c>
      <c r="B648" s="1" t="s">
        <v>45</v>
      </c>
      <c r="C648" s="1" t="s">
        <v>46</v>
      </c>
      <c r="D648" s="1" t="s">
        <v>47</v>
      </c>
      <c r="E648" s="1" t="s">
        <v>74</v>
      </c>
      <c r="F648" s="1" t="s">
        <v>48</v>
      </c>
      <c r="G648" s="2">
        <v>107.36</v>
      </c>
      <c r="H648" s="1">
        <v>6</v>
      </c>
      <c r="I648" s="1">
        <v>297</v>
      </c>
      <c r="J648" s="1">
        <v>292</v>
      </c>
      <c r="K648" s="1">
        <v>93</v>
      </c>
      <c r="L648" s="1">
        <v>123</v>
      </c>
      <c r="M648" s="1" t="s">
        <v>41</v>
      </c>
      <c r="N648" s="1" t="s">
        <v>60</v>
      </c>
      <c r="O648" s="1" t="s">
        <v>75</v>
      </c>
      <c r="P648" s="2">
        <v>75.150000000000006</v>
      </c>
      <c r="Q648" s="1" t="str">
        <f t="shared" si="30"/>
        <v>YES</v>
      </c>
      <c r="R648" s="2">
        <f t="shared" si="31"/>
        <v>96.623999999999995</v>
      </c>
      <c r="S648" s="2">
        <f>J648*G648</f>
        <v>31349.119999999999</v>
      </c>
      <c r="T648" s="1">
        <f t="shared" ca="1" si="32"/>
        <v>123</v>
      </c>
      <c r="U648" s="1" t="s">
        <v>34</v>
      </c>
      <c r="V648" s="1" t="s">
        <v>34</v>
      </c>
      <c r="W648" s="1" t="s">
        <v>34</v>
      </c>
      <c r="X648" s="1" t="s">
        <v>2660</v>
      </c>
      <c r="Y648" s="1">
        <v>9</v>
      </c>
    </row>
    <row r="649" spans="1:25" x14ac:dyDescent="0.3">
      <c r="A649" s="1" t="s">
        <v>834</v>
      </c>
      <c r="B649" s="1" t="s">
        <v>130</v>
      </c>
      <c r="C649" s="1" t="s">
        <v>131</v>
      </c>
      <c r="D649" s="1" t="s">
        <v>132</v>
      </c>
      <c r="E649" s="1" t="s">
        <v>29</v>
      </c>
      <c r="F649" s="1" t="s">
        <v>48</v>
      </c>
      <c r="G649" s="2">
        <v>97.23</v>
      </c>
      <c r="H649" s="1">
        <v>8</v>
      </c>
      <c r="I649" s="1">
        <v>106</v>
      </c>
      <c r="J649" s="1">
        <v>78</v>
      </c>
      <c r="K649" s="1">
        <v>50</v>
      </c>
      <c r="L649" s="1">
        <v>125</v>
      </c>
      <c r="M649" s="1" t="s">
        <v>49</v>
      </c>
      <c r="N649" s="1" t="s">
        <v>60</v>
      </c>
      <c r="O649" s="1" t="s">
        <v>137</v>
      </c>
      <c r="P649" s="2">
        <v>68.06</v>
      </c>
      <c r="Q649" s="1" t="str">
        <f t="shared" si="30"/>
        <v>YES</v>
      </c>
      <c r="R649" s="2">
        <f t="shared" si="31"/>
        <v>87.507000000000005</v>
      </c>
      <c r="S649" s="2">
        <f>J649*G649</f>
        <v>7583.9400000000005</v>
      </c>
      <c r="T649" s="1">
        <f t="shared" ca="1" si="32"/>
        <v>107</v>
      </c>
      <c r="U649" s="1" t="s">
        <v>34</v>
      </c>
      <c r="V649" s="1" t="s">
        <v>34</v>
      </c>
      <c r="W649" s="1" t="s">
        <v>34</v>
      </c>
      <c r="X649" s="1" t="s">
        <v>2722</v>
      </c>
      <c r="Y649" s="1">
        <v>9.5</v>
      </c>
    </row>
    <row r="650" spans="1:25" x14ac:dyDescent="0.3">
      <c r="A650" s="1" t="s">
        <v>835</v>
      </c>
      <c r="B650" s="1" t="s">
        <v>26</v>
      </c>
      <c r="C650" s="1" t="s">
        <v>27</v>
      </c>
      <c r="D650" s="1" t="s">
        <v>28</v>
      </c>
      <c r="E650" s="1" t="s">
        <v>29</v>
      </c>
      <c r="F650" s="1" t="s">
        <v>54</v>
      </c>
      <c r="G650" s="2">
        <v>277.13</v>
      </c>
      <c r="H650" s="1">
        <v>21</v>
      </c>
      <c r="I650" s="1">
        <v>234</v>
      </c>
      <c r="J650" s="1">
        <v>206</v>
      </c>
      <c r="K650" s="1">
        <v>76</v>
      </c>
      <c r="L650" s="1">
        <v>138</v>
      </c>
      <c r="M650" s="1" t="s">
        <v>31</v>
      </c>
      <c r="N650" s="1" t="s">
        <v>42</v>
      </c>
      <c r="O650" s="1" t="s">
        <v>401</v>
      </c>
      <c r="P650" s="2">
        <v>193.99</v>
      </c>
      <c r="Q650" s="1" t="str">
        <f t="shared" si="30"/>
        <v>YES</v>
      </c>
      <c r="R650" s="2">
        <f t="shared" si="31"/>
        <v>249.417</v>
      </c>
      <c r="S650" s="2">
        <f>J650*G650</f>
        <v>57088.78</v>
      </c>
      <c r="T650" s="1">
        <f t="shared" ca="1" si="32"/>
        <v>110</v>
      </c>
      <c r="U650" s="1" t="s">
        <v>34</v>
      </c>
      <c r="V650" s="1" t="s">
        <v>34</v>
      </c>
      <c r="W650" s="1" t="s">
        <v>34</v>
      </c>
      <c r="X650" s="1" t="s">
        <v>2740</v>
      </c>
      <c r="Y650" s="1">
        <v>5</v>
      </c>
    </row>
    <row r="651" spans="1:25" x14ac:dyDescent="0.3">
      <c r="A651" s="1" t="s">
        <v>836</v>
      </c>
      <c r="B651" s="1" t="s">
        <v>83</v>
      </c>
      <c r="C651" s="1" t="s">
        <v>84</v>
      </c>
      <c r="D651" s="1" t="s">
        <v>85</v>
      </c>
      <c r="E651" s="1" t="s">
        <v>40</v>
      </c>
      <c r="F651" s="1" t="s">
        <v>30</v>
      </c>
      <c r="G651" s="2">
        <v>92.6</v>
      </c>
      <c r="H651" s="1">
        <v>19</v>
      </c>
      <c r="I651" s="1">
        <v>201</v>
      </c>
      <c r="J651" s="1">
        <v>195</v>
      </c>
      <c r="K651" s="1">
        <v>84</v>
      </c>
      <c r="L651" s="1">
        <v>78</v>
      </c>
      <c r="M651" s="1" t="s">
        <v>49</v>
      </c>
      <c r="N651" s="1" t="s">
        <v>42</v>
      </c>
      <c r="O651" s="1" t="s">
        <v>133</v>
      </c>
      <c r="P651" s="2">
        <v>64.819999999999993</v>
      </c>
      <c r="Q651" s="1" t="str">
        <f t="shared" si="30"/>
        <v>YES</v>
      </c>
      <c r="R651" s="2">
        <f t="shared" si="31"/>
        <v>83.34</v>
      </c>
      <c r="S651" s="2">
        <f>J651*G651</f>
        <v>18057</v>
      </c>
      <c r="T651" s="1">
        <f t="shared" ca="1" si="32"/>
        <v>76</v>
      </c>
      <c r="U651" s="1" t="s">
        <v>34</v>
      </c>
      <c r="V651" s="1" t="s">
        <v>34</v>
      </c>
      <c r="W651" s="1" t="s">
        <v>34</v>
      </c>
      <c r="X651" s="1" t="s">
        <v>2690</v>
      </c>
      <c r="Y651" s="1">
        <v>5.5</v>
      </c>
    </row>
    <row r="652" spans="1:25" x14ac:dyDescent="0.3">
      <c r="A652" s="1" t="s">
        <v>837</v>
      </c>
      <c r="B652" s="1" t="s">
        <v>237</v>
      </c>
      <c r="C652" s="1" t="s">
        <v>238</v>
      </c>
      <c r="D652" s="1" t="s">
        <v>85</v>
      </c>
      <c r="E652" s="1" t="s">
        <v>74</v>
      </c>
      <c r="F652" s="1" t="s">
        <v>54</v>
      </c>
      <c r="G652" s="2">
        <v>175.02</v>
      </c>
      <c r="H652" s="1">
        <v>11</v>
      </c>
      <c r="I652" s="1">
        <v>244</v>
      </c>
      <c r="J652" s="1">
        <v>208</v>
      </c>
      <c r="K652" s="1">
        <v>103</v>
      </c>
      <c r="L652" s="1">
        <v>105</v>
      </c>
      <c r="M652" s="1" t="s">
        <v>41</v>
      </c>
      <c r="N652" s="1" t="s">
        <v>32</v>
      </c>
      <c r="O652" s="1" t="s">
        <v>311</v>
      </c>
      <c r="P652" s="2">
        <v>122.51</v>
      </c>
      <c r="Q652" s="1" t="str">
        <f t="shared" si="30"/>
        <v>YES</v>
      </c>
      <c r="R652" s="2">
        <f t="shared" si="31"/>
        <v>157.518</v>
      </c>
      <c r="S652" s="2">
        <f>J652*G652</f>
        <v>36404.160000000003</v>
      </c>
      <c r="T652" s="1">
        <f t="shared" ca="1" si="32"/>
        <v>80</v>
      </c>
      <c r="U652" s="1" t="s">
        <v>34</v>
      </c>
      <c r="V652" s="1" t="s">
        <v>34</v>
      </c>
      <c r="W652" s="1" t="s">
        <v>34</v>
      </c>
      <c r="X652" s="1" t="s">
        <v>2664</v>
      </c>
      <c r="Y652" s="1">
        <v>6</v>
      </c>
    </row>
    <row r="653" spans="1:25" x14ac:dyDescent="0.3">
      <c r="A653" s="1" t="s">
        <v>838</v>
      </c>
      <c r="B653" s="1" t="s">
        <v>26</v>
      </c>
      <c r="C653" s="1" t="s">
        <v>27</v>
      </c>
      <c r="D653" s="1" t="s">
        <v>28</v>
      </c>
      <c r="E653" s="1" t="s">
        <v>40</v>
      </c>
      <c r="F653" s="1" t="s">
        <v>48</v>
      </c>
      <c r="G653" s="2">
        <v>186.97</v>
      </c>
      <c r="H653" s="1">
        <v>23</v>
      </c>
      <c r="I653" s="1">
        <v>138</v>
      </c>
      <c r="J653" s="1">
        <v>135</v>
      </c>
      <c r="K653" s="1">
        <v>63</v>
      </c>
      <c r="L653" s="1">
        <v>121</v>
      </c>
      <c r="M653" s="1" t="s">
        <v>31</v>
      </c>
      <c r="N653" s="1" t="s">
        <v>32</v>
      </c>
      <c r="O653" s="1" t="s">
        <v>79</v>
      </c>
      <c r="P653" s="2">
        <v>130.88</v>
      </c>
      <c r="Q653" s="1" t="str">
        <f t="shared" si="30"/>
        <v>YES</v>
      </c>
      <c r="R653" s="2">
        <f t="shared" si="31"/>
        <v>168.273</v>
      </c>
      <c r="S653" s="2">
        <f>J653*G653</f>
        <v>25240.95</v>
      </c>
      <c r="T653" s="1">
        <f t="shared" ca="1" si="32"/>
        <v>93</v>
      </c>
      <c r="U653" s="1" t="s">
        <v>34</v>
      </c>
      <c r="V653" s="1" t="s">
        <v>34</v>
      </c>
      <c r="W653" s="1" t="s">
        <v>34</v>
      </c>
      <c r="X653" s="1" t="s">
        <v>2781</v>
      </c>
      <c r="Y653" s="1">
        <v>6.5</v>
      </c>
    </row>
    <row r="654" spans="1:25" x14ac:dyDescent="0.3">
      <c r="A654" s="1" t="s">
        <v>839</v>
      </c>
      <c r="B654" s="1" t="s">
        <v>63</v>
      </c>
      <c r="C654" s="1" t="s">
        <v>64</v>
      </c>
      <c r="D654" s="1" t="s">
        <v>28</v>
      </c>
      <c r="E654" s="1" t="s">
        <v>74</v>
      </c>
      <c r="F654" s="1" t="s">
        <v>48</v>
      </c>
      <c r="G654" s="2">
        <v>230.36</v>
      </c>
      <c r="H654" s="1">
        <v>17</v>
      </c>
      <c r="I654" s="1">
        <v>238</v>
      </c>
      <c r="J654" s="1">
        <v>216</v>
      </c>
      <c r="K654" s="1">
        <v>83</v>
      </c>
      <c r="L654" s="1">
        <v>66</v>
      </c>
      <c r="M654" s="1" t="s">
        <v>41</v>
      </c>
      <c r="N654" s="1" t="s">
        <v>32</v>
      </c>
      <c r="O654" s="1" t="s">
        <v>139</v>
      </c>
      <c r="P654" s="2">
        <v>161.25</v>
      </c>
      <c r="Q654" s="1" t="str">
        <f t="shared" si="30"/>
        <v>YES</v>
      </c>
      <c r="R654" s="2">
        <f t="shared" si="31"/>
        <v>207.32400000000001</v>
      </c>
      <c r="S654" s="2">
        <f>J654*G654</f>
        <v>49757.760000000002</v>
      </c>
      <c r="T654" s="1">
        <f t="shared" ca="1" si="32"/>
        <v>75</v>
      </c>
      <c r="U654" s="1" t="s">
        <v>34</v>
      </c>
      <c r="V654" s="1" t="s">
        <v>34</v>
      </c>
      <c r="W654" s="1" t="s">
        <v>34</v>
      </c>
      <c r="X654" s="1" t="s">
        <v>2682</v>
      </c>
      <c r="Y654" s="1">
        <v>7</v>
      </c>
    </row>
    <row r="655" spans="1:25" x14ac:dyDescent="0.3">
      <c r="A655" s="1" t="s">
        <v>840</v>
      </c>
      <c r="B655" s="1" t="s">
        <v>77</v>
      </c>
      <c r="C655" s="1" t="s">
        <v>78</v>
      </c>
      <c r="D655" s="1" t="s">
        <v>47</v>
      </c>
      <c r="E655" s="1" t="s">
        <v>40</v>
      </c>
      <c r="F655" s="1" t="s">
        <v>54</v>
      </c>
      <c r="G655" s="2">
        <v>236.63</v>
      </c>
      <c r="H655" s="1">
        <v>24</v>
      </c>
      <c r="I655" s="1">
        <v>198</v>
      </c>
      <c r="J655" s="1">
        <v>174</v>
      </c>
      <c r="K655" s="1">
        <v>63</v>
      </c>
      <c r="L655" s="1">
        <v>86</v>
      </c>
      <c r="M655" s="1" t="s">
        <v>31</v>
      </c>
      <c r="N655" s="1" t="s">
        <v>60</v>
      </c>
      <c r="O655" s="1" t="s">
        <v>109</v>
      </c>
      <c r="P655" s="2">
        <v>165.64</v>
      </c>
      <c r="Q655" s="1" t="str">
        <f t="shared" si="30"/>
        <v>YES</v>
      </c>
      <c r="R655" s="2">
        <f t="shared" si="31"/>
        <v>212.96700000000001</v>
      </c>
      <c r="S655" s="2">
        <f>J655*G655</f>
        <v>41173.620000000003</v>
      </c>
      <c r="T655" s="1">
        <f t="shared" ca="1" si="32"/>
        <v>89</v>
      </c>
      <c r="U655" s="1" t="s">
        <v>34</v>
      </c>
      <c r="V655" s="1" t="s">
        <v>34</v>
      </c>
      <c r="W655" s="1" t="s">
        <v>34</v>
      </c>
      <c r="X655" s="1" t="s">
        <v>2548</v>
      </c>
      <c r="Y655" s="1">
        <v>7.5</v>
      </c>
    </row>
    <row r="656" spans="1:25" x14ac:dyDescent="0.3">
      <c r="A656" s="1" t="s">
        <v>841</v>
      </c>
      <c r="B656" s="1" t="s">
        <v>126</v>
      </c>
      <c r="C656" s="1" t="s">
        <v>127</v>
      </c>
      <c r="D656" s="1" t="s">
        <v>85</v>
      </c>
      <c r="E656" s="1" t="s">
        <v>74</v>
      </c>
      <c r="F656" s="1" t="s">
        <v>54</v>
      </c>
      <c r="G656" s="2">
        <v>123.77</v>
      </c>
      <c r="H656" s="1">
        <v>2</v>
      </c>
      <c r="I656" s="1">
        <v>206</v>
      </c>
      <c r="J656" s="1">
        <v>203</v>
      </c>
      <c r="K656" s="1">
        <v>109</v>
      </c>
      <c r="L656" s="1">
        <v>70</v>
      </c>
      <c r="M656" s="1" t="s">
        <v>49</v>
      </c>
      <c r="N656" s="1" t="s">
        <v>42</v>
      </c>
      <c r="O656" s="1" t="s">
        <v>35</v>
      </c>
      <c r="P656" s="2">
        <v>86.64</v>
      </c>
      <c r="Q656" s="1" t="str">
        <f t="shared" si="30"/>
        <v>YES</v>
      </c>
      <c r="R656" s="2">
        <f t="shared" si="31"/>
        <v>111.393</v>
      </c>
      <c r="S656" s="2">
        <f>J656*G656</f>
        <v>25125.309999999998</v>
      </c>
      <c r="T656" s="1">
        <f t="shared" ca="1" si="32"/>
        <v>85</v>
      </c>
      <c r="U656" s="1" t="s">
        <v>34</v>
      </c>
      <c r="V656" s="1" t="s">
        <v>34</v>
      </c>
      <c r="W656" s="1" t="s">
        <v>34</v>
      </c>
      <c r="X656" s="1" t="s">
        <v>2797</v>
      </c>
      <c r="Y656" s="1">
        <v>8</v>
      </c>
    </row>
    <row r="657" spans="1:25" x14ac:dyDescent="0.3">
      <c r="A657" s="1" t="s">
        <v>842</v>
      </c>
      <c r="B657" s="1" t="s">
        <v>299</v>
      </c>
      <c r="C657" s="1" t="s">
        <v>300</v>
      </c>
      <c r="D657" s="1" t="s">
        <v>39</v>
      </c>
      <c r="E657" s="1" t="s">
        <v>40</v>
      </c>
      <c r="F657" s="1" t="s">
        <v>48</v>
      </c>
      <c r="G657" s="2">
        <v>430.54</v>
      </c>
      <c r="H657" s="1">
        <v>21</v>
      </c>
      <c r="I657" s="1">
        <v>259</v>
      </c>
      <c r="J657" s="1">
        <v>222</v>
      </c>
      <c r="K657" s="1">
        <v>119</v>
      </c>
      <c r="L657" s="1">
        <v>116</v>
      </c>
      <c r="M657" s="1" t="s">
        <v>31</v>
      </c>
      <c r="N657" s="1" t="s">
        <v>42</v>
      </c>
      <c r="O657" s="1" t="s">
        <v>88</v>
      </c>
      <c r="P657" s="2">
        <v>301.38</v>
      </c>
      <c r="Q657" s="1" t="str">
        <f t="shared" si="30"/>
        <v>YES</v>
      </c>
      <c r="R657" s="2">
        <f t="shared" si="31"/>
        <v>387.48600000000005</v>
      </c>
      <c r="S657" s="2">
        <f>J657*G657</f>
        <v>95579.88</v>
      </c>
      <c r="T657" s="1">
        <f t="shared" ca="1" si="32"/>
        <v>124</v>
      </c>
      <c r="U657" s="1" t="s">
        <v>34</v>
      </c>
      <c r="V657" s="1" t="s">
        <v>34</v>
      </c>
      <c r="W657" s="1" t="s">
        <v>34</v>
      </c>
      <c r="X657" s="1" t="s">
        <v>2554</v>
      </c>
      <c r="Y657" s="1">
        <v>8.5</v>
      </c>
    </row>
    <row r="658" spans="1:25" x14ac:dyDescent="0.3">
      <c r="A658" s="1" t="s">
        <v>843</v>
      </c>
      <c r="B658" s="1" t="s">
        <v>299</v>
      </c>
      <c r="C658" s="1" t="s">
        <v>300</v>
      </c>
      <c r="D658" s="1" t="s">
        <v>39</v>
      </c>
      <c r="E658" s="1" t="s">
        <v>40</v>
      </c>
      <c r="F658" s="1" t="s">
        <v>48</v>
      </c>
      <c r="G658" s="2">
        <v>129.04</v>
      </c>
      <c r="H658" s="1">
        <v>6</v>
      </c>
      <c r="I658" s="1">
        <v>263</v>
      </c>
      <c r="J658" s="1">
        <v>223</v>
      </c>
      <c r="K658" s="1">
        <v>79</v>
      </c>
      <c r="L658" s="1">
        <v>141</v>
      </c>
      <c r="M658" s="1" t="s">
        <v>31</v>
      </c>
      <c r="N658" s="1" t="s">
        <v>60</v>
      </c>
      <c r="O658" s="1" t="s">
        <v>395</v>
      </c>
      <c r="P658" s="2">
        <v>90.33</v>
      </c>
      <c r="Q658" s="1" t="str">
        <f t="shared" si="30"/>
        <v>YES</v>
      </c>
      <c r="R658" s="2">
        <f t="shared" si="31"/>
        <v>116.136</v>
      </c>
      <c r="S658" s="2">
        <f>J658*G658</f>
        <v>28775.919999999998</v>
      </c>
      <c r="T658" s="1">
        <f t="shared" ca="1" si="32"/>
        <v>101</v>
      </c>
      <c r="U658" s="1" t="s">
        <v>34</v>
      </c>
      <c r="V658" s="1" t="s">
        <v>34</v>
      </c>
      <c r="W658" s="1" t="s">
        <v>34</v>
      </c>
      <c r="X658" s="1" t="s">
        <v>2840</v>
      </c>
      <c r="Y658" s="1">
        <v>9</v>
      </c>
    </row>
    <row r="659" spans="1:25" x14ac:dyDescent="0.3">
      <c r="A659" s="1" t="s">
        <v>844</v>
      </c>
      <c r="B659" s="1" t="s">
        <v>189</v>
      </c>
      <c r="C659" s="1" t="s">
        <v>190</v>
      </c>
      <c r="D659" s="1" t="s">
        <v>59</v>
      </c>
      <c r="E659" s="1" t="s">
        <v>74</v>
      </c>
      <c r="F659" s="1" t="s">
        <v>48</v>
      </c>
      <c r="G659" s="2">
        <v>229.25</v>
      </c>
      <c r="H659" s="1">
        <v>22</v>
      </c>
      <c r="I659" s="1">
        <v>279</v>
      </c>
      <c r="J659" s="1">
        <v>246</v>
      </c>
      <c r="K659" s="1">
        <v>49</v>
      </c>
      <c r="L659" s="1">
        <v>87</v>
      </c>
      <c r="M659" s="1" t="s">
        <v>31</v>
      </c>
      <c r="N659" s="1" t="s">
        <v>42</v>
      </c>
      <c r="O659" s="1" t="s">
        <v>61</v>
      </c>
      <c r="P659" s="2">
        <v>160.47</v>
      </c>
      <c r="Q659" s="1" t="str">
        <f t="shared" si="30"/>
        <v>YES</v>
      </c>
      <c r="R659" s="2">
        <f t="shared" si="31"/>
        <v>206.32500000000002</v>
      </c>
      <c r="S659" s="2">
        <f>J659*G659</f>
        <v>56395.5</v>
      </c>
      <c r="T659" s="1">
        <f t="shared" ca="1" si="32"/>
        <v>73</v>
      </c>
      <c r="U659" s="1" t="s">
        <v>34</v>
      </c>
      <c r="V659" s="1" t="s">
        <v>34</v>
      </c>
      <c r="W659" s="1" t="s">
        <v>34</v>
      </c>
      <c r="X659" s="1" t="s">
        <v>2695</v>
      </c>
      <c r="Y659" s="1">
        <v>9.5</v>
      </c>
    </row>
    <row r="660" spans="1:25" x14ac:dyDescent="0.3">
      <c r="A660" s="1" t="s">
        <v>845</v>
      </c>
      <c r="B660" s="1" t="s">
        <v>52</v>
      </c>
      <c r="C660" s="1" t="s">
        <v>53</v>
      </c>
      <c r="D660" s="1" t="s">
        <v>47</v>
      </c>
      <c r="E660" s="1" t="s">
        <v>74</v>
      </c>
      <c r="F660" s="1" t="s">
        <v>30</v>
      </c>
      <c r="G660" s="2">
        <v>89.19</v>
      </c>
      <c r="H660" s="1">
        <v>25</v>
      </c>
      <c r="I660" s="1">
        <v>111</v>
      </c>
      <c r="J660" s="1">
        <v>100</v>
      </c>
      <c r="K660" s="1">
        <v>86</v>
      </c>
      <c r="L660" s="1">
        <v>104</v>
      </c>
      <c r="M660" s="1" t="s">
        <v>41</v>
      </c>
      <c r="N660" s="1" t="s">
        <v>60</v>
      </c>
      <c r="O660" s="1" t="s">
        <v>75</v>
      </c>
      <c r="P660" s="2">
        <v>62.43</v>
      </c>
      <c r="Q660" s="1" t="str">
        <f t="shared" si="30"/>
        <v>YES</v>
      </c>
      <c r="R660" s="2">
        <f t="shared" si="31"/>
        <v>80.271000000000001</v>
      </c>
      <c r="S660" s="2">
        <f>J660*G660</f>
        <v>8919</v>
      </c>
      <c r="T660" s="1">
        <f t="shared" ca="1" si="32"/>
        <v>123</v>
      </c>
      <c r="U660" s="1" t="s">
        <v>34</v>
      </c>
      <c r="V660" s="1" t="s">
        <v>34</v>
      </c>
      <c r="W660" s="1" t="s">
        <v>34</v>
      </c>
      <c r="X660" s="1" t="s">
        <v>2643</v>
      </c>
      <c r="Y660" s="1">
        <v>5</v>
      </c>
    </row>
    <row r="661" spans="1:25" x14ac:dyDescent="0.3">
      <c r="A661" s="1" t="s">
        <v>846</v>
      </c>
      <c r="B661" s="1" t="s">
        <v>69</v>
      </c>
      <c r="C661" s="1" t="s">
        <v>70</v>
      </c>
      <c r="D661" s="1" t="s">
        <v>59</v>
      </c>
      <c r="E661" s="1" t="s">
        <v>74</v>
      </c>
      <c r="F661" s="1" t="s">
        <v>30</v>
      </c>
      <c r="G661" s="2">
        <v>462.5</v>
      </c>
      <c r="H661" s="1">
        <v>1</v>
      </c>
      <c r="I661" s="1">
        <v>164</v>
      </c>
      <c r="J661" s="1">
        <v>137</v>
      </c>
      <c r="K661" s="1">
        <v>50</v>
      </c>
      <c r="L661" s="1">
        <v>145</v>
      </c>
      <c r="M661" s="1" t="s">
        <v>31</v>
      </c>
      <c r="N661" s="1" t="s">
        <v>42</v>
      </c>
      <c r="O661" s="1" t="s">
        <v>161</v>
      </c>
      <c r="P661" s="2">
        <v>323.75</v>
      </c>
      <c r="Q661" s="1" t="str">
        <f t="shared" si="30"/>
        <v>YES</v>
      </c>
      <c r="R661" s="2">
        <f t="shared" si="31"/>
        <v>416.25</v>
      </c>
      <c r="S661" s="2">
        <f>J661*G661</f>
        <v>63362.5</v>
      </c>
      <c r="T661" s="1">
        <f t="shared" ca="1" si="32"/>
        <v>69</v>
      </c>
      <c r="U661" s="1" t="s">
        <v>34</v>
      </c>
      <c r="V661" s="1" t="s">
        <v>34</v>
      </c>
      <c r="W661" s="1" t="s">
        <v>34</v>
      </c>
      <c r="X661" s="1" t="s">
        <v>2549</v>
      </c>
      <c r="Y661" s="1">
        <v>5.5</v>
      </c>
    </row>
    <row r="662" spans="1:25" x14ac:dyDescent="0.3">
      <c r="A662" s="1" t="s">
        <v>847</v>
      </c>
      <c r="B662" s="1" t="s">
        <v>118</v>
      </c>
      <c r="C662" s="1" t="s">
        <v>119</v>
      </c>
      <c r="D662" s="1" t="s">
        <v>97</v>
      </c>
      <c r="E662" s="1" t="s">
        <v>40</v>
      </c>
      <c r="F662" s="1" t="s">
        <v>48</v>
      </c>
      <c r="G662" s="2">
        <v>399.95</v>
      </c>
      <c r="H662" s="1">
        <v>0</v>
      </c>
      <c r="I662" s="1">
        <v>233</v>
      </c>
      <c r="J662" s="1">
        <v>205</v>
      </c>
      <c r="K662" s="1">
        <v>42</v>
      </c>
      <c r="L662" s="1">
        <v>97</v>
      </c>
      <c r="M662" s="1" t="s">
        <v>31</v>
      </c>
      <c r="N662" s="1" t="s">
        <v>60</v>
      </c>
      <c r="O662" s="1" t="s">
        <v>361</v>
      </c>
      <c r="P662" s="2">
        <v>279.95999999999998</v>
      </c>
      <c r="Q662" s="1" t="str">
        <f t="shared" si="30"/>
        <v>YES</v>
      </c>
      <c r="R662" s="2">
        <f t="shared" si="31"/>
        <v>359.95499999999998</v>
      </c>
      <c r="S662" s="2">
        <f>J662*G662</f>
        <v>81989.75</v>
      </c>
      <c r="T662" s="1">
        <f t="shared" ca="1" si="32"/>
        <v>99</v>
      </c>
      <c r="U662" s="1" t="s">
        <v>34</v>
      </c>
      <c r="V662" s="1" t="s">
        <v>34</v>
      </c>
      <c r="W662" s="1" t="s">
        <v>34</v>
      </c>
      <c r="X662" s="1" t="s">
        <v>2659</v>
      </c>
      <c r="Y662" s="1">
        <v>6</v>
      </c>
    </row>
    <row r="663" spans="1:25" x14ac:dyDescent="0.3">
      <c r="A663" s="1" t="s">
        <v>848</v>
      </c>
      <c r="B663" s="1" t="s">
        <v>172</v>
      </c>
      <c r="C663" s="1" t="s">
        <v>173</v>
      </c>
      <c r="D663" s="1" t="s">
        <v>132</v>
      </c>
      <c r="E663" s="1" t="s">
        <v>40</v>
      </c>
      <c r="F663" s="1" t="s">
        <v>30</v>
      </c>
      <c r="G663" s="2">
        <v>477.44</v>
      </c>
      <c r="H663" s="1">
        <v>21</v>
      </c>
      <c r="I663" s="1">
        <v>82</v>
      </c>
      <c r="J663" s="1">
        <v>46</v>
      </c>
      <c r="K663" s="1">
        <v>100</v>
      </c>
      <c r="L663" s="1">
        <v>66</v>
      </c>
      <c r="M663" s="1" t="s">
        <v>31</v>
      </c>
      <c r="N663" s="1" t="s">
        <v>32</v>
      </c>
      <c r="O663" s="1" t="s">
        <v>227</v>
      </c>
      <c r="P663" s="2">
        <v>334.21</v>
      </c>
      <c r="Q663" s="1" t="str">
        <f t="shared" si="30"/>
        <v>NO</v>
      </c>
      <c r="R663" s="2">
        <f t="shared" si="31"/>
        <v>477.44</v>
      </c>
      <c r="S663" s="2">
        <f>J663*G663</f>
        <v>21962.240000000002</v>
      </c>
      <c r="T663" s="1">
        <f t="shared" ca="1" si="32"/>
        <v>132</v>
      </c>
      <c r="U663" s="1" t="s">
        <v>34</v>
      </c>
      <c r="V663" s="1" t="s">
        <v>34</v>
      </c>
      <c r="W663" s="1" t="s">
        <v>34</v>
      </c>
      <c r="X663" s="1" t="s">
        <v>2841</v>
      </c>
      <c r="Y663" s="1">
        <v>6.5</v>
      </c>
    </row>
    <row r="664" spans="1:25" x14ac:dyDescent="0.3">
      <c r="A664" s="1" t="s">
        <v>849</v>
      </c>
      <c r="B664" s="1" t="s">
        <v>118</v>
      </c>
      <c r="C664" s="1" t="s">
        <v>119</v>
      </c>
      <c r="D664" s="1" t="s">
        <v>97</v>
      </c>
      <c r="E664" s="1" t="s">
        <v>29</v>
      </c>
      <c r="F664" s="1" t="s">
        <v>48</v>
      </c>
      <c r="G664" s="2">
        <v>449.45</v>
      </c>
      <c r="H664" s="1">
        <v>4</v>
      </c>
      <c r="I664" s="1">
        <v>292</v>
      </c>
      <c r="J664" s="1">
        <v>282</v>
      </c>
      <c r="K664" s="1">
        <v>89</v>
      </c>
      <c r="L664" s="1">
        <v>64</v>
      </c>
      <c r="M664" s="1" t="s">
        <v>31</v>
      </c>
      <c r="N664" s="1" t="s">
        <v>32</v>
      </c>
      <c r="O664" s="1" t="s">
        <v>67</v>
      </c>
      <c r="P664" s="2">
        <v>314.61</v>
      </c>
      <c r="Q664" s="1" t="str">
        <f t="shared" si="30"/>
        <v>YES</v>
      </c>
      <c r="R664" s="2">
        <f t="shared" si="31"/>
        <v>404.505</v>
      </c>
      <c r="S664" s="2">
        <f>J664*G664</f>
        <v>126744.9</v>
      </c>
      <c r="T664" s="1">
        <f t="shared" ca="1" si="32"/>
        <v>97</v>
      </c>
      <c r="U664" s="1" t="s">
        <v>34</v>
      </c>
      <c r="V664" s="1" t="s">
        <v>34</v>
      </c>
      <c r="W664" s="1" t="s">
        <v>34</v>
      </c>
      <c r="X664" s="1" t="s">
        <v>2842</v>
      </c>
      <c r="Y664" s="1">
        <v>7</v>
      </c>
    </row>
    <row r="665" spans="1:25" x14ac:dyDescent="0.3">
      <c r="A665" s="1" t="s">
        <v>850</v>
      </c>
      <c r="B665" s="1" t="s">
        <v>77</v>
      </c>
      <c r="C665" s="1" t="s">
        <v>78</v>
      </c>
      <c r="D665" s="1" t="s">
        <v>47</v>
      </c>
      <c r="E665" s="1" t="s">
        <v>40</v>
      </c>
      <c r="F665" s="1" t="s">
        <v>54</v>
      </c>
      <c r="G665" s="2">
        <v>238.25</v>
      </c>
      <c r="H665" s="1">
        <v>21</v>
      </c>
      <c r="I665" s="1">
        <v>218</v>
      </c>
      <c r="J665" s="1">
        <v>184</v>
      </c>
      <c r="K665" s="1">
        <v>92</v>
      </c>
      <c r="L665" s="1">
        <v>145</v>
      </c>
      <c r="M665" s="1" t="s">
        <v>31</v>
      </c>
      <c r="N665" s="1" t="s">
        <v>60</v>
      </c>
      <c r="O665" s="1" t="s">
        <v>254</v>
      </c>
      <c r="P665" s="2">
        <v>166.77</v>
      </c>
      <c r="Q665" s="1" t="str">
        <f t="shared" si="30"/>
        <v>YES</v>
      </c>
      <c r="R665" s="2">
        <f t="shared" si="31"/>
        <v>214.42500000000001</v>
      </c>
      <c r="S665" s="2">
        <f>J665*G665</f>
        <v>43838</v>
      </c>
      <c r="T665" s="1">
        <f t="shared" ca="1" si="32"/>
        <v>145</v>
      </c>
      <c r="U665" s="1" t="s">
        <v>34</v>
      </c>
      <c r="V665" s="1" t="s">
        <v>34</v>
      </c>
      <c r="W665" s="1" t="s">
        <v>34</v>
      </c>
      <c r="X665" s="1" t="s">
        <v>2668</v>
      </c>
      <c r="Y665" s="1">
        <v>7.5</v>
      </c>
    </row>
    <row r="666" spans="1:25" x14ac:dyDescent="0.3">
      <c r="A666" s="1" t="s">
        <v>851</v>
      </c>
      <c r="B666" s="1" t="s">
        <v>95</v>
      </c>
      <c r="C666" s="1" t="s">
        <v>96</v>
      </c>
      <c r="D666" s="1" t="s">
        <v>97</v>
      </c>
      <c r="E666" s="1" t="s">
        <v>29</v>
      </c>
      <c r="F666" s="1" t="s">
        <v>30</v>
      </c>
      <c r="G666" s="2">
        <v>58</v>
      </c>
      <c r="H666" s="1">
        <v>20</v>
      </c>
      <c r="I666" s="1">
        <v>200</v>
      </c>
      <c r="J666" s="1">
        <v>194</v>
      </c>
      <c r="K666" s="1">
        <v>96</v>
      </c>
      <c r="L666" s="1">
        <v>121</v>
      </c>
      <c r="M666" s="1" t="s">
        <v>31</v>
      </c>
      <c r="N666" s="1" t="s">
        <v>42</v>
      </c>
      <c r="O666" s="1" t="s">
        <v>260</v>
      </c>
      <c r="P666" s="2">
        <v>40.6</v>
      </c>
      <c r="Q666" s="1" t="str">
        <f t="shared" si="30"/>
        <v>YES</v>
      </c>
      <c r="R666" s="2">
        <f t="shared" si="31"/>
        <v>52.2</v>
      </c>
      <c r="S666" s="2">
        <f>J666*G666</f>
        <v>11252</v>
      </c>
      <c r="T666" s="1">
        <f t="shared" ca="1" si="32"/>
        <v>70</v>
      </c>
      <c r="U666" s="1" t="s">
        <v>34</v>
      </c>
      <c r="V666" s="1" t="s">
        <v>34</v>
      </c>
      <c r="W666" s="1" t="s">
        <v>34</v>
      </c>
      <c r="X666" s="1" t="s">
        <v>2741</v>
      </c>
      <c r="Y666" s="1">
        <v>8</v>
      </c>
    </row>
    <row r="667" spans="1:25" x14ac:dyDescent="0.3">
      <c r="A667" s="1" t="s">
        <v>852</v>
      </c>
      <c r="B667" s="1" t="s">
        <v>57</v>
      </c>
      <c r="C667" s="1" t="s">
        <v>58</v>
      </c>
      <c r="D667" s="1" t="s">
        <v>59</v>
      </c>
      <c r="E667" s="1" t="s">
        <v>40</v>
      </c>
      <c r="F667" s="1" t="s">
        <v>48</v>
      </c>
      <c r="G667" s="2">
        <v>339.69</v>
      </c>
      <c r="H667" s="1">
        <v>0</v>
      </c>
      <c r="I667" s="1">
        <v>137</v>
      </c>
      <c r="J667" s="1">
        <v>119</v>
      </c>
      <c r="K667" s="1">
        <v>85</v>
      </c>
      <c r="L667" s="1">
        <v>52</v>
      </c>
      <c r="M667" s="1" t="s">
        <v>41</v>
      </c>
      <c r="N667" s="1" t="s">
        <v>32</v>
      </c>
      <c r="O667" s="1" t="s">
        <v>220</v>
      </c>
      <c r="P667" s="2">
        <v>237.78</v>
      </c>
      <c r="Q667" s="1" t="str">
        <f t="shared" si="30"/>
        <v>YES</v>
      </c>
      <c r="R667" s="2">
        <f t="shared" si="31"/>
        <v>305.721</v>
      </c>
      <c r="S667" s="2">
        <f>J667*G667</f>
        <v>40423.11</v>
      </c>
      <c r="T667" s="1">
        <f t="shared" ca="1" si="32"/>
        <v>106</v>
      </c>
      <c r="U667" s="1" t="s">
        <v>34</v>
      </c>
      <c r="V667" s="1" t="s">
        <v>34</v>
      </c>
      <c r="W667" s="1" t="s">
        <v>34</v>
      </c>
      <c r="X667" s="1" t="s">
        <v>2691</v>
      </c>
      <c r="Y667" s="1">
        <v>8.5</v>
      </c>
    </row>
    <row r="668" spans="1:25" x14ac:dyDescent="0.3">
      <c r="A668" s="1" t="s">
        <v>853</v>
      </c>
      <c r="B668" s="1" t="s">
        <v>77</v>
      </c>
      <c r="C668" s="1" t="s">
        <v>78</v>
      </c>
      <c r="D668" s="1" t="s">
        <v>47</v>
      </c>
      <c r="E668" s="1" t="s">
        <v>29</v>
      </c>
      <c r="F668" s="1" t="s">
        <v>30</v>
      </c>
      <c r="G668" s="2">
        <v>474.7</v>
      </c>
      <c r="H668" s="1">
        <v>20</v>
      </c>
      <c r="I668" s="1">
        <v>277</v>
      </c>
      <c r="J668" s="1">
        <v>250</v>
      </c>
      <c r="K668" s="1">
        <v>88</v>
      </c>
      <c r="L668" s="1">
        <v>71</v>
      </c>
      <c r="M668" s="1" t="s">
        <v>49</v>
      </c>
      <c r="N668" s="1" t="s">
        <v>42</v>
      </c>
      <c r="O668" s="1" t="s">
        <v>105</v>
      </c>
      <c r="P668" s="2">
        <v>332.29</v>
      </c>
      <c r="Q668" s="1" t="str">
        <f t="shared" si="30"/>
        <v>YES</v>
      </c>
      <c r="R668" s="2">
        <f t="shared" si="31"/>
        <v>427.23</v>
      </c>
      <c r="S668" s="2">
        <f>J668*G668</f>
        <v>118675</v>
      </c>
      <c r="T668" s="1">
        <f t="shared" ca="1" si="32"/>
        <v>144</v>
      </c>
      <c r="U668" s="1" t="s">
        <v>34</v>
      </c>
      <c r="V668" s="1" t="s">
        <v>34</v>
      </c>
      <c r="W668" s="1" t="s">
        <v>34</v>
      </c>
      <c r="X668" s="1" t="s">
        <v>2520</v>
      </c>
      <c r="Y668" s="1">
        <v>9</v>
      </c>
    </row>
    <row r="669" spans="1:25" x14ac:dyDescent="0.3">
      <c r="A669" s="1" t="s">
        <v>854</v>
      </c>
      <c r="B669" s="1" t="s">
        <v>126</v>
      </c>
      <c r="C669" s="1" t="s">
        <v>127</v>
      </c>
      <c r="D669" s="1" t="s">
        <v>85</v>
      </c>
      <c r="E669" s="1" t="s">
        <v>74</v>
      </c>
      <c r="F669" s="1" t="s">
        <v>30</v>
      </c>
      <c r="G669" s="2">
        <v>286.12</v>
      </c>
      <c r="H669" s="1">
        <v>5</v>
      </c>
      <c r="I669" s="1">
        <v>177</v>
      </c>
      <c r="J669" s="1">
        <v>140</v>
      </c>
      <c r="K669" s="1">
        <v>103</v>
      </c>
      <c r="L669" s="1">
        <v>64</v>
      </c>
      <c r="M669" s="1" t="s">
        <v>31</v>
      </c>
      <c r="N669" s="1" t="s">
        <v>42</v>
      </c>
      <c r="O669" s="1" t="s">
        <v>309</v>
      </c>
      <c r="P669" s="2">
        <v>200.28</v>
      </c>
      <c r="Q669" s="1" t="str">
        <f t="shared" si="30"/>
        <v>YES</v>
      </c>
      <c r="R669" s="2">
        <f t="shared" si="31"/>
        <v>257.50800000000004</v>
      </c>
      <c r="S669" s="2">
        <f>J669*G669</f>
        <v>40056.800000000003</v>
      </c>
      <c r="T669" s="1">
        <f t="shared" ca="1" si="32"/>
        <v>67</v>
      </c>
      <c r="U669" s="1" t="s">
        <v>34</v>
      </c>
      <c r="V669" s="1" t="s">
        <v>34</v>
      </c>
      <c r="W669" s="1" t="s">
        <v>34</v>
      </c>
      <c r="X669" s="1" t="s">
        <v>2843</v>
      </c>
      <c r="Y669" s="1">
        <v>9.5</v>
      </c>
    </row>
    <row r="670" spans="1:25" x14ac:dyDescent="0.3">
      <c r="A670" s="1" t="s">
        <v>855</v>
      </c>
      <c r="B670" s="1" t="s">
        <v>37</v>
      </c>
      <c r="C670" s="1" t="s">
        <v>38</v>
      </c>
      <c r="D670" s="1" t="s">
        <v>39</v>
      </c>
      <c r="E670" s="1" t="s">
        <v>40</v>
      </c>
      <c r="F670" s="1" t="s">
        <v>48</v>
      </c>
      <c r="G670" s="2">
        <v>48.88</v>
      </c>
      <c r="H670" s="1">
        <v>17</v>
      </c>
      <c r="I670" s="1">
        <v>156</v>
      </c>
      <c r="J670" s="1">
        <v>129</v>
      </c>
      <c r="K670" s="1">
        <v>48</v>
      </c>
      <c r="L670" s="1">
        <v>120</v>
      </c>
      <c r="M670" s="1" t="s">
        <v>31</v>
      </c>
      <c r="N670" s="1" t="s">
        <v>60</v>
      </c>
      <c r="O670" s="1" t="s">
        <v>185</v>
      </c>
      <c r="P670" s="2">
        <v>34.22</v>
      </c>
      <c r="Q670" s="1" t="str">
        <f t="shared" si="30"/>
        <v>YES</v>
      </c>
      <c r="R670" s="2">
        <f t="shared" si="31"/>
        <v>43.992000000000004</v>
      </c>
      <c r="S670" s="2">
        <f>J670*G670</f>
        <v>6305.52</v>
      </c>
      <c r="T670" s="1">
        <f t="shared" ca="1" si="32"/>
        <v>104</v>
      </c>
      <c r="U670" s="1" t="s">
        <v>34</v>
      </c>
      <c r="V670" s="1" t="s">
        <v>34</v>
      </c>
      <c r="W670" s="1" t="s">
        <v>34</v>
      </c>
      <c r="X670" s="1" t="s">
        <v>2844</v>
      </c>
      <c r="Y670" s="1">
        <v>5</v>
      </c>
    </row>
    <row r="671" spans="1:25" x14ac:dyDescent="0.3">
      <c r="A671" s="1" t="s">
        <v>856</v>
      </c>
      <c r="B671" s="1" t="s">
        <v>262</v>
      </c>
      <c r="C671" s="1" t="s">
        <v>263</v>
      </c>
      <c r="D671" s="1" t="s">
        <v>104</v>
      </c>
      <c r="E671" s="1" t="s">
        <v>40</v>
      </c>
      <c r="F671" s="1" t="s">
        <v>48</v>
      </c>
      <c r="G671" s="2">
        <v>392.32</v>
      </c>
      <c r="H671" s="1">
        <v>19</v>
      </c>
      <c r="I671" s="1">
        <v>182</v>
      </c>
      <c r="J671" s="1">
        <v>175</v>
      </c>
      <c r="K671" s="1">
        <v>71</v>
      </c>
      <c r="L671" s="1">
        <v>56</v>
      </c>
      <c r="M671" s="1" t="s">
        <v>41</v>
      </c>
      <c r="N671" s="1" t="s">
        <v>32</v>
      </c>
      <c r="O671" s="1" t="s">
        <v>857</v>
      </c>
      <c r="P671" s="2">
        <v>274.62</v>
      </c>
      <c r="Q671" s="1" t="str">
        <f t="shared" si="30"/>
        <v>YES</v>
      </c>
      <c r="R671" s="2">
        <f t="shared" si="31"/>
        <v>353.08800000000002</v>
      </c>
      <c r="S671" s="2">
        <f>J671*G671</f>
        <v>68656</v>
      </c>
      <c r="T671" s="1">
        <f t="shared" ca="1" si="32"/>
        <v>66</v>
      </c>
      <c r="U671" s="1" t="s">
        <v>34</v>
      </c>
      <c r="V671" s="1" t="s">
        <v>34</v>
      </c>
      <c r="W671" s="1" t="s">
        <v>34</v>
      </c>
      <c r="X671" s="1" t="s">
        <v>2580</v>
      </c>
      <c r="Y671" s="1">
        <v>5.5</v>
      </c>
    </row>
    <row r="672" spans="1:25" x14ac:dyDescent="0.3">
      <c r="A672" s="1" t="s">
        <v>858</v>
      </c>
      <c r="B672" s="1" t="s">
        <v>143</v>
      </c>
      <c r="C672" s="1" t="s">
        <v>144</v>
      </c>
      <c r="D672" s="1" t="s">
        <v>47</v>
      </c>
      <c r="E672" s="1" t="s">
        <v>29</v>
      </c>
      <c r="F672" s="1" t="s">
        <v>54</v>
      </c>
      <c r="G672" s="2">
        <v>438.21</v>
      </c>
      <c r="H672" s="1">
        <v>18</v>
      </c>
      <c r="I672" s="1">
        <v>271</v>
      </c>
      <c r="J672" s="1">
        <v>248</v>
      </c>
      <c r="K672" s="1">
        <v>113</v>
      </c>
      <c r="L672" s="1">
        <v>93</v>
      </c>
      <c r="M672" s="1" t="s">
        <v>41</v>
      </c>
      <c r="N672" s="1" t="s">
        <v>32</v>
      </c>
      <c r="O672" s="1" t="s">
        <v>145</v>
      </c>
      <c r="P672" s="2">
        <v>306.75</v>
      </c>
      <c r="Q672" s="1" t="str">
        <f t="shared" si="30"/>
        <v>YES</v>
      </c>
      <c r="R672" s="2">
        <f t="shared" si="31"/>
        <v>394.38900000000001</v>
      </c>
      <c r="S672" s="2">
        <f>J672*G672</f>
        <v>108676.08</v>
      </c>
      <c r="T672" s="1">
        <f t="shared" ca="1" si="32"/>
        <v>68</v>
      </c>
      <c r="U672" s="1" t="s">
        <v>34</v>
      </c>
      <c r="V672" s="1" t="s">
        <v>34</v>
      </c>
      <c r="W672" s="1" t="s">
        <v>34</v>
      </c>
      <c r="X672" s="1" t="s">
        <v>2545</v>
      </c>
      <c r="Y672" s="1">
        <v>6</v>
      </c>
    </row>
    <row r="673" spans="1:25" x14ac:dyDescent="0.3">
      <c r="A673" s="1" t="s">
        <v>859</v>
      </c>
      <c r="B673" s="1" t="s">
        <v>123</v>
      </c>
      <c r="C673" s="1" t="s">
        <v>124</v>
      </c>
      <c r="D673" s="1" t="s">
        <v>47</v>
      </c>
      <c r="E673" s="1" t="s">
        <v>29</v>
      </c>
      <c r="F673" s="1" t="s">
        <v>54</v>
      </c>
      <c r="G673" s="2">
        <v>491.16</v>
      </c>
      <c r="H673" s="1">
        <v>10</v>
      </c>
      <c r="I673" s="1">
        <v>293</v>
      </c>
      <c r="J673" s="1">
        <v>271</v>
      </c>
      <c r="K673" s="1">
        <v>97</v>
      </c>
      <c r="L673" s="1">
        <v>85</v>
      </c>
      <c r="M673" s="1" t="s">
        <v>31</v>
      </c>
      <c r="N673" s="1" t="s">
        <v>32</v>
      </c>
      <c r="O673" s="1" t="s">
        <v>242</v>
      </c>
      <c r="P673" s="2">
        <v>343.81</v>
      </c>
      <c r="Q673" s="1" t="str">
        <f t="shared" si="30"/>
        <v>YES</v>
      </c>
      <c r="R673" s="2">
        <f t="shared" si="31"/>
        <v>442.04400000000004</v>
      </c>
      <c r="S673" s="2">
        <f>J673*G673</f>
        <v>133104.36000000002</v>
      </c>
      <c r="T673" s="1">
        <f t="shared" ca="1" si="32"/>
        <v>105</v>
      </c>
      <c r="U673" s="1" t="s">
        <v>34</v>
      </c>
      <c r="V673" s="1" t="s">
        <v>34</v>
      </c>
      <c r="W673" s="1" t="s">
        <v>34</v>
      </c>
      <c r="X673" s="1" t="s">
        <v>2747</v>
      </c>
      <c r="Y673" s="1">
        <v>6.5</v>
      </c>
    </row>
    <row r="674" spans="1:25" x14ac:dyDescent="0.3">
      <c r="A674" s="1" t="s">
        <v>860</v>
      </c>
      <c r="B674" s="1" t="s">
        <v>176</v>
      </c>
      <c r="C674" s="1" t="s">
        <v>177</v>
      </c>
      <c r="D674" s="1" t="s">
        <v>39</v>
      </c>
      <c r="E674" s="1" t="s">
        <v>29</v>
      </c>
      <c r="F674" s="1" t="s">
        <v>54</v>
      </c>
      <c r="G674" s="2">
        <v>442</v>
      </c>
      <c r="H674" s="1">
        <v>1</v>
      </c>
      <c r="I674" s="1">
        <v>81</v>
      </c>
      <c r="J674" s="1">
        <v>52</v>
      </c>
      <c r="K674" s="1">
        <v>85</v>
      </c>
      <c r="L674" s="1">
        <v>82</v>
      </c>
      <c r="M674" s="1" t="s">
        <v>49</v>
      </c>
      <c r="N674" s="1" t="s">
        <v>42</v>
      </c>
      <c r="O674" s="1" t="s">
        <v>333</v>
      </c>
      <c r="P674" s="2">
        <v>309.39999999999998</v>
      </c>
      <c r="Q674" s="1" t="str">
        <f t="shared" si="30"/>
        <v>NO</v>
      </c>
      <c r="R674" s="2">
        <f t="shared" si="31"/>
        <v>442</v>
      </c>
      <c r="S674" s="2">
        <f>J674*G674</f>
        <v>22984</v>
      </c>
      <c r="T674" s="1">
        <f t="shared" ca="1" si="32"/>
        <v>109</v>
      </c>
      <c r="U674" s="1" t="s">
        <v>34</v>
      </c>
      <c r="V674" s="1" t="s">
        <v>34</v>
      </c>
      <c r="W674" s="1" t="s">
        <v>34</v>
      </c>
      <c r="X674" s="1" t="s">
        <v>2582</v>
      </c>
      <c r="Y674" s="1">
        <v>7</v>
      </c>
    </row>
    <row r="675" spans="1:25" x14ac:dyDescent="0.3">
      <c r="A675" s="1" t="s">
        <v>861</v>
      </c>
      <c r="B675" s="1" t="s">
        <v>126</v>
      </c>
      <c r="C675" s="1" t="s">
        <v>127</v>
      </c>
      <c r="D675" s="1" t="s">
        <v>85</v>
      </c>
      <c r="E675" s="1" t="s">
        <v>40</v>
      </c>
      <c r="F675" s="1" t="s">
        <v>54</v>
      </c>
      <c r="G675" s="2">
        <v>41.42</v>
      </c>
      <c r="H675" s="1">
        <v>22</v>
      </c>
      <c r="I675" s="1">
        <v>230</v>
      </c>
      <c r="J675" s="1">
        <v>216</v>
      </c>
      <c r="K675" s="1">
        <v>55</v>
      </c>
      <c r="L675" s="1">
        <v>127</v>
      </c>
      <c r="M675" s="1" t="s">
        <v>31</v>
      </c>
      <c r="N675" s="1" t="s">
        <v>60</v>
      </c>
      <c r="O675" s="1" t="s">
        <v>150</v>
      </c>
      <c r="P675" s="2">
        <v>28.99</v>
      </c>
      <c r="Q675" s="1" t="str">
        <f t="shared" si="30"/>
        <v>YES</v>
      </c>
      <c r="R675" s="2">
        <f t="shared" si="31"/>
        <v>37.278000000000006</v>
      </c>
      <c r="S675" s="2">
        <f>J675*G675</f>
        <v>8946.7200000000012</v>
      </c>
      <c r="T675" s="1">
        <f t="shared" ca="1" si="32"/>
        <v>116</v>
      </c>
      <c r="U675" s="1" t="s">
        <v>34</v>
      </c>
      <c r="V675" s="1" t="s">
        <v>34</v>
      </c>
      <c r="W675" s="1" t="s">
        <v>34</v>
      </c>
      <c r="X675" s="1" t="s">
        <v>2845</v>
      </c>
      <c r="Y675" s="1">
        <v>7.5</v>
      </c>
    </row>
    <row r="676" spans="1:25" x14ac:dyDescent="0.3">
      <c r="A676" s="1" t="s">
        <v>862</v>
      </c>
      <c r="B676" s="1" t="s">
        <v>63</v>
      </c>
      <c r="C676" s="1" t="s">
        <v>64</v>
      </c>
      <c r="D676" s="1" t="s">
        <v>28</v>
      </c>
      <c r="E676" s="1" t="s">
        <v>29</v>
      </c>
      <c r="F676" s="1" t="s">
        <v>54</v>
      </c>
      <c r="G676" s="2">
        <v>57.84</v>
      </c>
      <c r="H676" s="1">
        <v>14</v>
      </c>
      <c r="I676" s="1">
        <v>81</v>
      </c>
      <c r="J676" s="1">
        <v>74</v>
      </c>
      <c r="K676" s="1">
        <v>43</v>
      </c>
      <c r="L676" s="1">
        <v>111</v>
      </c>
      <c r="M676" s="1" t="s">
        <v>31</v>
      </c>
      <c r="N676" s="1" t="s">
        <v>32</v>
      </c>
      <c r="O676" s="1" t="s">
        <v>187</v>
      </c>
      <c r="P676" s="2">
        <v>40.49</v>
      </c>
      <c r="Q676" s="1" t="str">
        <f t="shared" si="30"/>
        <v>YES</v>
      </c>
      <c r="R676" s="2">
        <f t="shared" si="31"/>
        <v>52.056000000000004</v>
      </c>
      <c r="S676" s="2">
        <f>J676*G676</f>
        <v>4280.16</v>
      </c>
      <c r="T676" s="1">
        <f t="shared" ca="1" si="32"/>
        <v>148</v>
      </c>
      <c r="U676" s="1" t="s">
        <v>34</v>
      </c>
      <c r="V676" s="1" t="s">
        <v>34</v>
      </c>
      <c r="W676" s="1" t="s">
        <v>34</v>
      </c>
      <c r="X676" s="1" t="s">
        <v>2846</v>
      </c>
      <c r="Y676" s="1">
        <v>8</v>
      </c>
    </row>
    <row r="677" spans="1:25" x14ac:dyDescent="0.3">
      <c r="A677" s="1" t="s">
        <v>863</v>
      </c>
      <c r="B677" s="1" t="s">
        <v>63</v>
      </c>
      <c r="C677" s="1" t="s">
        <v>64</v>
      </c>
      <c r="D677" s="1" t="s">
        <v>28</v>
      </c>
      <c r="E677" s="1" t="s">
        <v>74</v>
      </c>
      <c r="F677" s="1" t="s">
        <v>54</v>
      </c>
      <c r="G677" s="2">
        <v>371.2</v>
      </c>
      <c r="H677" s="1">
        <v>5</v>
      </c>
      <c r="I677" s="1">
        <v>280</v>
      </c>
      <c r="J677" s="1">
        <v>259</v>
      </c>
      <c r="K677" s="1">
        <v>65</v>
      </c>
      <c r="L677" s="1">
        <v>101</v>
      </c>
      <c r="M677" s="1" t="s">
        <v>49</v>
      </c>
      <c r="N677" s="1" t="s">
        <v>60</v>
      </c>
      <c r="O677" s="1" t="s">
        <v>153</v>
      </c>
      <c r="P677" s="2">
        <v>259.83999999999997</v>
      </c>
      <c r="Q677" s="1" t="str">
        <f t="shared" si="30"/>
        <v>YES</v>
      </c>
      <c r="R677" s="2">
        <f t="shared" si="31"/>
        <v>334.08</v>
      </c>
      <c r="S677" s="2">
        <f>J677*G677</f>
        <v>96140.800000000003</v>
      </c>
      <c r="T677" s="1">
        <f t="shared" ca="1" si="32"/>
        <v>135</v>
      </c>
      <c r="U677" s="1" t="s">
        <v>34</v>
      </c>
      <c r="V677" s="1" t="s">
        <v>34</v>
      </c>
      <c r="W677" s="1" t="s">
        <v>34</v>
      </c>
      <c r="X677" s="1" t="s">
        <v>2847</v>
      </c>
      <c r="Y677" s="1">
        <v>8.5</v>
      </c>
    </row>
    <row r="678" spans="1:25" x14ac:dyDescent="0.3">
      <c r="A678" s="1" t="s">
        <v>864</v>
      </c>
      <c r="B678" s="1" t="s">
        <v>197</v>
      </c>
      <c r="C678" s="1" t="s">
        <v>198</v>
      </c>
      <c r="D678" s="1" t="s">
        <v>104</v>
      </c>
      <c r="E678" s="1" t="s">
        <v>40</v>
      </c>
      <c r="F678" s="1" t="s">
        <v>48</v>
      </c>
      <c r="G678" s="2">
        <v>376.54</v>
      </c>
      <c r="H678" s="1">
        <v>3</v>
      </c>
      <c r="I678" s="1">
        <v>228</v>
      </c>
      <c r="J678" s="1">
        <v>214</v>
      </c>
      <c r="K678" s="1">
        <v>83</v>
      </c>
      <c r="L678" s="1">
        <v>120</v>
      </c>
      <c r="M678" s="1" t="s">
        <v>31</v>
      </c>
      <c r="N678" s="1" t="s">
        <v>32</v>
      </c>
      <c r="O678" s="1" t="s">
        <v>109</v>
      </c>
      <c r="P678" s="2">
        <v>263.58</v>
      </c>
      <c r="Q678" s="1" t="str">
        <f t="shared" si="30"/>
        <v>YES</v>
      </c>
      <c r="R678" s="2">
        <f t="shared" si="31"/>
        <v>338.88600000000002</v>
      </c>
      <c r="S678" s="2">
        <f>J678*G678</f>
        <v>80579.56</v>
      </c>
      <c r="T678" s="1">
        <f t="shared" ca="1" si="32"/>
        <v>89</v>
      </c>
      <c r="U678" s="1" t="s">
        <v>34</v>
      </c>
      <c r="V678" s="1" t="s">
        <v>34</v>
      </c>
      <c r="W678" s="1" t="s">
        <v>34</v>
      </c>
      <c r="X678" s="1" t="s">
        <v>2727</v>
      </c>
      <c r="Y678" s="1">
        <v>9</v>
      </c>
    </row>
    <row r="679" spans="1:25" x14ac:dyDescent="0.3">
      <c r="A679" s="1" t="s">
        <v>865</v>
      </c>
      <c r="B679" s="1" t="s">
        <v>69</v>
      </c>
      <c r="C679" s="1" t="s">
        <v>70</v>
      </c>
      <c r="D679" s="1" t="s">
        <v>59</v>
      </c>
      <c r="E679" s="1" t="s">
        <v>74</v>
      </c>
      <c r="F679" s="1" t="s">
        <v>48</v>
      </c>
      <c r="G679" s="2">
        <v>267.63</v>
      </c>
      <c r="H679" s="1">
        <v>13</v>
      </c>
      <c r="I679" s="1">
        <v>272</v>
      </c>
      <c r="J679" s="1">
        <v>260</v>
      </c>
      <c r="K679" s="1">
        <v>77</v>
      </c>
      <c r="L679" s="1">
        <v>133</v>
      </c>
      <c r="M679" s="1" t="s">
        <v>49</v>
      </c>
      <c r="N679" s="1" t="s">
        <v>42</v>
      </c>
      <c r="O679" s="1" t="s">
        <v>65</v>
      </c>
      <c r="P679" s="2">
        <v>187.34</v>
      </c>
      <c r="Q679" s="1" t="str">
        <f t="shared" si="30"/>
        <v>YES</v>
      </c>
      <c r="R679" s="2">
        <f t="shared" si="31"/>
        <v>240.86699999999999</v>
      </c>
      <c r="S679" s="2">
        <f>J679*G679</f>
        <v>69583.8</v>
      </c>
      <c r="T679" s="1">
        <f t="shared" ca="1" si="32"/>
        <v>142</v>
      </c>
      <c r="U679" s="1" t="s">
        <v>34</v>
      </c>
      <c r="V679" s="1" t="s">
        <v>34</v>
      </c>
      <c r="W679" s="1" t="s">
        <v>34</v>
      </c>
      <c r="X679" s="1" t="s">
        <v>2541</v>
      </c>
      <c r="Y679" s="1">
        <v>9.5</v>
      </c>
    </row>
    <row r="680" spans="1:25" x14ac:dyDescent="0.3">
      <c r="A680" s="1" t="s">
        <v>866</v>
      </c>
      <c r="B680" s="1" t="s">
        <v>37</v>
      </c>
      <c r="C680" s="1" t="s">
        <v>38</v>
      </c>
      <c r="D680" s="1" t="s">
        <v>39</v>
      </c>
      <c r="E680" s="1" t="s">
        <v>40</v>
      </c>
      <c r="F680" s="1" t="s">
        <v>54</v>
      </c>
      <c r="G680" s="2">
        <v>353.91</v>
      </c>
      <c r="H680" s="1">
        <v>16</v>
      </c>
      <c r="I680" s="1">
        <v>144</v>
      </c>
      <c r="J680" s="1">
        <v>138</v>
      </c>
      <c r="K680" s="1">
        <v>100</v>
      </c>
      <c r="L680" s="1">
        <v>119</v>
      </c>
      <c r="M680" s="1" t="s">
        <v>49</v>
      </c>
      <c r="N680" s="1" t="s">
        <v>42</v>
      </c>
      <c r="O680" s="1" t="s">
        <v>302</v>
      </c>
      <c r="P680" s="2">
        <v>247.74</v>
      </c>
      <c r="Q680" s="1" t="str">
        <f t="shared" si="30"/>
        <v>YES</v>
      </c>
      <c r="R680" s="2">
        <f t="shared" si="31"/>
        <v>318.51900000000001</v>
      </c>
      <c r="S680" s="2">
        <f>J680*G680</f>
        <v>48839.58</v>
      </c>
      <c r="T680" s="1">
        <f t="shared" ca="1" si="32"/>
        <v>133</v>
      </c>
      <c r="U680" s="1" t="s">
        <v>34</v>
      </c>
      <c r="V680" s="1" t="s">
        <v>34</v>
      </c>
      <c r="W680" s="1" t="s">
        <v>34</v>
      </c>
      <c r="X680" s="1" t="s">
        <v>2616</v>
      </c>
      <c r="Y680" s="1">
        <v>5</v>
      </c>
    </row>
    <row r="681" spans="1:25" x14ac:dyDescent="0.3">
      <c r="A681" s="1" t="s">
        <v>867</v>
      </c>
      <c r="B681" s="1" t="s">
        <v>102</v>
      </c>
      <c r="C681" s="1" t="s">
        <v>103</v>
      </c>
      <c r="D681" s="1" t="s">
        <v>104</v>
      </c>
      <c r="E681" s="1" t="s">
        <v>29</v>
      </c>
      <c r="F681" s="1" t="s">
        <v>54</v>
      </c>
      <c r="G681" s="2">
        <v>164.35</v>
      </c>
      <c r="H681" s="1">
        <v>20</v>
      </c>
      <c r="I681" s="1">
        <v>195</v>
      </c>
      <c r="J681" s="1">
        <v>183</v>
      </c>
      <c r="K681" s="1">
        <v>89</v>
      </c>
      <c r="L681" s="1">
        <v>96</v>
      </c>
      <c r="M681" s="1" t="s">
        <v>31</v>
      </c>
      <c r="N681" s="1" t="s">
        <v>42</v>
      </c>
      <c r="O681" s="1" t="s">
        <v>473</v>
      </c>
      <c r="P681" s="2">
        <v>115.04</v>
      </c>
      <c r="Q681" s="1" t="str">
        <f t="shared" si="30"/>
        <v>YES</v>
      </c>
      <c r="R681" s="2">
        <f t="shared" si="31"/>
        <v>147.91499999999999</v>
      </c>
      <c r="S681" s="2">
        <f>J681*G681</f>
        <v>30076.05</v>
      </c>
      <c r="T681" s="1">
        <f t="shared" ca="1" si="32"/>
        <v>146</v>
      </c>
      <c r="U681" s="1" t="s">
        <v>34</v>
      </c>
      <c r="V681" s="1" t="s">
        <v>34</v>
      </c>
      <c r="W681" s="1" t="s">
        <v>34</v>
      </c>
      <c r="X681" s="1" t="s">
        <v>2641</v>
      </c>
      <c r="Y681" s="1">
        <v>5.5</v>
      </c>
    </row>
    <row r="682" spans="1:25" x14ac:dyDescent="0.3">
      <c r="A682" s="1" t="s">
        <v>868</v>
      </c>
      <c r="B682" s="1" t="s">
        <v>102</v>
      </c>
      <c r="C682" s="1" t="s">
        <v>103</v>
      </c>
      <c r="D682" s="1" t="s">
        <v>104</v>
      </c>
      <c r="E682" s="1" t="s">
        <v>74</v>
      </c>
      <c r="F682" s="1" t="s">
        <v>54</v>
      </c>
      <c r="G682" s="2">
        <v>218.43</v>
      </c>
      <c r="H682" s="1">
        <v>20</v>
      </c>
      <c r="I682" s="1">
        <v>290</v>
      </c>
      <c r="J682" s="1">
        <v>270</v>
      </c>
      <c r="K682" s="1">
        <v>81</v>
      </c>
      <c r="L682" s="1">
        <v>96</v>
      </c>
      <c r="M682" s="1" t="s">
        <v>49</v>
      </c>
      <c r="N682" s="1" t="s">
        <v>42</v>
      </c>
      <c r="O682" s="1" t="s">
        <v>98</v>
      </c>
      <c r="P682" s="2">
        <v>152.9</v>
      </c>
      <c r="Q682" s="1" t="str">
        <f t="shared" si="30"/>
        <v>YES</v>
      </c>
      <c r="R682" s="2">
        <f t="shared" si="31"/>
        <v>196.58700000000002</v>
      </c>
      <c r="S682" s="2">
        <f>J682*G682</f>
        <v>58976.1</v>
      </c>
      <c r="T682" s="1">
        <f t="shared" ca="1" si="32"/>
        <v>96</v>
      </c>
      <c r="U682" s="1" t="s">
        <v>34</v>
      </c>
      <c r="V682" s="1" t="s">
        <v>34</v>
      </c>
      <c r="W682" s="1" t="s">
        <v>34</v>
      </c>
      <c r="X682" s="1" t="s">
        <v>2848</v>
      </c>
      <c r="Y682" s="1">
        <v>6</v>
      </c>
    </row>
    <row r="683" spans="1:25" x14ac:dyDescent="0.3">
      <c r="A683" s="1" t="s">
        <v>869</v>
      </c>
      <c r="B683" s="1" t="s">
        <v>126</v>
      </c>
      <c r="C683" s="1" t="s">
        <v>127</v>
      </c>
      <c r="D683" s="1" t="s">
        <v>85</v>
      </c>
      <c r="E683" s="1" t="s">
        <v>74</v>
      </c>
      <c r="F683" s="1" t="s">
        <v>30</v>
      </c>
      <c r="G683" s="2">
        <v>313.02999999999997</v>
      </c>
      <c r="H683" s="1">
        <v>3</v>
      </c>
      <c r="I683" s="1">
        <v>297</v>
      </c>
      <c r="J683" s="1">
        <v>260</v>
      </c>
      <c r="K683" s="1">
        <v>59</v>
      </c>
      <c r="L683" s="1">
        <v>111</v>
      </c>
      <c r="M683" s="1" t="s">
        <v>31</v>
      </c>
      <c r="N683" s="1" t="s">
        <v>32</v>
      </c>
      <c r="O683" s="1" t="s">
        <v>35</v>
      </c>
      <c r="P683" s="2">
        <v>219.12</v>
      </c>
      <c r="Q683" s="1" t="str">
        <f t="shared" si="30"/>
        <v>YES</v>
      </c>
      <c r="R683" s="2">
        <f t="shared" si="31"/>
        <v>281.72699999999998</v>
      </c>
      <c r="S683" s="2">
        <f>J683*G683</f>
        <v>81387.799999999988</v>
      </c>
      <c r="T683" s="1">
        <f t="shared" ca="1" si="32"/>
        <v>85</v>
      </c>
      <c r="U683" s="1" t="s">
        <v>34</v>
      </c>
      <c r="V683" s="1" t="s">
        <v>34</v>
      </c>
      <c r="W683" s="1" t="s">
        <v>34</v>
      </c>
      <c r="X683" s="1" t="s">
        <v>2849</v>
      </c>
      <c r="Y683" s="1">
        <v>6.5</v>
      </c>
    </row>
    <row r="684" spans="1:25" x14ac:dyDescent="0.3">
      <c r="A684" s="1" t="s">
        <v>870</v>
      </c>
      <c r="B684" s="1" t="s">
        <v>123</v>
      </c>
      <c r="C684" s="1" t="s">
        <v>124</v>
      </c>
      <c r="D684" s="1" t="s">
        <v>47</v>
      </c>
      <c r="E684" s="1" t="s">
        <v>74</v>
      </c>
      <c r="F684" s="1" t="s">
        <v>30</v>
      </c>
      <c r="G684" s="2">
        <v>220.42</v>
      </c>
      <c r="H684" s="1">
        <v>2</v>
      </c>
      <c r="I684" s="1">
        <v>166</v>
      </c>
      <c r="J684" s="1">
        <v>141</v>
      </c>
      <c r="K684" s="1">
        <v>117</v>
      </c>
      <c r="L684" s="1">
        <v>55</v>
      </c>
      <c r="M684" s="1" t="s">
        <v>31</v>
      </c>
      <c r="N684" s="1" t="s">
        <v>32</v>
      </c>
      <c r="O684" s="1" t="s">
        <v>209</v>
      </c>
      <c r="P684" s="2">
        <v>154.29</v>
      </c>
      <c r="Q684" s="1" t="str">
        <f t="shared" si="30"/>
        <v>YES</v>
      </c>
      <c r="R684" s="2">
        <f t="shared" si="31"/>
        <v>198.37799999999999</v>
      </c>
      <c r="S684" s="2">
        <f>J684*G684</f>
        <v>31079.219999999998</v>
      </c>
      <c r="T684" s="1">
        <f t="shared" ca="1" si="32"/>
        <v>127</v>
      </c>
      <c r="U684" s="1" t="s">
        <v>34</v>
      </c>
      <c r="V684" s="1" t="s">
        <v>34</v>
      </c>
      <c r="W684" s="1" t="s">
        <v>34</v>
      </c>
      <c r="X684" s="1" t="s">
        <v>2850</v>
      </c>
      <c r="Y684" s="1">
        <v>7</v>
      </c>
    </row>
    <row r="685" spans="1:25" x14ac:dyDescent="0.3">
      <c r="A685" s="1" t="s">
        <v>871</v>
      </c>
      <c r="B685" s="1" t="s">
        <v>57</v>
      </c>
      <c r="C685" s="1" t="s">
        <v>58</v>
      </c>
      <c r="D685" s="1" t="s">
        <v>59</v>
      </c>
      <c r="E685" s="1" t="s">
        <v>29</v>
      </c>
      <c r="F685" s="1" t="s">
        <v>30</v>
      </c>
      <c r="G685" s="2">
        <v>198.69</v>
      </c>
      <c r="H685" s="1">
        <v>14</v>
      </c>
      <c r="I685" s="1">
        <v>283</v>
      </c>
      <c r="J685" s="1">
        <v>277</v>
      </c>
      <c r="K685" s="1">
        <v>118</v>
      </c>
      <c r="L685" s="1">
        <v>134</v>
      </c>
      <c r="M685" s="1" t="s">
        <v>31</v>
      </c>
      <c r="N685" s="1" t="s">
        <v>42</v>
      </c>
      <c r="O685" s="1" t="s">
        <v>260</v>
      </c>
      <c r="P685" s="2">
        <v>139.08000000000001</v>
      </c>
      <c r="Q685" s="1" t="str">
        <f t="shared" si="30"/>
        <v>YES</v>
      </c>
      <c r="R685" s="2">
        <f t="shared" si="31"/>
        <v>178.821</v>
      </c>
      <c r="S685" s="2">
        <f>J685*G685</f>
        <v>55037.13</v>
      </c>
      <c r="T685" s="1">
        <f t="shared" ca="1" si="32"/>
        <v>70</v>
      </c>
      <c r="U685" s="1" t="s">
        <v>34</v>
      </c>
      <c r="V685" s="1" t="s">
        <v>34</v>
      </c>
      <c r="W685" s="1" t="s">
        <v>34</v>
      </c>
      <c r="X685" s="1" t="s">
        <v>2633</v>
      </c>
      <c r="Y685" s="1">
        <v>7.5</v>
      </c>
    </row>
    <row r="686" spans="1:25" x14ac:dyDescent="0.3">
      <c r="A686" s="1" t="s">
        <v>872</v>
      </c>
      <c r="B686" s="1" t="s">
        <v>118</v>
      </c>
      <c r="C686" s="1" t="s">
        <v>119</v>
      </c>
      <c r="D686" s="1" t="s">
        <v>97</v>
      </c>
      <c r="E686" s="1" t="s">
        <v>74</v>
      </c>
      <c r="F686" s="1" t="s">
        <v>48</v>
      </c>
      <c r="G686" s="2">
        <v>265.74</v>
      </c>
      <c r="H686" s="1">
        <v>25</v>
      </c>
      <c r="I686" s="1">
        <v>180</v>
      </c>
      <c r="J686" s="1">
        <v>180</v>
      </c>
      <c r="K686" s="1">
        <v>86</v>
      </c>
      <c r="L686" s="1">
        <v>102</v>
      </c>
      <c r="M686" s="1" t="s">
        <v>49</v>
      </c>
      <c r="N686" s="1" t="s">
        <v>60</v>
      </c>
      <c r="O686" s="1" t="s">
        <v>159</v>
      </c>
      <c r="P686" s="2">
        <v>186.02</v>
      </c>
      <c r="Q686" s="1" t="str">
        <f t="shared" si="30"/>
        <v>YES</v>
      </c>
      <c r="R686" s="2">
        <f t="shared" si="31"/>
        <v>239.16600000000003</v>
      </c>
      <c r="S686" s="2">
        <f>J686*G686</f>
        <v>47833.200000000004</v>
      </c>
      <c r="T686" s="1">
        <f t="shared" ca="1" si="32"/>
        <v>134</v>
      </c>
      <c r="U686" s="1" t="s">
        <v>34</v>
      </c>
      <c r="V686" s="1" t="s">
        <v>34</v>
      </c>
      <c r="W686" s="1" t="s">
        <v>34</v>
      </c>
      <c r="X686" s="1" t="s">
        <v>2635</v>
      </c>
      <c r="Y686" s="1">
        <v>8</v>
      </c>
    </row>
    <row r="687" spans="1:25" x14ac:dyDescent="0.3">
      <c r="A687" s="1" t="s">
        <v>873</v>
      </c>
      <c r="B687" s="1" t="s">
        <v>69</v>
      </c>
      <c r="C687" s="1" t="s">
        <v>70</v>
      </c>
      <c r="D687" s="1" t="s">
        <v>59</v>
      </c>
      <c r="E687" s="1" t="s">
        <v>74</v>
      </c>
      <c r="F687" s="1" t="s">
        <v>30</v>
      </c>
      <c r="G687" s="2">
        <v>211.97</v>
      </c>
      <c r="H687" s="1">
        <v>0</v>
      </c>
      <c r="I687" s="1">
        <v>91</v>
      </c>
      <c r="J687" s="1">
        <v>85</v>
      </c>
      <c r="K687" s="1">
        <v>120</v>
      </c>
      <c r="L687" s="1">
        <v>144</v>
      </c>
      <c r="M687" s="1" t="s">
        <v>41</v>
      </c>
      <c r="N687" s="1" t="s">
        <v>60</v>
      </c>
      <c r="O687" s="1" t="s">
        <v>35</v>
      </c>
      <c r="P687" s="2">
        <v>148.38</v>
      </c>
      <c r="Q687" s="1" t="str">
        <f t="shared" si="30"/>
        <v>NO</v>
      </c>
      <c r="R687" s="2">
        <f t="shared" si="31"/>
        <v>211.97</v>
      </c>
      <c r="S687" s="2">
        <f>J687*G687</f>
        <v>18017.45</v>
      </c>
      <c r="T687" s="1">
        <f t="shared" ca="1" si="32"/>
        <v>85</v>
      </c>
      <c r="U687" s="1" t="s">
        <v>34</v>
      </c>
      <c r="V687" s="1" t="s">
        <v>34</v>
      </c>
      <c r="W687" s="1" t="s">
        <v>34</v>
      </c>
      <c r="X687" s="1" t="s">
        <v>2790</v>
      </c>
      <c r="Y687" s="1">
        <v>8.5</v>
      </c>
    </row>
    <row r="688" spans="1:25" x14ac:dyDescent="0.3">
      <c r="A688" s="1" t="s">
        <v>874</v>
      </c>
      <c r="B688" s="1" t="s">
        <v>77</v>
      </c>
      <c r="C688" s="1" t="s">
        <v>78</v>
      </c>
      <c r="D688" s="1" t="s">
        <v>47</v>
      </c>
      <c r="E688" s="1" t="s">
        <v>29</v>
      </c>
      <c r="F688" s="1" t="s">
        <v>54</v>
      </c>
      <c r="G688" s="2">
        <v>193.05</v>
      </c>
      <c r="H688" s="1">
        <v>4</v>
      </c>
      <c r="I688" s="1">
        <v>163</v>
      </c>
      <c r="J688" s="1">
        <v>137</v>
      </c>
      <c r="K688" s="1">
        <v>118</v>
      </c>
      <c r="L688" s="1">
        <v>117</v>
      </c>
      <c r="M688" s="1" t="s">
        <v>31</v>
      </c>
      <c r="N688" s="1" t="s">
        <v>60</v>
      </c>
      <c r="O688" s="1" t="s">
        <v>203</v>
      </c>
      <c r="P688" s="2">
        <v>135.13</v>
      </c>
      <c r="Q688" s="1" t="str">
        <f t="shared" si="30"/>
        <v>YES</v>
      </c>
      <c r="R688" s="2">
        <f t="shared" si="31"/>
        <v>173.745</v>
      </c>
      <c r="S688" s="2">
        <f>J688*G688</f>
        <v>26447.850000000002</v>
      </c>
      <c r="T688" s="1">
        <f t="shared" ca="1" si="32"/>
        <v>102</v>
      </c>
      <c r="U688" s="1" t="s">
        <v>34</v>
      </c>
      <c r="V688" s="1" t="s">
        <v>34</v>
      </c>
      <c r="W688" s="1" t="s">
        <v>34</v>
      </c>
      <c r="X688" s="1" t="s">
        <v>2601</v>
      </c>
      <c r="Y688" s="1">
        <v>9</v>
      </c>
    </row>
    <row r="689" spans="1:25" x14ac:dyDescent="0.3">
      <c r="A689" s="1" t="s">
        <v>875</v>
      </c>
      <c r="B689" s="1" t="s">
        <v>72</v>
      </c>
      <c r="C689" s="1" t="s">
        <v>73</v>
      </c>
      <c r="D689" s="1" t="s">
        <v>47</v>
      </c>
      <c r="E689" s="1" t="s">
        <v>74</v>
      </c>
      <c r="F689" s="1" t="s">
        <v>30</v>
      </c>
      <c r="G689" s="2">
        <v>110.63</v>
      </c>
      <c r="H689" s="1">
        <v>3</v>
      </c>
      <c r="I689" s="1">
        <v>244</v>
      </c>
      <c r="J689" s="1">
        <v>242</v>
      </c>
      <c r="K689" s="1">
        <v>119</v>
      </c>
      <c r="L689" s="1">
        <v>124</v>
      </c>
      <c r="M689" s="1" t="s">
        <v>49</v>
      </c>
      <c r="N689" s="1" t="s">
        <v>32</v>
      </c>
      <c r="O689" s="1" t="s">
        <v>205</v>
      </c>
      <c r="P689" s="2">
        <v>77.44</v>
      </c>
      <c r="Q689" s="1" t="str">
        <f t="shared" si="30"/>
        <v>YES</v>
      </c>
      <c r="R689" s="2">
        <f t="shared" si="31"/>
        <v>99.566999999999993</v>
      </c>
      <c r="S689" s="2">
        <f>J689*G689</f>
        <v>26772.46</v>
      </c>
      <c r="T689" s="1">
        <f t="shared" ca="1" si="32"/>
        <v>74</v>
      </c>
      <c r="U689" s="1" t="s">
        <v>34</v>
      </c>
      <c r="V689" s="1" t="s">
        <v>34</v>
      </c>
      <c r="W689" s="1" t="s">
        <v>34</v>
      </c>
      <c r="X689" s="1" t="s">
        <v>2834</v>
      </c>
      <c r="Y689" s="1">
        <v>9.5</v>
      </c>
    </row>
    <row r="690" spans="1:25" x14ac:dyDescent="0.3">
      <c r="A690" s="1" t="s">
        <v>876</v>
      </c>
      <c r="B690" s="1" t="s">
        <v>95</v>
      </c>
      <c r="C690" s="1" t="s">
        <v>96</v>
      </c>
      <c r="D690" s="1" t="s">
        <v>97</v>
      </c>
      <c r="E690" s="1" t="s">
        <v>29</v>
      </c>
      <c r="F690" s="1" t="s">
        <v>54</v>
      </c>
      <c r="G690" s="2">
        <v>242.61</v>
      </c>
      <c r="H690" s="1">
        <v>3</v>
      </c>
      <c r="I690" s="1">
        <v>210</v>
      </c>
      <c r="J690" s="1">
        <v>205</v>
      </c>
      <c r="K690" s="1">
        <v>50</v>
      </c>
      <c r="L690" s="1">
        <v>71</v>
      </c>
      <c r="M690" s="1" t="s">
        <v>49</v>
      </c>
      <c r="N690" s="1" t="s">
        <v>32</v>
      </c>
      <c r="O690" s="1" t="s">
        <v>287</v>
      </c>
      <c r="P690" s="2">
        <v>169.83</v>
      </c>
      <c r="Q690" s="1" t="str">
        <f t="shared" si="30"/>
        <v>YES</v>
      </c>
      <c r="R690" s="2">
        <f t="shared" si="31"/>
        <v>218.34900000000002</v>
      </c>
      <c r="S690" s="2">
        <f>J690*G690</f>
        <v>49735.05</v>
      </c>
      <c r="T690" s="1">
        <f t="shared" ca="1" si="32"/>
        <v>143</v>
      </c>
      <c r="U690" s="1" t="s">
        <v>34</v>
      </c>
      <c r="V690" s="1" t="s">
        <v>34</v>
      </c>
      <c r="W690" s="1" t="s">
        <v>34</v>
      </c>
      <c r="X690" s="1" t="s">
        <v>2851</v>
      </c>
      <c r="Y690" s="1">
        <v>5</v>
      </c>
    </row>
    <row r="691" spans="1:25" x14ac:dyDescent="0.3">
      <c r="A691" s="1" t="s">
        <v>877</v>
      </c>
      <c r="B691" s="1" t="s">
        <v>63</v>
      </c>
      <c r="C691" s="1" t="s">
        <v>64</v>
      </c>
      <c r="D691" s="1" t="s">
        <v>28</v>
      </c>
      <c r="E691" s="1" t="s">
        <v>40</v>
      </c>
      <c r="F691" s="1" t="s">
        <v>48</v>
      </c>
      <c r="G691" s="2">
        <v>405.08</v>
      </c>
      <c r="H691" s="1">
        <v>25</v>
      </c>
      <c r="I691" s="1">
        <v>100</v>
      </c>
      <c r="J691" s="1">
        <v>64</v>
      </c>
      <c r="K691" s="1">
        <v>66</v>
      </c>
      <c r="L691" s="1">
        <v>98</v>
      </c>
      <c r="M691" s="1" t="s">
        <v>31</v>
      </c>
      <c r="N691" s="1" t="s">
        <v>60</v>
      </c>
      <c r="O691" s="1" t="s">
        <v>150</v>
      </c>
      <c r="P691" s="2">
        <v>283.56</v>
      </c>
      <c r="Q691" s="1" t="str">
        <f t="shared" si="30"/>
        <v>NO</v>
      </c>
      <c r="R691" s="2">
        <f t="shared" si="31"/>
        <v>405.08</v>
      </c>
      <c r="S691" s="2">
        <f>J691*G691</f>
        <v>25925.119999999999</v>
      </c>
      <c r="T691" s="1">
        <f t="shared" ca="1" si="32"/>
        <v>116</v>
      </c>
      <c r="U691" s="1" t="s">
        <v>34</v>
      </c>
      <c r="V691" s="1" t="s">
        <v>34</v>
      </c>
      <c r="W691" s="1" t="s">
        <v>34</v>
      </c>
      <c r="X691" s="1" t="s">
        <v>2628</v>
      </c>
      <c r="Y691" s="1">
        <v>5.5</v>
      </c>
    </row>
    <row r="692" spans="1:25" x14ac:dyDescent="0.3">
      <c r="A692" s="1" t="s">
        <v>878</v>
      </c>
      <c r="B692" s="1" t="s">
        <v>95</v>
      </c>
      <c r="C692" s="1" t="s">
        <v>96</v>
      </c>
      <c r="D692" s="1" t="s">
        <v>97</v>
      </c>
      <c r="E692" s="1" t="s">
        <v>29</v>
      </c>
      <c r="F692" s="1" t="s">
        <v>54</v>
      </c>
      <c r="G692" s="2">
        <v>126.83</v>
      </c>
      <c r="H692" s="1">
        <v>8</v>
      </c>
      <c r="I692" s="1">
        <v>95</v>
      </c>
      <c r="J692" s="1">
        <v>84</v>
      </c>
      <c r="K692" s="1">
        <v>69</v>
      </c>
      <c r="L692" s="1">
        <v>88</v>
      </c>
      <c r="M692" s="1" t="s">
        <v>31</v>
      </c>
      <c r="N692" s="1" t="s">
        <v>32</v>
      </c>
      <c r="O692" s="1" t="s">
        <v>254</v>
      </c>
      <c r="P692" s="2">
        <v>88.78</v>
      </c>
      <c r="Q692" s="1" t="str">
        <f t="shared" si="30"/>
        <v>YES</v>
      </c>
      <c r="R692" s="2">
        <f t="shared" si="31"/>
        <v>114.14700000000001</v>
      </c>
      <c r="S692" s="2">
        <f>J692*G692</f>
        <v>10653.72</v>
      </c>
      <c r="T692" s="1">
        <f t="shared" ca="1" si="32"/>
        <v>145</v>
      </c>
      <c r="U692" s="1" t="s">
        <v>34</v>
      </c>
      <c r="V692" s="1" t="s">
        <v>34</v>
      </c>
      <c r="W692" s="1" t="s">
        <v>34</v>
      </c>
      <c r="X692" s="1" t="s">
        <v>2517</v>
      </c>
      <c r="Y692" s="1">
        <v>6</v>
      </c>
    </row>
    <row r="693" spans="1:25" x14ac:dyDescent="0.3">
      <c r="A693" s="1" t="s">
        <v>879</v>
      </c>
      <c r="B693" s="1" t="s">
        <v>197</v>
      </c>
      <c r="C693" s="1" t="s">
        <v>198</v>
      </c>
      <c r="D693" s="1" t="s">
        <v>104</v>
      </c>
      <c r="E693" s="1" t="s">
        <v>40</v>
      </c>
      <c r="F693" s="1" t="s">
        <v>30</v>
      </c>
      <c r="G693" s="2">
        <v>469.69</v>
      </c>
      <c r="H693" s="1">
        <v>7</v>
      </c>
      <c r="I693" s="1">
        <v>292</v>
      </c>
      <c r="J693" s="1">
        <v>282</v>
      </c>
      <c r="K693" s="1">
        <v>68</v>
      </c>
      <c r="L693" s="1">
        <v>78</v>
      </c>
      <c r="M693" s="1" t="s">
        <v>49</v>
      </c>
      <c r="N693" s="1" t="s">
        <v>42</v>
      </c>
      <c r="O693" s="1" t="s">
        <v>292</v>
      </c>
      <c r="P693" s="2">
        <v>328.78</v>
      </c>
      <c r="Q693" s="1" t="str">
        <f t="shared" si="30"/>
        <v>YES</v>
      </c>
      <c r="R693" s="2">
        <f t="shared" si="31"/>
        <v>422.721</v>
      </c>
      <c r="S693" s="2">
        <f>J693*G693</f>
        <v>132452.57999999999</v>
      </c>
      <c r="T693" s="1">
        <f t="shared" ca="1" si="32"/>
        <v>83</v>
      </c>
      <c r="U693" s="1" t="s">
        <v>34</v>
      </c>
      <c r="V693" s="1" t="s">
        <v>34</v>
      </c>
      <c r="W693" s="1" t="s">
        <v>34</v>
      </c>
      <c r="X693" s="1" t="s">
        <v>2852</v>
      </c>
      <c r="Y693" s="1">
        <v>6.5</v>
      </c>
    </row>
    <row r="694" spans="1:25" x14ac:dyDescent="0.3">
      <c r="A694" s="1" t="s">
        <v>880</v>
      </c>
      <c r="B694" s="1" t="s">
        <v>262</v>
      </c>
      <c r="C694" s="1" t="s">
        <v>263</v>
      </c>
      <c r="D694" s="1" t="s">
        <v>104</v>
      </c>
      <c r="E694" s="1" t="s">
        <v>40</v>
      </c>
      <c r="F694" s="1" t="s">
        <v>54</v>
      </c>
      <c r="G694" s="2">
        <v>341.69</v>
      </c>
      <c r="H694" s="1">
        <v>14</v>
      </c>
      <c r="I694" s="1">
        <v>258</v>
      </c>
      <c r="J694" s="1">
        <v>257</v>
      </c>
      <c r="K694" s="1">
        <v>84</v>
      </c>
      <c r="L694" s="1">
        <v>132</v>
      </c>
      <c r="M694" s="1" t="s">
        <v>49</v>
      </c>
      <c r="N694" s="1" t="s">
        <v>32</v>
      </c>
      <c r="O694" s="1" t="s">
        <v>133</v>
      </c>
      <c r="P694" s="2">
        <v>239.18</v>
      </c>
      <c r="Q694" s="1" t="str">
        <f t="shared" si="30"/>
        <v>YES</v>
      </c>
      <c r="R694" s="2">
        <f t="shared" si="31"/>
        <v>307.52100000000002</v>
      </c>
      <c r="S694" s="2">
        <f>J694*G694</f>
        <v>87814.33</v>
      </c>
      <c r="T694" s="1">
        <f t="shared" ca="1" si="32"/>
        <v>76</v>
      </c>
      <c r="U694" s="1" t="s">
        <v>34</v>
      </c>
      <c r="V694" s="1" t="s">
        <v>34</v>
      </c>
      <c r="W694" s="1" t="s">
        <v>34</v>
      </c>
      <c r="X694" s="1" t="s">
        <v>2702</v>
      </c>
      <c r="Y694" s="1">
        <v>7</v>
      </c>
    </row>
    <row r="695" spans="1:25" x14ac:dyDescent="0.3">
      <c r="A695" s="1" t="s">
        <v>881</v>
      </c>
      <c r="B695" s="1" t="s">
        <v>45</v>
      </c>
      <c r="C695" s="1" t="s">
        <v>46</v>
      </c>
      <c r="D695" s="1" t="s">
        <v>47</v>
      </c>
      <c r="E695" s="1" t="s">
        <v>29</v>
      </c>
      <c r="F695" s="1" t="s">
        <v>30</v>
      </c>
      <c r="G695" s="2">
        <v>282.10000000000002</v>
      </c>
      <c r="H695" s="1">
        <v>25</v>
      </c>
      <c r="I695" s="1">
        <v>230</v>
      </c>
      <c r="J695" s="1">
        <v>220</v>
      </c>
      <c r="K695" s="1">
        <v>103</v>
      </c>
      <c r="L695" s="1">
        <v>110</v>
      </c>
      <c r="M695" s="1" t="s">
        <v>31</v>
      </c>
      <c r="N695" s="1" t="s">
        <v>32</v>
      </c>
      <c r="O695" s="1" t="s">
        <v>159</v>
      </c>
      <c r="P695" s="2">
        <v>197.47</v>
      </c>
      <c r="Q695" s="1" t="str">
        <f t="shared" si="30"/>
        <v>YES</v>
      </c>
      <c r="R695" s="2">
        <f t="shared" si="31"/>
        <v>253.89000000000001</v>
      </c>
      <c r="S695" s="2">
        <f>J695*G695</f>
        <v>62062.000000000007</v>
      </c>
      <c r="T695" s="1">
        <f t="shared" ca="1" si="32"/>
        <v>134</v>
      </c>
      <c r="U695" s="1" t="s">
        <v>34</v>
      </c>
      <c r="V695" s="1" t="s">
        <v>34</v>
      </c>
      <c r="W695" s="1" t="s">
        <v>34</v>
      </c>
      <c r="X695" s="1" t="s">
        <v>2755</v>
      </c>
      <c r="Y695" s="1">
        <v>7.5</v>
      </c>
    </row>
    <row r="696" spans="1:25" x14ac:dyDescent="0.3">
      <c r="A696" s="1" t="s">
        <v>882</v>
      </c>
      <c r="B696" s="1" t="s">
        <v>37</v>
      </c>
      <c r="C696" s="1" t="s">
        <v>38</v>
      </c>
      <c r="D696" s="1" t="s">
        <v>39</v>
      </c>
      <c r="E696" s="1" t="s">
        <v>29</v>
      </c>
      <c r="F696" s="1" t="s">
        <v>54</v>
      </c>
      <c r="G696" s="2">
        <v>392.06</v>
      </c>
      <c r="H696" s="1">
        <v>21</v>
      </c>
      <c r="I696" s="1">
        <v>84</v>
      </c>
      <c r="J696" s="1">
        <v>48</v>
      </c>
      <c r="K696" s="1">
        <v>98</v>
      </c>
      <c r="L696" s="1">
        <v>81</v>
      </c>
      <c r="M696" s="1" t="s">
        <v>31</v>
      </c>
      <c r="N696" s="1" t="s">
        <v>32</v>
      </c>
      <c r="O696" s="1" t="s">
        <v>128</v>
      </c>
      <c r="P696" s="2">
        <v>274.44</v>
      </c>
      <c r="Q696" s="1" t="str">
        <f t="shared" si="30"/>
        <v>NO</v>
      </c>
      <c r="R696" s="2">
        <f t="shared" si="31"/>
        <v>392.06</v>
      </c>
      <c r="S696" s="2">
        <f>J696*G696</f>
        <v>18818.88</v>
      </c>
      <c r="T696" s="1">
        <f t="shared" ca="1" si="32"/>
        <v>77</v>
      </c>
      <c r="U696" s="1" t="s">
        <v>34</v>
      </c>
      <c r="V696" s="1" t="s">
        <v>34</v>
      </c>
      <c r="W696" s="1" t="s">
        <v>34</v>
      </c>
      <c r="X696" s="1" t="s">
        <v>2853</v>
      </c>
      <c r="Y696" s="1">
        <v>8</v>
      </c>
    </row>
    <row r="697" spans="1:25" x14ac:dyDescent="0.3">
      <c r="A697" s="1" t="s">
        <v>883</v>
      </c>
      <c r="B697" s="1" t="s">
        <v>192</v>
      </c>
      <c r="C697" s="1" t="s">
        <v>193</v>
      </c>
      <c r="D697" s="1" t="s">
        <v>85</v>
      </c>
      <c r="E697" s="1" t="s">
        <v>40</v>
      </c>
      <c r="F697" s="1" t="s">
        <v>48</v>
      </c>
      <c r="G697" s="2">
        <v>316.5</v>
      </c>
      <c r="H697" s="1">
        <v>8</v>
      </c>
      <c r="I697" s="1">
        <v>124</v>
      </c>
      <c r="J697" s="1">
        <v>86</v>
      </c>
      <c r="K697" s="1">
        <v>95</v>
      </c>
      <c r="L697" s="1">
        <v>86</v>
      </c>
      <c r="M697" s="1" t="s">
        <v>49</v>
      </c>
      <c r="N697" s="1" t="s">
        <v>32</v>
      </c>
      <c r="O697" s="1" t="s">
        <v>90</v>
      </c>
      <c r="P697" s="2">
        <v>221.55</v>
      </c>
      <c r="Q697" s="1" t="str">
        <f t="shared" si="30"/>
        <v>NO</v>
      </c>
      <c r="R697" s="2">
        <f t="shared" si="31"/>
        <v>316.5</v>
      </c>
      <c r="S697" s="2">
        <f>J697*G697</f>
        <v>27219</v>
      </c>
      <c r="T697" s="1">
        <f t="shared" ca="1" si="32"/>
        <v>94</v>
      </c>
      <c r="U697" s="1" t="s">
        <v>34</v>
      </c>
      <c r="V697" s="1" t="s">
        <v>34</v>
      </c>
      <c r="W697" s="1" t="s">
        <v>34</v>
      </c>
      <c r="X697" s="1" t="s">
        <v>2699</v>
      </c>
      <c r="Y697" s="1">
        <v>8.5</v>
      </c>
    </row>
    <row r="698" spans="1:25" x14ac:dyDescent="0.3">
      <c r="A698" s="1" t="s">
        <v>884</v>
      </c>
      <c r="B698" s="1" t="s">
        <v>192</v>
      </c>
      <c r="C698" s="1" t="s">
        <v>193</v>
      </c>
      <c r="D698" s="1" t="s">
        <v>85</v>
      </c>
      <c r="E698" s="1" t="s">
        <v>29</v>
      </c>
      <c r="F698" s="1" t="s">
        <v>54</v>
      </c>
      <c r="G698" s="2">
        <v>332.67</v>
      </c>
      <c r="H698" s="1">
        <v>5</v>
      </c>
      <c r="I698" s="1">
        <v>214</v>
      </c>
      <c r="J698" s="1">
        <v>186</v>
      </c>
      <c r="K698" s="1">
        <v>90</v>
      </c>
      <c r="L698" s="1">
        <v>121</v>
      </c>
      <c r="M698" s="1" t="s">
        <v>41</v>
      </c>
      <c r="N698" s="1" t="s">
        <v>42</v>
      </c>
      <c r="O698" s="1" t="s">
        <v>309</v>
      </c>
      <c r="P698" s="2">
        <v>232.87</v>
      </c>
      <c r="Q698" s="1" t="str">
        <f t="shared" si="30"/>
        <v>YES</v>
      </c>
      <c r="R698" s="2">
        <f t="shared" si="31"/>
        <v>299.40300000000002</v>
      </c>
      <c r="S698" s="2">
        <f>J698*G698</f>
        <v>61876.62</v>
      </c>
      <c r="T698" s="1">
        <f t="shared" ca="1" si="32"/>
        <v>67</v>
      </c>
      <c r="U698" s="1" t="s">
        <v>34</v>
      </c>
      <c r="V698" s="1" t="s">
        <v>34</v>
      </c>
      <c r="W698" s="1" t="s">
        <v>34</v>
      </c>
      <c r="X698" s="1" t="s">
        <v>2809</v>
      </c>
      <c r="Y698" s="1">
        <v>9</v>
      </c>
    </row>
    <row r="699" spans="1:25" x14ac:dyDescent="0.3">
      <c r="A699" s="1" t="s">
        <v>885</v>
      </c>
      <c r="B699" s="1" t="s">
        <v>192</v>
      </c>
      <c r="C699" s="1" t="s">
        <v>193</v>
      </c>
      <c r="D699" s="1" t="s">
        <v>85</v>
      </c>
      <c r="E699" s="1" t="s">
        <v>29</v>
      </c>
      <c r="F699" s="1" t="s">
        <v>54</v>
      </c>
      <c r="G699" s="2">
        <v>134.26</v>
      </c>
      <c r="H699" s="1">
        <v>0</v>
      </c>
      <c r="I699" s="1">
        <v>99</v>
      </c>
      <c r="J699" s="1">
        <v>82</v>
      </c>
      <c r="K699" s="1">
        <v>92</v>
      </c>
      <c r="L699" s="1">
        <v>93</v>
      </c>
      <c r="M699" s="1" t="s">
        <v>49</v>
      </c>
      <c r="N699" s="1" t="s">
        <v>42</v>
      </c>
      <c r="O699" s="1" t="s">
        <v>289</v>
      </c>
      <c r="P699" s="2">
        <v>93.98</v>
      </c>
      <c r="Q699" s="1" t="str">
        <f t="shared" si="30"/>
        <v>NO</v>
      </c>
      <c r="R699" s="2">
        <f t="shared" si="31"/>
        <v>134.26</v>
      </c>
      <c r="S699" s="2">
        <f>J699*G699</f>
        <v>11009.32</v>
      </c>
      <c r="T699" s="1">
        <f t="shared" ca="1" si="32"/>
        <v>92</v>
      </c>
      <c r="U699" s="1" t="s">
        <v>34</v>
      </c>
      <c r="V699" s="1" t="s">
        <v>34</v>
      </c>
      <c r="W699" s="1" t="s">
        <v>34</v>
      </c>
      <c r="X699" s="1" t="s">
        <v>2662</v>
      </c>
      <c r="Y699" s="1">
        <v>9.5</v>
      </c>
    </row>
    <row r="700" spans="1:25" x14ac:dyDescent="0.3">
      <c r="A700" s="1" t="s">
        <v>886</v>
      </c>
      <c r="B700" s="1" t="s">
        <v>237</v>
      </c>
      <c r="C700" s="1" t="s">
        <v>238</v>
      </c>
      <c r="D700" s="1" t="s">
        <v>85</v>
      </c>
      <c r="E700" s="1" t="s">
        <v>74</v>
      </c>
      <c r="F700" s="1" t="s">
        <v>54</v>
      </c>
      <c r="G700" s="2">
        <v>438.94</v>
      </c>
      <c r="H700" s="1">
        <v>21</v>
      </c>
      <c r="I700" s="1">
        <v>164</v>
      </c>
      <c r="J700" s="1">
        <v>131</v>
      </c>
      <c r="K700" s="1">
        <v>63</v>
      </c>
      <c r="L700" s="1">
        <v>67</v>
      </c>
      <c r="M700" s="1" t="s">
        <v>41</v>
      </c>
      <c r="N700" s="1" t="s">
        <v>60</v>
      </c>
      <c r="O700" s="1" t="s">
        <v>164</v>
      </c>
      <c r="P700" s="2">
        <v>307.26</v>
      </c>
      <c r="Q700" s="1" t="str">
        <f t="shared" si="30"/>
        <v>YES</v>
      </c>
      <c r="R700" s="2">
        <f t="shared" si="31"/>
        <v>395.04599999999999</v>
      </c>
      <c r="S700" s="2">
        <f>J700*G700</f>
        <v>57501.14</v>
      </c>
      <c r="T700" s="1">
        <f t="shared" ca="1" si="32"/>
        <v>126</v>
      </c>
      <c r="U700" s="1" t="s">
        <v>34</v>
      </c>
      <c r="V700" s="1" t="s">
        <v>34</v>
      </c>
      <c r="W700" s="1" t="s">
        <v>34</v>
      </c>
      <c r="X700" s="1" t="s">
        <v>2725</v>
      </c>
      <c r="Y700" s="1">
        <v>5</v>
      </c>
    </row>
    <row r="701" spans="1:25" x14ac:dyDescent="0.3">
      <c r="A701" s="1" t="s">
        <v>887</v>
      </c>
      <c r="B701" s="1" t="s">
        <v>123</v>
      </c>
      <c r="C701" s="1" t="s">
        <v>124</v>
      </c>
      <c r="D701" s="1" t="s">
        <v>47</v>
      </c>
      <c r="E701" s="1" t="s">
        <v>74</v>
      </c>
      <c r="F701" s="1" t="s">
        <v>54</v>
      </c>
      <c r="G701" s="2">
        <v>141.43</v>
      </c>
      <c r="H701" s="1">
        <v>24</v>
      </c>
      <c r="I701" s="1">
        <v>244</v>
      </c>
      <c r="J701" s="1">
        <v>233</v>
      </c>
      <c r="K701" s="1">
        <v>66</v>
      </c>
      <c r="L701" s="1">
        <v>138</v>
      </c>
      <c r="M701" s="1" t="s">
        <v>41</v>
      </c>
      <c r="N701" s="1" t="s">
        <v>32</v>
      </c>
      <c r="O701" s="1" t="s">
        <v>159</v>
      </c>
      <c r="P701" s="2">
        <v>99</v>
      </c>
      <c r="Q701" s="1" t="str">
        <f t="shared" si="30"/>
        <v>YES</v>
      </c>
      <c r="R701" s="2">
        <f t="shared" si="31"/>
        <v>127.28700000000001</v>
      </c>
      <c r="S701" s="2">
        <f>J701*G701</f>
        <v>32953.19</v>
      </c>
      <c r="T701" s="1">
        <f t="shared" ca="1" si="32"/>
        <v>134</v>
      </c>
      <c r="U701" s="1" t="s">
        <v>34</v>
      </c>
      <c r="V701" s="1" t="s">
        <v>34</v>
      </c>
      <c r="W701" s="1" t="s">
        <v>34</v>
      </c>
      <c r="X701" s="1" t="s">
        <v>2849</v>
      </c>
      <c r="Y701" s="1">
        <v>5.5</v>
      </c>
    </row>
    <row r="702" spans="1:25" x14ac:dyDescent="0.3">
      <c r="A702" s="1" t="s">
        <v>888</v>
      </c>
      <c r="B702" s="1" t="s">
        <v>126</v>
      </c>
      <c r="C702" s="1" t="s">
        <v>127</v>
      </c>
      <c r="D702" s="1" t="s">
        <v>85</v>
      </c>
      <c r="E702" s="1" t="s">
        <v>74</v>
      </c>
      <c r="F702" s="1" t="s">
        <v>48</v>
      </c>
      <c r="G702" s="2">
        <v>224.6</v>
      </c>
      <c r="H702" s="1">
        <v>20</v>
      </c>
      <c r="I702" s="1">
        <v>187</v>
      </c>
      <c r="J702" s="1">
        <v>165</v>
      </c>
      <c r="K702" s="1">
        <v>55</v>
      </c>
      <c r="L702" s="1">
        <v>85</v>
      </c>
      <c r="M702" s="1" t="s">
        <v>31</v>
      </c>
      <c r="N702" s="1" t="s">
        <v>42</v>
      </c>
      <c r="O702" s="1" t="s">
        <v>309</v>
      </c>
      <c r="P702" s="2">
        <v>157.22</v>
      </c>
      <c r="Q702" s="1" t="str">
        <f t="shared" si="30"/>
        <v>YES</v>
      </c>
      <c r="R702" s="2">
        <f t="shared" si="31"/>
        <v>202.14</v>
      </c>
      <c r="S702" s="2">
        <f>J702*G702</f>
        <v>37059</v>
      </c>
      <c r="T702" s="1">
        <f t="shared" ca="1" si="32"/>
        <v>67</v>
      </c>
      <c r="U702" s="1" t="s">
        <v>34</v>
      </c>
      <c r="V702" s="1" t="s">
        <v>34</v>
      </c>
      <c r="W702" s="1" t="s">
        <v>34</v>
      </c>
      <c r="X702" s="1" t="s">
        <v>2693</v>
      </c>
      <c r="Y702" s="1">
        <v>6</v>
      </c>
    </row>
    <row r="703" spans="1:25" x14ac:dyDescent="0.3">
      <c r="A703" s="1" t="s">
        <v>889</v>
      </c>
      <c r="B703" s="1" t="s">
        <v>95</v>
      </c>
      <c r="C703" s="1" t="s">
        <v>96</v>
      </c>
      <c r="D703" s="1" t="s">
        <v>97</v>
      </c>
      <c r="E703" s="1" t="s">
        <v>29</v>
      </c>
      <c r="F703" s="1" t="s">
        <v>30</v>
      </c>
      <c r="G703" s="2">
        <v>347.97</v>
      </c>
      <c r="H703" s="1">
        <v>6</v>
      </c>
      <c r="I703" s="1">
        <v>151</v>
      </c>
      <c r="J703" s="1">
        <v>114</v>
      </c>
      <c r="K703" s="1">
        <v>45</v>
      </c>
      <c r="L703" s="1">
        <v>112</v>
      </c>
      <c r="M703" s="1" t="s">
        <v>31</v>
      </c>
      <c r="N703" s="1" t="s">
        <v>32</v>
      </c>
      <c r="O703" s="1" t="s">
        <v>137</v>
      </c>
      <c r="P703" s="2">
        <v>243.58</v>
      </c>
      <c r="Q703" s="1" t="str">
        <f t="shared" si="30"/>
        <v>YES</v>
      </c>
      <c r="R703" s="2">
        <f t="shared" si="31"/>
        <v>313.17300000000006</v>
      </c>
      <c r="S703" s="2">
        <f>J703*G703</f>
        <v>39668.58</v>
      </c>
      <c r="T703" s="1">
        <f t="shared" ca="1" si="32"/>
        <v>107</v>
      </c>
      <c r="U703" s="1" t="s">
        <v>34</v>
      </c>
      <c r="V703" s="1" t="s">
        <v>34</v>
      </c>
      <c r="W703" s="1" t="s">
        <v>34</v>
      </c>
      <c r="X703" s="1" t="s">
        <v>2854</v>
      </c>
      <c r="Y703" s="1">
        <v>6.5</v>
      </c>
    </row>
    <row r="704" spans="1:25" x14ac:dyDescent="0.3">
      <c r="A704" s="1" t="s">
        <v>890</v>
      </c>
      <c r="B704" s="1" t="s">
        <v>83</v>
      </c>
      <c r="C704" s="1" t="s">
        <v>84</v>
      </c>
      <c r="D704" s="1" t="s">
        <v>85</v>
      </c>
      <c r="E704" s="1" t="s">
        <v>74</v>
      </c>
      <c r="F704" s="1" t="s">
        <v>54</v>
      </c>
      <c r="G704" s="2">
        <v>294.13</v>
      </c>
      <c r="H704" s="1">
        <v>18</v>
      </c>
      <c r="I704" s="1">
        <v>270</v>
      </c>
      <c r="J704" s="1">
        <v>232</v>
      </c>
      <c r="K704" s="1">
        <v>108</v>
      </c>
      <c r="L704" s="1">
        <v>116</v>
      </c>
      <c r="M704" s="1" t="s">
        <v>31</v>
      </c>
      <c r="N704" s="1" t="s">
        <v>42</v>
      </c>
      <c r="O704" s="1" t="s">
        <v>55</v>
      </c>
      <c r="P704" s="2">
        <v>205.89</v>
      </c>
      <c r="Q704" s="1" t="str">
        <f t="shared" si="30"/>
        <v>YES</v>
      </c>
      <c r="R704" s="2">
        <f t="shared" si="31"/>
        <v>264.71699999999998</v>
      </c>
      <c r="S704" s="2">
        <f>J704*G704</f>
        <v>68238.16</v>
      </c>
      <c r="T704" s="1">
        <f t="shared" ca="1" si="32"/>
        <v>91</v>
      </c>
      <c r="U704" s="1" t="s">
        <v>34</v>
      </c>
      <c r="V704" s="1" t="s">
        <v>34</v>
      </c>
      <c r="W704" s="1" t="s">
        <v>34</v>
      </c>
      <c r="X704" s="1" t="s">
        <v>2855</v>
      </c>
      <c r="Y704" s="1">
        <v>7</v>
      </c>
    </row>
    <row r="705" spans="1:25" x14ac:dyDescent="0.3">
      <c r="A705" s="1" t="s">
        <v>891</v>
      </c>
      <c r="B705" s="1" t="s">
        <v>83</v>
      </c>
      <c r="C705" s="1" t="s">
        <v>84</v>
      </c>
      <c r="D705" s="1" t="s">
        <v>85</v>
      </c>
      <c r="E705" s="1" t="s">
        <v>29</v>
      </c>
      <c r="F705" s="1" t="s">
        <v>30</v>
      </c>
      <c r="G705" s="2">
        <v>299.13</v>
      </c>
      <c r="H705" s="1">
        <v>10</v>
      </c>
      <c r="I705" s="1">
        <v>223</v>
      </c>
      <c r="J705" s="1">
        <v>192</v>
      </c>
      <c r="K705" s="1">
        <v>49</v>
      </c>
      <c r="L705" s="1">
        <v>134</v>
      </c>
      <c r="M705" s="1" t="s">
        <v>49</v>
      </c>
      <c r="N705" s="1" t="s">
        <v>42</v>
      </c>
      <c r="O705" s="1" t="s">
        <v>81</v>
      </c>
      <c r="P705" s="2">
        <v>209.39</v>
      </c>
      <c r="Q705" s="1" t="str">
        <f t="shared" si="30"/>
        <v>YES</v>
      </c>
      <c r="R705" s="2">
        <f t="shared" si="31"/>
        <v>269.21699999999998</v>
      </c>
      <c r="S705" s="2">
        <f>J705*G705</f>
        <v>57432.959999999999</v>
      </c>
      <c r="T705" s="1">
        <f t="shared" ca="1" si="32"/>
        <v>81</v>
      </c>
      <c r="U705" s="1" t="s">
        <v>34</v>
      </c>
      <c r="V705" s="1" t="s">
        <v>34</v>
      </c>
      <c r="W705" s="1" t="s">
        <v>34</v>
      </c>
      <c r="X705" s="1" t="s">
        <v>2793</v>
      </c>
      <c r="Y705" s="1">
        <v>7.5</v>
      </c>
    </row>
    <row r="706" spans="1:25" x14ac:dyDescent="0.3">
      <c r="A706" s="1" t="s">
        <v>892</v>
      </c>
      <c r="B706" s="1" t="s">
        <v>118</v>
      </c>
      <c r="C706" s="1" t="s">
        <v>119</v>
      </c>
      <c r="D706" s="1" t="s">
        <v>97</v>
      </c>
      <c r="E706" s="1" t="s">
        <v>29</v>
      </c>
      <c r="F706" s="1" t="s">
        <v>30</v>
      </c>
      <c r="G706" s="2">
        <v>307</v>
      </c>
      <c r="H706" s="1">
        <v>5</v>
      </c>
      <c r="I706" s="1">
        <v>267</v>
      </c>
      <c r="J706" s="1">
        <v>235</v>
      </c>
      <c r="K706" s="1">
        <v>99</v>
      </c>
      <c r="L706" s="1">
        <v>114</v>
      </c>
      <c r="M706" s="1" t="s">
        <v>31</v>
      </c>
      <c r="N706" s="1" t="s">
        <v>42</v>
      </c>
      <c r="O706" s="1" t="s">
        <v>75</v>
      </c>
      <c r="P706" s="2">
        <v>214.9</v>
      </c>
      <c r="Q706" s="1" t="str">
        <f t="shared" ref="Q706:Q769" si="33">IF(J706&gt;K706,"YES","NO")</f>
        <v>YES</v>
      </c>
      <c r="R706" s="2">
        <f t="shared" ref="R706:R769" si="34">IF(Q706="YES",G706*0.9,G706)</f>
        <v>276.3</v>
      </c>
      <c r="S706" s="2">
        <f>J706*G706</f>
        <v>72145</v>
      </c>
      <c r="T706" s="1">
        <f t="shared" ref="T706:T769" ca="1" si="35">TODAY()-DATE(MID(O706,7,4),MID(O706,4,2),LEFT(O706,2))</f>
        <v>123</v>
      </c>
      <c r="U706" s="1" t="s">
        <v>34</v>
      </c>
      <c r="V706" s="1" t="s">
        <v>34</v>
      </c>
      <c r="W706" s="1" t="s">
        <v>34</v>
      </c>
      <c r="X706" s="1" t="s">
        <v>2648</v>
      </c>
      <c r="Y706" s="1">
        <v>8</v>
      </c>
    </row>
    <row r="707" spans="1:25" x14ac:dyDescent="0.3">
      <c r="A707" s="1" t="s">
        <v>893</v>
      </c>
      <c r="B707" s="1" t="s">
        <v>130</v>
      </c>
      <c r="C707" s="1" t="s">
        <v>131</v>
      </c>
      <c r="D707" s="1" t="s">
        <v>132</v>
      </c>
      <c r="E707" s="1" t="s">
        <v>74</v>
      </c>
      <c r="F707" s="1" t="s">
        <v>48</v>
      </c>
      <c r="G707" s="2">
        <v>196.98</v>
      </c>
      <c r="H707" s="1">
        <v>12</v>
      </c>
      <c r="I707" s="1">
        <v>244</v>
      </c>
      <c r="J707" s="1">
        <v>240</v>
      </c>
      <c r="K707" s="1">
        <v>51</v>
      </c>
      <c r="L707" s="1">
        <v>115</v>
      </c>
      <c r="M707" s="1" t="s">
        <v>31</v>
      </c>
      <c r="N707" s="1" t="s">
        <v>42</v>
      </c>
      <c r="O707" s="1" t="s">
        <v>187</v>
      </c>
      <c r="P707" s="2">
        <v>137.88999999999999</v>
      </c>
      <c r="Q707" s="1" t="str">
        <f t="shared" si="33"/>
        <v>YES</v>
      </c>
      <c r="R707" s="2">
        <f t="shared" si="34"/>
        <v>177.28199999999998</v>
      </c>
      <c r="S707" s="2">
        <f>J707*G707</f>
        <v>47275.199999999997</v>
      </c>
      <c r="T707" s="1">
        <f t="shared" ca="1" si="35"/>
        <v>148</v>
      </c>
      <c r="U707" s="1" t="s">
        <v>34</v>
      </c>
      <c r="V707" s="1" t="s">
        <v>34</v>
      </c>
      <c r="W707" s="1" t="s">
        <v>34</v>
      </c>
      <c r="X707" s="1" t="s">
        <v>2616</v>
      </c>
      <c r="Y707" s="1">
        <v>8.5</v>
      </c>
    </row>
    <row r="708" spans="1:25" x14ac:dyDescent="0.3">
      <c r="A708" s="1" t="s">
        <v>894</v>
      </c>
      <c r="B708" s="1" t="s">
        <v>166</v>
      </c>
      <c r="C708" s="1" t="s">
        <v>167</v>
      </c>
      <c r="D708" s="1" t="s">
        <v>59</v>
      </c>
      <c r="E708" s="1" t="s">
        <v>29</v>
      </c>
      <c r="F708" s="1" t="s">
        <v>54</v>
      </c>
      <c r="G708" s="2">
        <v>388.66</v>
      </c>
      <c r="H708" s="1">
        <v>25</v>
      </c>
      <c r="I708" s="1">
        <v>152</v>
      </c>
      <c r="J708" s="1">
        <v>120</v>
      </c>
      <c r="K708" s="1">
        <v>108</v>
      </c>
      <c r="L708" s="1">
        <v>148</v>
      </c>
      <c r="M708" s="1" t="s">
        <v>49</v>
      </c>
      <c r="N708" s="1" t="s">
        <v>60</v>
      </c>
      <c r="O708" s="1" t="s">
        <v>159</v>
      </c>
      <c r="P708" s="2">
        <v>272.06</v>
      </c>
      <c r="Q708" s="1" t="str">
        <f t="shared" si="33"/>
        <v>YES</v>
      </c>
      <c r="R708" s="2">
        <f t="shared" si="34"/>
        <v>349.79400000000004</v>
      </c>
      <c r="S708" s="2">
        <f>J708*G708</f>
        <v>46639.200000000004</v>
      </c>
      <c r="T708" s="1">
        <f t="shared" ca="1" si="35"/>
        <v>134</v>
      </c>
      <c r="U708" s="1" t="s">
        <v>34</v>
      </c>
      <c r="V708" s="1" t="s">
        <v>34</v>
      </c>
      <c r="W708" s="1" t="s">
        <v>34</v>
      </c>
      <c r="X708" s="1" t="s">
        <v>2847</v>
      </c>
      <c r="Y708" s="1">
        <v>9</v>
      </c>
    </row>
    <row r="709" spans="1:25" x14ac:dyDescent="0.3">
      <c r="A709" s="1" t="s">
        <v>895</v>
      </c>
      <c r="B709" s="1" t="s">
        <v>143</v>
      </c>
      <c r="C709" s="1" t="s">
        <v>144</v>
      </c>
      <c r="D709" s="1" t="s">
        <v>47</v>
      </c>
      <c r="E709" s="1" t="s">
        <v>40</v>
      </c>
      <c r="F709" s="1" t="s">
        <v>30</v>
      </c>
      <c r="G709" s="2">
        <v>78.39</v>
      </c>
      <c r="H709" s="1">
        <v>8</v>
      </c>
      <c r="I709" s="1">
        <v>225</v>
      </c>
      <c r="J709" s="1">
        <v>185</v>
      </c>
      <c r="K709" s="1">
        <v>46</v>
      </c>
      <c r="L709" s="1">
        <v>90</v>
      </c>
      <c r="M709" s="1" t="s">
        <v>41</v>
      </c>
      <c r="N709" s="1" t="s">
        <v>42</v>
      </c>
      <c r="O709" s="1" t="s">
        <v>254</v>
      </c>
      <c r="P709" s="2">
        <v>54.87</v>
      </c>
      <c r="Q709" s="1" t="str">
        <f t="shared" si="33"/>
        <v>YES</v>
      </c>
      <c r="R709" s="2">
        <f t="shared" si="34"/>
        <v>70.551000000000002</v>
      </c>
      <c r="S709" s="2">
        <f>J709*G709</f>
        <v>14502.15</v>
      </c>
      <c r="T709" s="1">
        <f t="shared" ca="1" si="35"/>
        <v>145</v>
      </c>
      <c r="U709" s="1" t="s">
        <v>34</v>
      </c>
      <c r="V709" s="1" t="s">
        <v>34</v>
      </c>
      <c r="W709" s="1" t="s">
        <v>34</v>
      </c>
      <c r="X709" s="1" t="s">
        <v>2589</v>
      </c>
      <c r="Y709" s="1">
        <v>9.5</v>
      </c>
    </row>
    <row r="710" spans="1:25" x14ac:dyDescent="0.3">
      <c r="A710" s="1" t="s">
        <v>896</v>
      </c>
      <c r="B710" s="1" t="s">
        <v>37</v>
      </c>
      <c r="C710" s="1" t="s">
        <v>38</v>
      </c>
      <c r="D710" s="1" t="s">
        <v>39</v>
      </c>
      <c r="E710" s="1" t="s">
        <v>29</v>
      </c>
      <c r="F710" s="1" t="s">
        <v>30</v>
      </c>
      <c r="G710" s="2">
        <v>79.97</v>
      </c>
      <c r="H710" s="1">
        <v>16</v>
      </c>
      <c r="I710" s="1">
        <v>99</v>
      </c>
      <c r="J710" s="1">
        <v>84</v>
      </c>
      <c r="K710" s="1">
        <v>113</v>
      </c>
      <c r="L710" s="1">
        <v>118</v>
      </c>
      <c r="M710" s="1" t="s">
        <v>31</v>
      </c>
      <c r="N710" s="1" t="s">
        <v>32</v>
      </c>
      <c r="O710" s="1" t="s">
        <v>398</v>
      </c>
      <c r="P710" s="2">
        <v>55.98</v>
      </c>
      <c r="Q710" s="1" t="str">
        <f t="shared" si="33"/>
        <v>NO</v>
      </c>
      <c r="R710" s="2">
        <f t="shared" si="34"/>
        <v>79.97</v>
      </c>
      <c r="S710" s="2">
        <f>J710*G710</f>
        <v>6717.48</v>
      </c>
      <c r="T710" s="1">
        <f t="shared" ca="1" si="35"/>
        <v>86</v>
      </c>
      <c r="U710" s="1" t="s">
        <v>34</v>
      </c>
      <c r="V710" s="1" t="s">
        <v>34</v>
      </c>
      <c r="W710" s="1" t="s">
        <v>34</v>
      </c>
      <c r="X710" s="1" t="s">
        <v>2856</v>
      </c>
      <c r="Y710" s="1">
        <v>5</v>
      </c>
    </row>
    <row r="711" spans="1:25" x14ac:dyDescent="0.3">
      <c r="A711" s="1" t="s">
        <v>897</v>
      </c>
      <c r="B711" s="1" t="s">
        <v>197</v>
      </c>
      <c r="C711" s="1" t="s">
        <v>198</v>
      </c>
      <c r="D711" s="1" t="s">
        <v>104</v>
      </c>
      <c r="E711" s="1" t="s">
        <v>74</v>
      </c>
      <c r="F711" s="1" t="s">
        <v>30</v>
      </c>
      <c r="G711" s="2">
        <v>409.68</v>
      </c>
      <c r="H711" s="1">
        <v>5</v>
      </c>
      <c r="I711" s="1">
        <v>101</v>
      </c>
      <c r="J711" s="1">
        <v>96</v>
      </c>
      <c r="K711" s="1">
        <v>43</v>
      </c>
      <c r="L711" s="1">
        <v>142</v>
      </c>
      <c r="M711" s="1" t="s">
        <v>41</v>
      </c>
      <c r="N711" s="1" t="s">
        <v>42</v>
      </c>
      <c r="O711" s="1" t="s">
        <v>260</v>
      </c>
      <c r="P711" s="2">
        <v>286.77999999999997</v>
      </c>
      <c r="Q711" s="1" t="str">
        <f t="shared" si="33"/>
        <v>YES</v>
      </c>
      <c r="R711" s="2">
        <f t="shared" si="34"/>
        <v>368.71199999999999</v>
      </c>
      <c r="S711" s="2">
        <f>J711*G711</f>
        <v>39329.279999999999</v>
      </c>
      <c r="T711" s="1">
        <f t="shared" ca="1" si="35"/>
        <v>70</v>
      </c>
      <c r="U711" s="1" t="s">
        <v>34</v>
      </c>
      <c r="V711" s="1" t="s">
        <v>34</v>
      </c>
      <c r="W711" s="1" t="s">
        <v>34</v>
      </c>
      <c r="X711" s="1" t="s">
        <v>2819</v>
      </c>
      <c r="Y711" s="1">
        <v>5.5</v>
      </c>
    </row>
    <row r="712" spans="1:25" x14ac:dyDescent="0.3">
      <c r="A712" s="1" t="s">
        <v>898</v>
      </c>
      <c r="B712" s="1" t="s">
        <v>143</v>
      </c>
      <c r="C712" s="1" t="s">
        <v>144</v>
      </c>
      <c r="D712" s="1" t="s">
        <v>47</v>
      </c>
      <c r="E712" s="1" t="s">
        <v>74</v>
      </c>
      <c r="F712" s="1" t="s">
        <v>48</v>
      </c>
      <c r="G712" s="2">
        <v>264.79000000000002</v>
      </c>
      <c r="H712" s="1">
        <v>3</v>
      </c>
      <c r="I712" s="1">
        <v>239</v>
      </c>
      <c r="J712" s="1">
        <v>210</v>
      </c>
      <c r="K712" s="1">
        <v>109</v>
      </c>
      <c r="L712" s="1">
        <v>105</v>
      </c>
      <c r="M712" s="1" t="s">
        <v>49</v>
      </c>
      <c r="N712" s="1" t="s">
        <v>32</v>
      </c>
      <c r="O712" s="1" t="s">
        <v>361</v>
      </c>
      <c r="P712" s="2">
        <v>185.35</v>
      </c>
      <c r="Q712" s="1" t="str">
        <f t="shared" si="33"/>
        <v>YES</v>
      </c>
      <c r="R712" s="2">
        <f t="shared" si="34"/>
        <v>238.31100000000004</v>
      </c>
      <c r="S712" s="2">
        <f>J712*G712</f>
        <v>55605.9</v>
      </c>
      <c r="T712" s="1">
        <f t="shared" ca="1" si="35"/>
        <v>99</v>
      </c>
      <c r="U712" s="1" t="s">
        <v>34</v>
      </c>
      <c r="V712" s="1" t="s">
        <v>34</v>
      </c>
      <c r="W712" s="1" t="s">
        <v>34</v>
      </c>
      <c r="X712" s="1" t="s">
        <v>2857</v>
      </c>
      <c r="Y712" s="1">
        <v>6</v>
      </c>
    </row>
    <row r="713" spans="1:25" x14ac:dyDescent="0.3">
      <c r="A713" s="1" t="s">
        <v>899</v>
      </c>
      <c r="B713" s="1" t="s">
        <v>172</v>
      </c>
      <c r="C713" s="1" t="s">
        <v>173</v>
      </c>
      <c r="D713" s="1" t="s">
        <v>132</v>
      </c>
      <c r="E713" s="1" t="s">
        <v>40</v>
      </c>
      <c r="F713" s="1" t="s">
        <v>54</v>
      </c>
      <c r="G713" s="2">
        <v>313.81</v>
      </c>
      <c r="H713" s="1">
        <v>22</v>
      </c>
      <c r="I713" s="1">
        <v>111</v>
      </c>
      <c r="J713" s="1">
        <v>74</v>
      </c>
      <c r="K713" s="1">
        <v>87</v>
      </c>
      <c r="L713" s="1">
        <v>63</v>
      </c>
      <c r="M713" s="1" t="s">
        <v>49</v>
      </c>
      <c r="N713" s="1" t="s">
        <v>42</v>
      </c>
      <c r="O713" s="1" t="s">
        <v>224</v>
      </c>
      <c r="P713" s="2">
        <v>219.67</v>
      </c>
      <c r="Q713" s="1" t="str">
        <f t="shared" si="33"/>
        <v>NO</v>
      </c>
      <c r="R713" s="2">
        <f t="shared" si="34"/>
        <v>313.81</v>
      </c>
      <c r="S713" s="2">
        <f>J713*G713</f>
        <v>23221.94</v>
      </c>
      <c r="T713" s="1">
        <f t="shared" ca="1" si="35"/>
        <v>140</v>
      </c>
      <c r="U713" s="1" t="s">
        <v>34</v>
      </c>
      <c r="V713" s="1" t="s">
        <v>34</v>
      </c>
      <c r="W713" s="1" t="s">
        <v>34</v>
      </c>
      <c r="X713" s="1" t="s">
        <v>2671</v>
      </c>
      <c r="Y713" s="1">
        <v>6.5</v>
      </c>
    </row>
    <row r="714" spans="1:25" x14ac:dyDescent="0.3">
      <c r="A714" s="1" t="s">
        <v>900</v>
      </c>
      <c r="B714" s="1" t="s">
        <v>262</v>
      </c>
      <c r="C714" s="1" t="s">
        <v>263</v>
      </c>
      <c r="D714" s="1" t="s">
        <v>104</v>
      </c>
      <c r="E714" s="1" t="s">
        <v>40</v>
      </c>
      <c r="F714" s="1" t="s">
        <v>30</v>
      </c>
      <c r="G714" s="2">
        <v>70.599999999999994</v>
      </c>
      <c r="H714" s="1">
        <v>2</v>
      </c>
      <c r="I714" s="1">
        <v>151</v>
      </c>
      <c r="J714" s="1">
        <v>134</v>
      </c>
      <c r="K714" s="1">
        <v>40</v>
      </c>
      <c r="L714" s="1">
        <v>88</v>
      </c>
      <c r="M714" s="1" t="s">
        <v>49</v>
      </c>
      <c r="N714" s="1" t="s">
        <v>32</v>
      </c>
      <c r="O714" s="1" t="s">
        <v>207</v>
      </c>
      <c r="P714" s="2">
        <v>49.42</v>
      </c>
      <c r="Q714" s="1" t="str">
        <f t="shared" si="33"/>
        <v>YES</v>
      </c>
      <c r="R714" s="2">
        <f t="shared" si="34"/>
        <v>63.54</v>
      </c>
      <c r="S714" s="2">
        <f>J714*G714</f>
        <v>9460.4</v>
      </c>
      <c r="T714" s="1">
        <f t="shared" ca="1" si="35"/>
        <v>98</v>
      </c>
      <c r="U714" s="1" t="s">
        <v>34</v>
      </c>
      <c r="V714" s="1" t="s">
        <v>34</v>
      </c>
      <c r="W714" s="1" t="s">
        <v>34</v>
      </c>
      <c r="X714" s="1" t="s">
        <v>2858</v>
      </c>
      <c r="Y714" s="1">
        <v>7</v>
      </c>
    </row>
    <row r="715" spans="1:25" x14ac:dyDescent="0.3">
      <c r="A715" s="1" t="s">
        <v>901</v>
      </c>
      <c r="B715" s="1" t="s">
        <v>107</v>
      </c>
      <c r="C715" s="1" t="s">
        <v>108</v>
      </c>
      <c r="D715" s="1" t="s">
        <v>39</v>
      </c>
      <c r="E715" s="1" t="s">
        <v>74</v>
      </c>
      <c r="F715" s="1" t="s">
        <v>48</v>
      </c>
      <c r="G715" s="2">
        <v>410.46</v>
      </c>
      <c r="H715" s="1">
        <v>10</v>
      </c>
      <c r="I715" s="1">
        <v>226</v>
      </c>
      <c r="J715" s="1">
        <v>192</v>
      </c>
      <c r="K715" s="1">
        <v>56</v>
      </c>
      <c r="L715" s="1">
        <v>80</v>
      </c>
      <c r="M715" s="1" t="s">
        <v>41</v>
      </c>
      <c r="N715" s="1" t="s">
        <v>60</v>
      </c>
      <c r="O715" s="1" t="s">
        <v>88</v>
      </c>
      <c r="P715" s="2">
        <v>287.32</v>
      </c>
      <c r="Q715" s="1" t="str">
        <f t="shared" si="33"/>
        <v>YES</v>
      </c>
      <c r="R715" s="2">
        <f t="shared" si="34"/>
        <v>369.41399999999999</v>
      </c>
      <c r="S715" s="2">
        <f>J715*G715</f>
        <v>78808.319999999992</v>
      </c>
      <c r="T715" s="1">
        <f t="shared" ca="1" si="35"/>
        <v>124</v>
      </c>
      <c r="U715" s="1" t="s">
        <v>34</v>
      </c>
      <c r="V715" s="1" t="s">
        <v>34</v>
      </c>
      <c r="W715" s="1" t="s">
        <v>34</v>
      </c>
      <c r="X715" s="1" t="s">
        <v>2724</v>
      </c>
      <c r="Y715" s="1">
        <v>7.5</v>
      </c>
    </row>
    <row r="716" spans="1:25" x14ac:dyDescent="0.3">
      <c r="A716" s="1" t="s">
        <v>902</v>
      </c>
      <c r="B716" s="1" t="s">
        <v>192</v>
      </c>
      <c r="C716" s="1" t="s">
        <v>193</v>
      </c>
      <c r="D716" s="1" t="s">
        <v>85</v>
      </c>
      <c r="E716" s="1" t="s">
        <v>29</v>
      </c>
      <c r="F716" s="1" t="s">
        <v>48</v>
      </c>
      <c r="G716" s="2">
        <v>138.66999999999999</v>
      </c>
      <c r="H716" s="1">
        <v>4</v>
      </c>
      <c r="I716" s="1">
        <v>180</v>
      </c>
      <c r="J716" s="1">
        <v>144</v>
      </c>
      <c r="K716" s="1">
        <v>120</v>
      </c>
      <c r="L716" s="1">
        <v>82</v>
      </c>
      <c r="M716" s="1" t="s">
        <v>49</v>
      </c>
      <c r="N716" s="1" t="s">
        <v>60</v>
      </c>
      <c r="O716" s="1" t="s">
        <v>247</v>
      </c>
      <c r="P716" s="2">
        <v>97.07</v>
      </c>
      <c r="Q716" s="1" t="str">
        <f t="shared" si="33"/>
        <v>YES</v>
      </c>
      <c r="R716" s="2">
        <f t="shared" si="34"/>
        <v>124.803</v>
      </c>
      <c r="S716" s="2">
        <f>J716*G716</f>
        <v>19968.48</v>
      </c>
      <c r="T716" s="1">
        <f t="shared" ca="1" si="35"/>
        <v>125</v>
      </c>
      <c r="U716" s="1" t="s">
        <v>34</v>
      </c>
      <c r="V716" s="1" t="s">
        <v>34</v>
      </c>
      <c r="W716" s="1" t="s">
        <v>34</v>
      </c>
      <c r="X716" s="1" t="s">
        <v>2740</v>
      </c>
      <c r="Y716" s="1">
        <v>8</v>
      </c>
    </row>
    <row r="717" spans="1:25" x14ac:dyDescent="0.3">
      <c r="A717" s="1" t="s">
        <v>903</v>
      </c>
      <c r="B717" s="1" t="s">
        <v>299</v>
      </c>
      <c r="C717" s="1" t="s">
        <v>300</v>
      </c>
      <c r="D717" s="1" t="s">
        <v>39</v>
      </c>
      <c r="E717" s="1" t="s">
        <v>40</v>
      </c>
      <c r="F717" s="1" t="s">
        <v>30</v>
      </c>
      <c r="G717" s="2">
        <v>479.17</v>
      </c>
      <c r="H717" s="1">
        <v>5</v>
      </c>
      <c r="I717" s="1">
        <v>178</v>
      </c>
      <c r="J717" s="1">
        <v>169</v>
      </c>
      <c r="K717" s="1">
        <v>106</v>
      </c>
      <c r="L717" s="1">
        <v>76</v>
      </c>
      <c r="M717" s="1" t="s">
        <v>49</v>
      </c>
      <c r="N717" s="1" t="s">
        <v>32</v>
      </c>
      <c r="O717" s="1" t="s">
        <v>141</v>
      </c>
      <c r="P717" s="2">
        <v>335.42</v>
      </c>
      <c r="Q717" s="1" t="str">
        <f t="shared" si="33"/>
        <v>YES</v>
      </c>
      <c r="R717" s="2">
        <f t="shared" si="34"/>
        <v>431.25300000000004</v>
      </c>
      <c r="S717" s="2">
        <f>J717*G717</f>
        <v>80979.73</v>
      </c>
      <c r="T717" s="1">
        <f t="shared" ca="1" si="35"/>
        <v>118</v>
      </c>
      <c r="U717" s="1" t="s">
        <v>34</v>
      </c>
      <c r="V717" s="1" t="s">
        <v>34</v>
      </c>
      <c r="W717" s="1" t="s">
        <v>34</v>
      </c>
      <c r="X717" s="1" t="s">
        <v>2801</v>
      </c>
      <c r="Y717" s="1">
        <v>8.5</v>
      </c>
    </row>
    <row r="718" spans="1:25" x14ac:dyDescent="0.3">
      <c r="A718" s="1" t="s">
        <v>904</v>
      </c>
      <c r="B718" s="1" t="s">
        <v>107</v>
      </c>
      <c r="C718" s="1" t="s">
        <v>108</v>
      </c>
      <c r="D718" s="1" t="s">
        <v>39</v>
      </c>
      <c r="E718" s="1" t="s">
        <v>74</v>
      </c>
      <c r="F718" s="1" t="s">
        <v>48</v>
      </c>
      <c r="G718" s="2">
        <v>314.25</v>
      </c>
      <c r="H718" s="1">
        <v>8</v>
      </c>
      <c r="I718" s="1">
        <v>242</v>
      </c>
      <c r="J718" s="1">
        <v>225</v>
      </c>
      <c r="K718" s="1">
        <v>45</v>
      </c>
      <c r="L718" s="1">
        <v>112</v>
      </c>
      <c r="M718" s="1" t="s">
        <v>31</v>
      </c>
      <c r="N718" s="1" t="s">
        <v>42</v>
      </c>
      <c r="O718" s="1" t="s">
        <v>98</v>
      </c>
      <c r="P718" s="2">
        <v>219.97</v>
      </c>
      <c r="Q718" s="1" t="str">
        <f t="shared" si="33"/>
        <v>YES</v>
      </c>
      <c r="R718" s="2">
        <f t="shared" si="34"/>
        <v>282.82499999999999</v>
      </c>
      <c r="S718" s="2">
        <f>J718*G718</f>
        <v>70706.25</v>
      </c>
      <c r="T718" s="1">
        <f t="shared" ca="1" si="35"/>
        <v>96</v>
      </c>
      <c r="U718" s="1" t="s">
        <v>34</v>
      </c>
      <c r="V718" s="1" t="s">
        <v>34</v>
      </c>
      <c r="W718" s="1" t="s">
        <v>34</v>
      </c>
      <c r="X718" s="1" t="s">
        <v>2741</v>
      </c>
      <c r="Y718" s="1">
        <v>9</v>
      </c>
    </row>
    <row r="719" spans="1:25" x14ac:dyDescent="0.3">
      <c r="A719" s="1" t="s">
        <v>905</v>
      </c>
      <c r="B719" s="1" t="s">
        <v>197</v>
      </c>
      <c r="C719" s="1" t="s">
        <v>198</v>
      </c>
      <c r="D719" s="1" t="s">
        <v>104</v>
      </c>
      <c r="E719" s="1" t="s">
        <v>40</v>
      </c>
      <c r="F719" s="1" t="s">
        <v>54</v>
      </c>
      <c r="G719" s="2">
        <v>496.17</v>
      </c>
      <c r="H719" s="1">
        <v>5</v>
      </c>
      <c r="I719" s="1">
        <v>287</v>
      </c>
      <c r="J719" s="1">
        <v>261</v>
      </c>
      <c r="K719" s="1">
        <v>61</v>
      </c>
      <c r="L719" s="1">
        <v>102</v>
      </c>
      <c r="M719" s="1" t="s">
        <v>41</v>
      </c>
      <c r="N719" s="1" t="s">
        <v>42</v>
      </c>
      <c r="O719" s="1" t="s">
        <v>289</v>
      </c>
      <c r="P719" s="2">
        <v>347.32</v>
      </c>
      <c r="Q719" s="1" t="str">
        <f t="shared" si="33"/>
        <v>YES</v>
      </c>
      <c r="R719" s="2">
        <f t="shared" si="34"/>
        <v>446.553</v>
      </c>
      <c r="S719" s="2">
        <f>J719*G719</f>
        <v>129500.37000000001</v>
      </c>
      <c r="T719" s="1">
        <f t="shared" ca="1" si="35"/>
        <v>92</v>
      </c>
      <c r="U719" s="1" t="s">
        <v>34</v>
      </c>
      <c r="V719" s="1" t="s">
        <v>34</v>
      </c>
      <c r="W719" s="1" t="s">
        <v>34</v>
      </c>
      <c r="X719" s="1" t="s">
        <v>2677</v>
      </c>
      <c r="Y719" s="1">
        <v>9.5</v>
      </c>
    </row>
    <row r="720" spans="1:25" x14ac:dyDescent="0.3">
      <c r="A720" s="1" t="s">
        <v>906</v>
      </c>
      <c r="B720" s="1" t="s">
        <v>123</v>
      </c>
      <c r="C720" s="1" t="s">
        <v>124</v>
      </c>
      <c r="D720" s="1" t="s">
        <v>47</v>
      </c>
      <c r="E720" s="1" t="s">
        <v>74</v>
      </c>
      <c r="F720" s="1" t="s">
        <v>48</v>
      </c>
      <c r="G720" s="2">
        <v>150.91</v>
      </c>
      <c r="H720" s="1">
        <v>7</v>
      </c>
      <c r="I720" s="1">
        <v>106</v>
      </c>
      <c r="J720" s="1">
        <v>106</v>
      </c>
      <c r="K720" s="1">
        <v>114</v>
      </c>
      <c r="L720" s="1">
        <v>78</v>
      </c>
      <c r="M720" s="1" t="s">
        <v>49</v>
      </c>
      <c r="N720" s="1" t="s">
        <v>60</v>
      </c>
      <c r="O720" s="1" t="s">
        <v>121</v>
      </c>
      <c r="P720" s="2">
        <v>105.64</v>
      </c>
      <c r="Q720" s="1" t="str">
        <f t="shared" si="33"/>
        <v>NO</v>
      </c>
      <c r="R720" s="2">
        <f t="shared" si="34"/>
        <v>150.91</v>
      </c>
      <c r="S720" s="2">
        <f>J720*G720</f>
        <v>15996.46</v>
      </c>
      <c r="T720" s="1">
        <f t="shared" ca="1" si="35"/>
        <v>130</v>
      </c>
      <c r="U720" s="1" t="s">
        <v>34</v>
      </c>
      <c r="V720" s="1" t="s">
        <v>34</v>
      </c>
      <c r="W720" s="1" t="s">
        <v>34</v>
      </c>
      <c r="X720" s="1" t="s">
        <v>2631</v>
      </c>
      <c r="Y720" s="1">
        <v>5</v>
      </c>
    </row>
    <row r="721" spans="1:25" x14ac:dyDescent="0.3">
      <c r="A721" s="1" t="s">
        <v>907</v>
      </c>
      <c r="B721" s="1" t="s">
        <v>95</v>
      </c>
      <c r="C721" s="1" t="s">
        <v>96</v>
      </c>
      <c r="D721" s="1" t="s">
        <v>97</v>
      </c>
      <c r="E721" s="1" t="s">
        <v>74</v>
      </c>
      <c r="F721" s="1" t="s">
        <v>30</v>
      </c>
      <c r="G721" s="2">
        <v>216.71</v>
      </c>
      <c r="H721" s="1">
        <v>1</v>
      </c>
      <c r="I721" s="1">
        <v>193</v>
      </c>
      <c r="J721" s="1">
        <v>174</v>
      </c>
      <c r="K721" s="1">
        <v>60</v>
      </c>
      <c r="L721" s="1">
        <v>114</v>
      </c>
      <c r="M721" s="1" t="s">
        <v>41</v>
      </c>
      <c r="N721" s="1" t="s">
        <v>42</v>
      </c>
      <c r="O721" s="1" t="s">
        <v>137</v>
      </c>
      <c r="P721" s="2">
        <v>151.69999999999999</v>
      </c>
      <c r="Q721" s="1" t="str">
        <f t="shared" si="33"/>
        <v>YES</v>
      </c>
      <c r="R721" s="2">
        <f t="shared" si="34"/>
        <v>195.03900000000002</v>
      </c>
      <c r="S721" s="2">
        <f>J721*G721</f>
        <v>37707.54</v>
      </c>
      <c r="T721" s="1">
        <f t="shared" ca="1" si="35"/>
        <v>107</v>
      </c>
      <c r="U721" s="1" t="s">
        <v>34</v>
      </c>
      <c r="V721" s="1" t="s">
        <v>34</v>
      </c>
      <c r="W721" s="1" t="s">
        <v>34</v>
      </c>
      <c r="X721" s="1" t="s">
        <v>2716</v>
      </c>
      <c r="Y721" s="1">
        <v>5.5</v>
      </c>
    </row>
    <row r="722" spans="1:25" x14ac:dyDescent="0.3">
      <c r="A722" s="1" t="s">
        <v>908</v>
      </c>
      <c r="B722" s="1" t="s">
        <v>143</v>
      </c>
      <c r="C722" s="1" t="s">
        <v>144</v>
      </c>
      <c r="D722" s="1" t="s">
        <v>47</v>
      </c>
      <c r="E722" s="1" t="s">
        <v>40</v>
      </c>
      <c r="F722" s="1" t="s">
        <v>48</v>
      </c>
      <c r="G722" s="2">
        <v>119.13</v>
      </c>
      <c r="H722" s="1">
        <v>4</v>
      </c>
      <c r="I722" s="1">
        <v>149</v>
      </c>
      <c r="J722" s="1">
        <v>149</v>
      </c>
      <c r="K722" s="1">
        <v>50</v>
      </c>
      <c r="L722" s="1">
        <v>111</v>
      </c>
      <c r="M722" s="1" t="s">
        <v>31</v>
      </c>
      <c r="N722" s="1" t="s">
        <v>42</v>
      </c>
      <c r="O722" s="1" t="s">
        <v>398</v>
      </c>
      <c r="P722" s="2">
        <v>83.39</v>
      </c>
      <c r="Q722" s="1" t="str">
        <f t="shared" si="33"/>
        <v>YES</v>
      </c>
      <c r="R722" s="2">
        <f t="shared" si="34"/>
        <v>107.217</v>
      </c>
      <c r="S722" s="2">
        <f>J722*G722</f>
        <v>17750.37</v>
      </c>
      <c r="T722" s="1">
        <f t="shared" ca="1" si="35"/>
        <v>86</v>
      </c>
      <c r="U722" s="1" t="s">
        <v>34</v>
      </c>
      <c r="V722" s="1" t="s">
        <v>34</v>
      </c>
      <c r="W722" s="1" t="s">
        <v>34</v>
      </c>
      <c r="X722" s="1" t="s">
        <v>2538</v>
      </c>
      <c r="Y722" s="1">
        <v>6</v>
      </c>
    </row>
    <row r="723" spans="1:25" x14ac:dyDescent="0.3">
      <c r="A723" s="1" t="s">
        <v>909</v>
      </c>
      <c r="B723" s="1" t="s">
        <v>72</v>
      </c>
      <c r="C723" s="1" t="s">
        <v>73</v>
      </c>
      <c r="D723" s="1" t="s">
        <v>47</v>
      </c>
      <c r="E723" s="1" t="s">
        <v>40</v>
      </c>
      <c r="F723" s="1" t="s">
        <v>30</v>
      </c>
      <c r="G723" s="2">
        <v>427.3</v>
      </c>
      <c r="H723" s="1">
        <v>15</v>
      </c>
      <c r="I723" s="1">
        <v>300</v>
      </c>
      <c r="J723" s="1">
        <v>274</v>
      </c>
      <c r="K723" s="1">
        <v>91</v>
      </c>
      <c r="L723" s="1">
        <v>150</v>
      </c>
      <c r="M723" s="1" t="s">
        <v>49</v>
      </c>
      <c r="N723" s="1" t="s">
        <v>32</v>
      </c>
      <c r="O723" s="1" t="s">
        <v>410</v>
      </c>
      <c r="P723" s="2">
        <v>299.11</v>
      </c>
      <c r="Q723" s="1" t="str">
        <f t="shared" si="33"/>
        <v>YES</v>
      </c>
      <c r="R723" s="2">
        <f t="shared" si="34"/>
        <v>384.57</v>
      </c>
      <c r="S723" s="2">
        <f>J723*G723</f>
        <v>117080.2</v>
      </c>
      <c r="T723" s="1">
        <f t="shared" ca="1" si="35"/>
        <v>136</v>
      </c>
      <c r="U723" s="1" t="s">
        <v>34</v>
      </c>
      <c r="V723" s="1" t="s">
        <v>34</v>
      </c>
      <c r="W723" s="1" t="s">
        <v>34</v>
      </c>
      <c r="X723" s="1" t="s">
        <v>2638</v>
      </c>
      <c r="Y723" s="1">
        <v>6.5</v>
      </c>
    </row>
    <row r="724" spans="1:25" x14ac:dyDescent="0.3">
      <c r="A724" s="1" t="s">
        <v>910</v>
      </c>
      <c r="B724" s="1" t="s">
        <v>189</v>
      </c>
      <c r="C724" s="1" t="s">
        <v>190</v>
      </c>
      <c r="D724" s="1" t="s">
        <v>59</v>
      </c>
      <c r="E724" s="1" t="s">
        <v>29</v>
      </c>
      <c r="F724" s="1" t="s">
        <v>48</v>
      </c>
      <c r="G724" s="2">
        <v>475.03</v>
      </c>
      <c r="H724" s="1">
        <v>7</v>
      </c>
      <c r="I724" s="1">
        <v>170</v>
      </c>
      <c r="J724" s="1">
        <v>151</v>
      </c>
      <c r="K724" s="1">
        <v>70</v>
      </c>
      <c r="L724" s="1">
        <v>95</v>
      </c>
      <c r="M724" s="1" t="s">
        <v>49</v>
      </c>
      <c r="N724" s="1" t="s">
        <v>32</v>
      </c>
      <c r="O724" s="1" t="s">
        <v>153</v>
      </c>
      <c r="P724" s="2">
        <v>332.52</v>
      </c>
      <c r="Q724" s="1" t="str">
        <f t="shared" si="33"/>
        <v>YES</v>
      </c>
      <c r="R724" s="2">
        <f t="shared" si="34"/>
        <v>427.52699999999999</v>
      </c>
      <c r="S724" s="2">
        <f>J724*G724</f>
        <v>71729.53</v>
      </c>
      <c r="T724" s="1">
        <f t="shared" ca="1" si="35"/>
        <v>135</v>
      </c>
      <c r="U724" s="1" t="s">
        <v>34</v>
      </c>
      <c r="V724" s="1" t="s">
        <v>34</v>
      </c>
      <c r="W724" s="1" t="s">
        <v>34</v>
      </c>
      <c r="X724" s="1" t="s">
        <v>2518</v>
      </c>
      <c r="Y724" s="1">
        <v>7</v>
      </c>
    </row>
    <row r="725" spans="1:25" x14ac:dyDescent="0.3">
      <c r="A725" s="1" t="s">
        <v>911</v>
      </c>
      <c r="B725" s="1" t="s">
        <v>197</v>
      </c>
      <c r="C725" s="1" t="s">
        <v>198</v>
      </c>
      <c r="D725" s="1" t="s">
        <v>104</v>
      </c>
      <c r="E725" s="1" t="s">
        <v>29</v>
      </c>
      <c r="F725" s="1" t="s">
        <v>54</v>
      </c>
      <c r="G725" s="2">
        <v>319.41000000000003</v>
      </c>
      <c r="H725" s="1">
        <v>11</v>
      </c>
      <c r="I725" s="1">
        <v>235</v>
      </c>
      <c r="J725" s="1">
        <v>196</v>
      </c>
      <c r="K725" s="1">
        <v>70</v>
      </c>
      <c r="L725" s="1">
        <v>91</v>
      </c>
      <c r="M725" s="1" t="s">
        <v>41</v>
      </c>
      <c r="N725" s="1" t="s">
        <v>60</v>
      </c>
      <c r="O725" s="1" t="s">
        <v>242</v>
      </c>
      <c r="P725" s="2">
        <v>223.59</v>
      </c>
      <c r="Q725" s="1" t="str">
        <f t="shared" si="33"/>
        <v>YES</v>
      </c>
      <c r="R725" s="2">
        <f t="shared" si="34"/>
        <v>287.46900000000005</v>
      </c>
      <c r="S725" s="2">
        <f>J725*G725</f>
        <v>62604.360000000008</v>
      </c>
      <c r="T725" s="1">
        <f t="shared" ca="1" si="35"/>
        <v>105</v>
      </c>
      <c r="U725" s="1" t="s">
        <v>34</v>
      </c>
      <c r="V725" s="1" t="s">
        <v>34</v>
      </c>
      <c r="W725" s="1" t="s">
        <v>34</v>
      </c>
      <c r="X725" s="1" t="s">
        <v>2763</v>
      </c>
      <c r="Y725" s="1">
        <v>7.5</v>
      </c>
    </row>
    <row r="726" spans="1:25" x14ac:dyDescent="0.3">
      <c r="A726" s="1" t="s">
        <v>912</v>
      </c>
      <c r="B726" s="1" t="s">
        <v>192</v>
      </c>
      <c r="C726" s="1" t="s">
        <v>193</v>
      </c>
      <c r="D726" s="1" t="s">
        <v>85</v>
      </c>
      <c r="E726" s="1" t="s">
        <v>40</v>
      </c>
      <c r="F726" s="1" t="s">
        <v>54</v>
      </c>
      <c r="G726" s="2">
        <v>138.27000000000001</v>
      </c>
      <c r="H726" s="1">
        <v>22</v>
      </c>
      <c r="I726" s="1">
        <v>150</v>
      </c>
      <c r="J726" s="1">
        <v>146</v>
      </c>
      <c r="K726" s="1">
        <v>105</v>
      </c>
      <c r="L726" s="1">
        <v>134</v>
      </c>
      <c r="M726" s="1" t="s">
        <v>31</v>
      </c>
      <c r="N726" s="1" t="s">
        <v>32</v>
      </c>
      <c r="O726" s="1" t="s">
        <v>81</v>
      </c>
      <c r="P726" s="2">
        <v>96.79</v>
      </c>
      <c r="Q726" s="1" t="str">
        <f t="shared" si="33"/>
        <v>YES</v>
      </c>
      <c r="R726" s="2">
        <f t="shared" si="34"/>
        <v>124.44300000000001</v>
      </c>
      <c r="S726" s="2">
        <f>J726*G726</f>
        <v>20187.420000000002</v>
      </c>
      <c r="T726" s="1">
        <f t="shared" ca="1" si="35"/>
        <v>81</v>
      </c>
      <c r="U726" s="1" t="s">
        <v>34</v>
      </c>
      <c r="V726" s="1" t="s">
        <v>34</v>
      </c>
      <c r="W726" s="1" t="s">
        <v>34</v>
      </c>
      <c r="X726" s="1" t="s">
        <v>2772</v>
      </c>
      <c r="Y726" s="1">
        <v>8</v>
      </c>
    </row>
    <row r="727" spans="1:25" x14ac:dyDescent="0.3">
      <c r="A727" s="1" t="s">
        <v>913</v>
      </c>
      <c r="B727" s="1" t="s">
        <v>130</v>
      </c>
      <c r="C727" s="1" t="s">
        <v>131</v>
      </c>
      <c r="D727" s="1" t="s">
        <v>132</v>
      </c>
      <c r="E727" s="1" t="s">
        <v>40</v>
      </c>
      <c r="F727" s="1" t="s">
        <v>30</v>
      </c>
      <c r="G727" s="2">
        <v>329.32</v>
      </c>
      <c r="H727" s="1">
        <v>10</v>
      </c>
      <c r="I727" s="1">
        <v>181</v>
      </c>
      <c r="J727" s="1">
        <v>160</v>
      </c>
      <c r="K727" s="1">
        <v>114</v>
      </c>
      <c r="L727" s="1">
        <v>104</v>
      </c>
      <c r="M727" s="1" t="s">
        <v>31</v>
      </c>
      <c r="N727" s="1" t="s">
        <v>42</v>
      </c>
      <c r="O727" s="1" t="s">
        <v>178</v>
      </c>
      <c r="P727" s="2">
        <v>230.52</v>
      </c>
      <c r="Q727" s="1" t="str">
        <f t="shared" si="33"/>
        <v>YES</v>
      </c>
      <c r="R727" s="2">
        <f t="shared" si="34"/>
        <v>296.38799999999998</v>
      </c>
      <c r="S727" s="2">
        <f>J727*G727</f>
        <v>52691.199999999997</v>
      </c>
      <c r="T727" s="1">
        <f t="shared" ca="1" si="35"/>
        <v>90</v>
      </c>
      <c r="U727" s="1" t="s">
        <v>34</v>
      </c>
      <c r="V727" s="1" t="s">
        <v>34</v>
      </c>
      <c r="W727" s="1" t="s">
        <v>34</v>
      </c>
      <c r="X727" s="1" t="s">
        <v>2648</v>
      </c>
      <c r="Y727" s="1">
        <v>8.5</v>
      </c>
    </row>
    <row r="728" spans="1:25" x14ac:dyDescent="0.3">
      <c r="A728" s="1" t="s">
        <v>914</v>
      </c>
      <c r="B728" s="1" t="s">
        <v>166</v>
      </c>
      <c r="C728" s="1" t="s">
        <v>167</v>
      </c>
      <c r="D728" s="1" t="s">
        <v>59</v>
      </c>
      <c r="E728" s="1" t="s">
        <v>40</v>
      </c>
      <c r="F728" s="1" t="s">
        <v>30</v>
      </c>
      <c r="G728" s="2">
        <v>125.13</v>
      </c>
      <c r="H728" s="1">
        <v>21</v>
      </c>
      <c r="I728" s="1">
        <v>233</v>
      </c>
      <c r="J728" s="1">
        <v>215</v>
      </c>
      <c r="K728" s="1">
        <v>102</v>
      </c>
      <c r="L728" s="1">
        <v>138</v>
      </c>
      <c r="M728" s="1" t="s">
        <v>41</v>
      </c>
      <c r="N728" s="1" t="s">
        <v>32</v>
      </c>
      <c r="O728" s="1" t="s">
        <v>75</v>
      </c>
      <c r="P728" s="2">
        <v>87.59</v>
      </c>
      <c r="Q728" s="1" t="str">
        <f t="shared" si="33"/>
        <v>YES</v>
      </c>
      <c r="R728" s="2">
        <f t="shared" si="34"/>
        <v>112.617</v>
      </c>
      <c r="S728" s="2">
        <f>J728*G728</f>
        <v>26902.95</v>
      </c>
      <c r="T728" s="1">
        <f t="shared" ca="1" si="35"/>
        <v>123</v>
      </c>
      <c r="U728" s="1" t="s">
        <v>34</v>
      </c>
      <c r="V728" s="1" t="s">
        <v>34</v>
      </c>
      <c r="W728" s="1" t="s">
        <v>34</v>
      </c>
      <c r="X728" s="1" t="s">
        <v>2681</v>
      </c>
      <c r="Y728" s="1">
        <v>9</v>
      </c>
    </row>
    <row r="729" spans="1:25" x14ac:dyDescent="0.3">
      <c r="A729" s="1" t="s">
        <v>915</v>
      </c>
      <c r="B729" s="1" t="s">
        <v>102</v>
      </c>
      <c r="C729" s="1" t="s">
        <v>103</v>
      </c>
      <c r="D729" s="1" t="s">
        <v>104</v>
      </c>
      <c r="E729" s="1" t="s">
        <v>40</v>
      </c>
      <c r="F729" s="1" t="s">
        <v>48</v>
      </c>
      <c r="G729" s="2">
        <v>151.32</v>
      </c>
      <c r="H729" s="1">
        <v>12</v>
      </c>
      <c r="I729" s="1">
        <v>227</v>
      </c>
      <c r="J729" s="1">
        <v>224</v>
      </c>
      <c r="K729" s="1">
        <v>41</v>
      </c>
      <c r="L729" s="1">
        <v>75</v>
      </c>
      <c r="M729" s="1" t="s">
        <v>49</v>
      </c>
      <c r="N729" s="1" t="s">
        <v>60</v>
      </c>
      <c r="O729" s="1" t="s">
        <v>398</v>
      </c>
      <c r="P729" s="2">
        <v>105.92</v>
      </c>
      <c r="Q729" s="1" t="str">
        <f t="shared" si="33"/>
        <v>YES</v>
      </c>
      <c r="R729" s="2">
        <f t="shared" si="34"/>
        <v>136.18799999999999</v>
      </c>
      <c r="S729" s="2">
        <f>J729*G729</f>
        <v>33895.68</v>
      </c>
      <c r="T729" s="1">
        <f t="shared" ca="1" si="35"/>
        <v>86</v>
      </c>
      <c r="U729" s="1" t="s">
        <v>34</v>
      </c>
      <c r="V729" s="1" t="s">
        <v>34</v>
      </c>
      <c r="W729" s="1" t="s">
        <v>34</v>
      </c>
      <c r="X729" s="1" t="s">
        <v>2859</v>
      </c>
      <c r="Y729" s="1">
        <v>9.5</v>
      </c>
    </row>
    <row r="730" spans="1:25" x14ac:dyDescent="0.3">
      <c r="A730" s="1" t="s">
        <v>916</v>
      </c>
      <c r="B730" s="1" t="s">
        <v>111</v>
      </c>
      <c r="C730" s="1" t="s">
        <v>112</v>
      </c>
      <c r="D730" s="1" t="s">
        <v>97</v>
      </c>
      <c r="E730" s="1" t="s">
        <v>29</v>
      </c>
      <c r="F730" s="1" t="s">
        <v>54</v>
      </c>
      <c r="G730" s="2">
        <v>412.01</v>
      </c>
      <c r="H730" s="1">
        <v>17</v>
      </c>
      <c r="I730" s="1">
        <v>158</v>
      </c>
      <c r="J730" s="1">
        <v>144</v>
      </c>
      <c r="K730" s="1">
        <v>75</v>
      </c>
      <c r="L730" s="1">
        <v>86</v>
      </c>
      <c r="M730" s="1" t="s">
        <v>31</v>
      </c>
      <c r="N730" s="1" t="s">
        <v>60</v>
      </c>
      <c r="O730" s="1" t="s">
        <v>35</v>
      </c>
      <c r="P730" s="2">
        <v>288.41000000000003</v>
      </c>
      <c r="Q730" s="1" t="str">
        <f t="shared" si="33"/>
        <v>YES</v>
      </c>
      <c r="R730" s="2">
        <f t="shared" si="34"/>
        <v>370.80900000000003</v>
      </c>
      <c r="S730" s="2">
        <f>J730*G730</f>
        <v>59329.440000000002</v>
      </c>
      <c r="T730" s="1">
        <f t="shared" ca="1" si="35"/>
        <v>85</v>
      </c>
      <c r="U730" s="1" t="s">
        <v>34</v>
      </c>
      <c r="V730" s="1" t="s">
        <v>34</v>
      </c>
      <c r="W730" s="1" t="s">
        <v>34</v>
      </c>
      <c r="X730" s="1" t="s">
        <v>2599</v>
      </c>
      <c r="Y730" s="1">
        <v>5</v>
      </c>
    </row>
    <row r="731" spans="1:25" x14ac:dyDescent="0.3">
      <c r="A731" s="1" t="s">
        <v>917</v>
      </c>
      <c r="B731" s="1" t="s">
        <v>192</v>
      </c>
      <c r="C731" s="1" t="s">
        <v>193</v>
      </c>
      <c r="D731" s="1" t="s">
        <v>85</v>
      </c>
      <c r="E731" s="1" t="s">
        <v>74</v>
      </c>
      <c r="F731" s="1" t="s">
        <v>54</v>
      </c>
      <c r="G731" s="2">
        <v>363.02</v>
      </c>
      <c r="H731" s="1">
        <v>16</v>
      </c>
      <c r="I731" s="1">
        <v>196</v>
      </c>
      <c r="J731" s="1">
        <v>168</v>
      </c>
      <c r="K731" s="1">
        <v>92</v>
      </c>
      <c r="L731" s="1">
        <v>106</v>
      </c>
      <c r="M731" s="1" t="s">
        <v>49</v>
      </c>
      <c r="N731" s="1" t="s">
        <v>32</v>
      </c>
      <c r="O731" s="1" t="s">
        <v>333</v>
      </c>
      <c r="P731" s="2">
        <v>254.11</v>
      </c>
      <c r="Q731" s="1" t="str">
        <f t="shared" si="33"/>
        <v>YES</v>
      </c>
      <c r="R731" s="2">
        <f t="shared" si="34"/>
        <v>326.71800000000002</v>
      </c>
      <c r="S731" s="2">
        <f>J731*G731</f>
        <v>60987.360000000001</v>
      </c>
      <c r="T731" s="1">
        <f t="shared" ca="1" si="35"/>
        <v>109</v>
      </c>
      <c r="U731" s="1" t="s">
        <v>34</v>
      </c>
      <c r="V731" s="1" t="s">
        <v>34</v>
      </c>
      <c r="W731" s="1" t="s">
        <v>34</v>
      </c>
      <c r="X731" s="1" t="s">
        <v>2567</v>
      </c>
      <c r="Y731" s="1">
        <v>5.5</v>
      </c>
    </row>
    <row r="732" spans="1:25" x14ac:dyDescent="0.3">
      <c r="A732" s="1" t="s">
        <v>918</v>
      </c>
      <c r="B732" s="1" t="s">
        <v>63</v>
      </c>
      <c r="C732" s="1" t="s">
        <v>64</v>
      </c>
      <c r="D732" s="1" t="s">
        <v>28</v>
      </c>
      <c r="E732" s="1" t="s">
        <v>29</v>
      </c>
      <c r="F732" s="1" t="s">
        <v>48</v>
      </c>
      <c r="G732" s="2">
        <v>89.47</v>
      </c>
      <c r="H732" s="1">
        <v>7</v>
      </c>
      <c r="I732" s="1">
        <v>264</v>
      </c>
      <c r="J732" s="1">
        <v>259</v>
      </c>
      <c r="K732" s="1">
        <v>74</v>
      </c>
      <c r="L732" s="1">
        <v>148</v>
      </c>
      <c r="M732" s="1" t="s">
        <v>41</v>
      </c>
      <c r="N732" s="1" t="s">
        <v>32</v>
      </c>
      <c r="O732" s="1" t="s">
        <v>266</v>
      </c>
      <c r="P732" s="2">
        <v>62.63</v>
      </c>
      <c r="Q732" s="1" t="str">
        <f t="shared" si="33"/>
        <v>YES</v>
      </c>
      <c r="R732" s="2">
        <f t="shared" si="34"/>
        <v>80.522999999999996</v>
      </c>
      <c r="S732" s="2">
        <f>J732*G732</f>
        <v>23172.73</v>
      </c>
      <c r="T732" s="1">
        <f t="shared" ca="1" si="35"/>
        <v>139</v>
      </c>
      <c r="U732" s="1" t="s">
        <v>34</v>
      </c>
      <c r="V732" s="1" t="s">
        <v>34</v>
      </c>
      <c r="W732" s="1" t="s">
        <v>34</v>
      </c>
      <c r="X732" s="1" t="s">
        <v>2684</v>
      </c>
      <c r="Y732" s="1">
        <v>6</v>
      </c>
    </row>
    <row r="733" spans="1:25" x14ac:dyDescent="0.3">
      <c r="A733" s="1" t="s">
        <v>919</v>
      </c>
      <c r="B733" s="1" t="s">
        <v>102</v>
      </c>
      <c r="C733" s="1" t="s">
        <v>103</v>
      </c>
      <c r="D733" s="1" t="s">
        <v>104</v>
      </c>
      <c r="E733" s="1" t="s">
        <v>29</v>
      </c>
      <c r="F733" s="1" t="s">
        <v>54</v>
      </c>
      <c r="G733" s="2">
        <v>494.53</v>
      </c>
      <c r="H733" s="1">
        <v>25</v>
      </c>
      <c r="I733" s="1">
        <v>143</v>
      </c>
      <c r="J733" s="1">
        <v>131</v>
      </c>
      <c r="K733" s="1">
        <v>73</v>
      </c>
      <c r="L733" s="1">
        <v>68</v>
      </c>
      <c r="M733" s="1" t="s">
        <v>41</v>
      </c>
      <c r="N733" s="1" t="s">
        <v>60</v>
      </c>
      <c r="O733" s="1" t="s">
        <v>33</v>
      </c>
      <c r="P733" s="2">
        <v>346.17</v>
      </c>
      <c r="Q733" s="1" t="str">
        <f t="shared" si="33"/>
        <v>YES</v>
      </c>
      <c r="R733" s="2">
        <f t="shared" si="34"/>
        <v>445.077</v>
      </c>
      <c r="S733" s="2">
        <f>J733*G733</f>
        <v>64783.429999999993</v>
      </c>
      <c r="T733" s="1">
        <f t="shared" ca="1" si="35"/>
        <v>141</v>
      </c>
      <c r="U733" s="1" t="s">
        <v>34</v>
      </c>
      <c r="V733" s="1" t="s">
        <v>34</v>
      </c>
      <c r="W733" s="1" t="s">
        <v>34</v>
      </c>
      <c r="X733" s="1" t="s">
        <v>2860</v>
      </c>
      <c r="Y733" s="1">
        <v>6.5</v>
      </c>
    </row>
    <row r="734" spans="1:25" x14ac:dyDescent="0.3">
      <c r="A734" s="1" t="s">
        <v>920</v>
      </c>
      <c r="B734" s="1" t="s">
        <v>176</v>
      </c>
      <c r="C734" s="1" t="s">
        <v>177</v>
      </c>
      <c r="D734" s="1" t="s">
        <v>39</v>
      </c>
      <c r="E734" s="1" t="s">
        <v>74</v>
      </c>
      <c r="F734" s="1" t="s">
        <v>48</v>
      </c>
      <c r="G734" s="2">
        <v>280.01</v>
      </c>
      <c r="H734" s="1">
        <v>9</v>
      </c>
      <c r="I734" s="1">
        <v>196</v>
      </c>
      <c r="J734" s="1">
        <v>163</v>
      </c>
      <c r="K734" s="1">
        <v>79</v>
      </c>
      <c r="L734" s="1">
        <v>106</v>
      </c>
      <c r="M734" s="1" t="s">
        <v>41</v>
      </c>
      <c r="N734" s="1" t="s">
        <v>32</v>
      </c>
      <c r="O734" s="1" t="s">
        <v>81</v>
      </c>
      <c r="P734" s="2">
        <v>196.01</v>
      </c>
      <c r="Q734" s="1" t="str">
        <f t="shared" si="33"/>
        <v>YES</v>
      </c>
      <c r="R734" s="2">
        <f t="shared" si="34"/>
        <v>252.00899999999999</v>
      </c>
      <c r="S734" s="2">
        <f>J734*G734</f>
        <v>45641.63</v>
      </c>
      <c r="T734" s="1">
        <f t="shared" ca="1" si="35"/>
        <v>81</v>
      </c>
      <c r="U734" s="1" t="s">
        <v>34</v>
      </c>
      <c r="V734" s="1" t="s">
        <v>34</v>
      </c>
      <c r="W734" s="1" t="s">
        <v>34</v>
      </c>
      <c r="X734" s="1" t="s">
        <v>2739</v>
      </c>
      <c r="Y734" s="1">
        <v>7</v>
      </c>
    </row>
    <row r="735" spans="1:25" x14ac:dyDescent="0.3">
      <c r="A735" s="1" t="s">
        <v>921</v>
      </c>
      <c r="B735" s="1" t="s">
        <v>262</v>
      </c>
      <c r="C735" s="1" t="s">
        <v>263</v>
      </c>
      <c r="D735" s="1" t="s">
        <v>104</v>
      </c>
      <c r="E735" s="1" t="s">
        <v>29</v>
      </c>
      <c r="F735" s="1" t="s">
        <v>48</v>
      </c>
      <c r="G735" s="2">
        <v>112.3</v>
      </c>
      <c r="H735" s="1">
        <v>15</v>
      </c>
      <c r="I735" s="1">
        <v>123</v>
      </c>
      <c r="J735" s="1">
        <v>89</v>
      </c>
      <c r="K735" s="1">
        <v>44</v>
      </c>
      <c r="L735" s="1">
        <v>61</v>
      </c>
      <c r="M735" s="1" t="s">
        <v>41</v>
      </c>
      <c r="N735" s="1" t="s">
        <v>32</v>
      </c>
      <c r="O735" s="1" t="s">
        <v>178</v>
      </c>
      <c r="P735" s="2">
        <v>78.61</v>
      </c>
      <c r="Q735" s="1" t="str">
        <f t="shared" si="33"/>
        <v>YES</v>
      </c>
      <c r="R735" s="2">
        <f t="shared" si="34"/>
        <v>101.07</v>
      </c>
      <c r="S735" s="2">
        <f>J735*G735</f>
        <v>9994.6999999999989</v>
      </c>
      <c r="T735" s="1">
        <f t="shared" ca="1" si="35"/>
        <v>90</v>
      </c>
      <c r="U735" s="1" t="s">
        <v>34</v>
      </c>
      <c r="V735" s="1" t="s">
        <v>34</v>
      </c>
      <c r="W735" s="1" t="s">
        <v>34</v>
      </c>
      <c r="X735" s="1" t="s">
        <v>2522</v>
      </c>
      <c r="Y735" s="1">
        <v>7.5</v>
      </c>
    </row>
    <row r="736" spans="1:25" x14ac:dyDescent="0.3">
      <c r="A736" s="1" t="s">
        <v>922</v>
      </c>
      <c r="B736" s="1" t="s">
        <v>37</v>
      </c>
      <c r="C736" s="1" t="s">
        <v>38</v>
      </c>
      <c r="D736" s="1" t="s">
        <v>39</v>
      </c>
      <c r="E736" s="1" t="s">
        <v>74</v>
      </c>
      <c r="F736" s="1" t="s">
        <v>48</v>
      </c>
      <c r="G736" s="2">
        <v>331.14</v>
      </c>
      <c r="H736" s="1">
        <v>0</v>
      </c>
      <c r="I736" s="1">
        <v>227</v>
      </c>
      <c r="J736" s="1">
        <v>207</v>
      </c>
      <c r="K736" s="1">
        <v>108</v>
      </c>
      <c r="L736" s="1">
        <v>125</v>
      </c>
      <c r="M736" s="1" t="s">
        <v>31</v>
      </c>
      <c r="N736" s="1" t="s">
        <v>32</v>
      </c>
      <c r="O736" s="1" t="s">
        <v>159</v>
      </c>
      <c r="P736" s="2">
        <v>231.8</v>
      </c>
      <c r="Q736" s="1" t="str">
        <f t="shared" si="33"/>
        <v>YES</v>
      </c>
      <c r="R736" s="2">
        <f t="shared" si="34"/>
        <v>298.02600000000001</v>
      </c>
      <c r="S736" s="2">
        <f>J736*G736</f>
        <v>68545.98</v>
      </c>
      <c r="T736" s="1">
        <f t="shared" ca="1" si="35"/>
        <v>134</v>
      </c>
      <c r="U736" s="1" t="s">
        <v>34</v>
      </c>
      <c r="V736" s="1" t="s">
        <v>34</v>
      </c>
      <c r="W736" s="1" t="s">
        <v>34</v>
      </c>
      <c r="X736" s="1" t="s">
        <v>2861</v>
      </c>
      <c r="Y736" s="1">
        <v>8</v>
      </c>
    </row>
    <row r="737" spans="1:25" x14ac:dyDescent="0.3">
      <c r="A737" s="1" t="s">
        <v>923</v>
      </c>
      <c r="B737" s="1" t="s">
        <v>130</v>
      </c>
      <c r="C737" s="1" t="s">
        <v>131</v>
      </c>
      <c r="D737" s="1" t="s">
        <v>132</v>
      </c>
      <c r="E737" s="1" t="s">
        <v>40</v>
      </c>
      <c r="F737" s="1" t="s">
        <v>48</v>
      </c>
      <c r="G737" s="2">
        <v>157.84</v>
      </c>
      <c r="H737" s="1">
        <v>19</v>
      </c>
      <c r="I737" s="1">
        <v>105</v>
      </c>
      <c r="J737" s="1">
        <v>90</v>
      </c>
      <c r="K737" s="1">
        <v>108</v>
      </c>
      <c r="L737" s="1">
        <v>142</v>
      </c>
      <c r="M737" s="1" t="s">
        <v>41</v>
      </c>
      <c r="N737" s="1" t="s">
        <v>32</v>
      </c>
      <c r="O737" s="1" t="s">
        <v>287</v>
      </c>
      <c r="P737" s="2">
        <v>110.49</v>
      </c>
      <c r="Q737" s="1" t="str">
        <f t="shared" si="33"/>
        <v>NO</v>
      </c>
      <c r="R737" s="2">
        <f t="shared" si="34"/>
        <v>157.84</v>
      </c>
      <c r="S737" s="2">
        <f>J737*G737</f>
        <v>14205.6</v>
      </c>
      <c r="T737" s="1">
        <f t="shared" ca="1" si="35"/>
        <v>143</v>
      </c>
      <c r="U737" s="1" t="s">
        <v>34</v>
      </c>
      <c r="V737" s="1" t="s">
        <v>34</v>
      </c>
      <c r="W737" s="1" t="s">
        <v>34</v>
      </c>
      <c r="X737" s="1" t="s">
        <v>2782</v>
      </c>
      <c r="Y737" s="1">
        <v>8.5</v>
      </c>
    </row>
    <row r="738" spans="1:25" x14ac:dyDescent="0.3">
      <c r="A738" s="1" t="s">
        <v>924</v>
      </c>
      <c r="B738" s="1" t="s">
        <v>262</v>
      </c>
      <c r="C738" s="1" t="s">
        <v>263</v>
      </c>
      <c r="D738" s="1" t="s">
        <v>104</v>
      </c>
      <c r="E738" s="1" t="s">
        <v>40</v>
      </c>
      <c r="F738" s="1" t="s">
        <v>54</v>
      </c>
      <c r="G738" s="2">
        <v>326.83</v>
      </c>
      <c r="H738" s="1">
        <v>8</v>
      </c>
      <c r="I738" s="1">
        <v>281</v>
      </c>
      <c r="J738" s="1">
        <v>277</v>
      </c>
      <c r="K738" s="1">
        <v>86</v>
      </c>
      <c r="L738" s="1">
        <v>107</v>
      </c>
      <c r="M738" s="1" t="s">
        <v>49</v>
      </c>
      <c r="N738" s="1" t="s">
        <v>32</v>
      </c>
      <c r="O738" s="1" t="s">
        <v>153</v>
      </c>
      <c r="P738" s="2">
        <v>228.78</v>
      </c>
      <c r="Q738" s="1" t="str">
        <f t="shared" si="33"/>
        <v>YES</v>
      </c>
      <c r="R738" s="2">
        <f t="shared" si="34"/>
        <v>294.14699999999999</v>
      </c>
      <c r="S738" s="2">
        <f>J738*G738</f>
        <v>90531.909999999989</v>
      </c>
      <c r="T738" s="1">
        <f t="shared" ca="1" si="35"/>
        <v>135</v>
      </c>
      <c r="U738" s="1" t="s">
        <v>34</v>
      </c>
      <c r="V738" s="1" t="s">
        <v>34</v>
      </c>
      <c r="W738" s="1" t="s">
        <v>34</v>
      </c>
      <c r="X738" s="1" t="s">
        <v>2596</v>
      </c>
      <c r="Y738" s="1">
        <v>9</v>
      </c>
    </row>
    <row r="739" spans="1:25" x14ac:dyDescent="0.3">
      <c r="A739" s="1" t="s">
        <v>925</v>
      </c>
      <c r="B739" s="1" t="s">
        <v>37</v>
      </c>
      <c r="C739" s="1" t="s">
        <v>38</v>
      </c>
      <c r="D739" s="1" t="s">
        <v>39</v>
      </c>
      <c r="E739" s="1" t="s">
        <v>74</v>
      </c>
      <c r="F739" s="1" t="s">
        <v>54</v>
      </c>
      <c r="G739" s="2">
        <v>225.56</v>
      </c>
      <c r="H739" s="1">
        <v>20</v>
      </c>
      <c r="I739" s="1">
        <v>147</v>
      </c>
      <c r="J739" s="1">
        <v>120</v>
      </c>
      <c r="K739" s="1">
        <v>43</v>
      </c>
      <c r="L739" s="1">
        <v>127</v>
      </c>
      <c r="M739" s="1" t="s">
        <v>41</v>
      </c>
      <c r="N739" s="1" t="s">
        <v>42</v>
      </c>
      <c r="O739" s="1" t="s">
        <v>224</v>
      </c>
      <c r="P739" s="2">
        <v>157.88999999999999</v>
      </c>
      <c r="Q739" s="1" t="str">
        <f t="shared" si="33"/>
        <v>YES</v>
      </c>
      <c r="R739" s="2">
        <f t="shared" si="34"/>
        <v>203.00400000000002</v>
      </c>
      <c r="S739" s="2">
        <f>J739*G739</f>
        <v>27067.200000000001</v>
      </c>
      <c r="T739" s="1">
        <f t="shared" ca="1" si="35"/>
        <v>140</v>
      </c>
      <c r="U739" s="1" t="s">
        <v>34</v>
      </c>
      <c r="V739" s="1" t="s">
        <v>34</v>
      </c>
      <c r="W739" s="1" t="s">
        <v>34</v>
      </c>
      <c r="X739" s="1" t="s">
        <v>2862</v>
      </c>
      <c r="Y739" s="1">
        <v>9.5</v>
      </c>
    </row>
    <row r="740" spans="1:25" x14ac:dyDescent="0.3">
      <c r="A740" s="1" t="s">
        <v>926</v>
      </c>
      <c r="B740" s="1" t="s">
        <v>95</v>
      </c>
      <c r="C740" s="1" t="s">
        <v>96</v>
      </c>
      <c r="D740" s="1" t="s">
        <v>97</v>
      </c>
      <c r="E740" s="1" t="s">
        <v>74</v>
      </c>
      <c r="F740" s="1" t="s">
        <v>48</v>
      </c>
      <c r="G740" s="2">
        <v>209.68</v>
      </c>
      <c r="H740" s="1">
        <v>6</v>
      </c>
      <c r="I740" s="1">
        <v>167</v>
      </c>
      <c r="J740" s="1">
        <v>148</v>
      </c>
      <c r="K740" s="1">
        <v>120</v>
      </c>
      <c r="L740" s="1">
        <v>144</v>
      </c>
      <c r="M740" s="1" t="s">
        <v>41</v>
      </c>
      <c r="N740" s="1" t="s">
        <v>60</v>
      </c>
      <c r="O740" s="1" t="s">
        <v>128</v>
      </c>
      <c r="P740" s="2">
        <v>146.78</v>
      </c>
      <c r="Q740" s="1" t="str">
        <f t="shared" si="33"/>
        <v>YES</v>
      </c>
      <c r="R740" s="2">
        <f t="shared" si="34"/>
        <v>188.71200000000002</v>
      </c>
      <c r="S740" s="2">
        <f>J740*G740</f>
        <v>31032.639999999999</v>
      </c>
      <c r="T740" s="1">
        <f t="shared" ca="1" si="35"/>
        <v>77</v>
      </c>
      <c r="U740" s="1" t="s">
        <v>34</v>
      </c>
      <c r="V740" s="1" t="s">
        <v>34</v>
      </c>
      <c r="W740" s="1" t="s">
        <v>34</v>
      </c>
      <c r="X740" s="1" t="s">
        <v>2863</v>
      </c>
      <c r="Y740" s="1">
        <v>5</v>
      </c>
    </row>
    <row r="741" spans="1:25" x14ac:dyDescent="0.3">
      <c r="A741" s="1" t="s">
        <v>927</v>
      </c>
      <c r="B741" s="1" t="s">
        <v>262</v>
      </c>
      <c r="C741" s="1" t="s">
        <v>263</v>
      </c>
      <c r="D741" s="1" t="s">
        <v>104</v>
      </c>
      <c r="E741" s="1" t="s">
        <v>40</v>
      </c>
      <c r="F741" s="1" t="s">
        <v>48</v>
      </c>
      <c r="G741" s="2">
        <v>181.59</v>
      </c>
      <c r="H741" s="1">
        <v>21</v>
      </c>
      <c r="I741" s="1">
        <v>204</v>
      </c>
      <c r="J741" s="1">
        <v>177</v>
      </c>
      <c r="K741" s="1">
        <v>111</v>
      </c>
      <c r="L741" s="1">
        <v>133</v>
      </c>
      <c r="M741" s="1" t="s">
        <v>41</v>
      </c>
      <c r="N741" s="1" t="s">
        <v>32</v>
      </c>
      <c r="O741" s="1" t="s">
        <v>161</v>
      </c>
      <c r="P741" s="2">
        <v>127.11</v>
      </c>
      <c r="Q741" s="1" t="str">
        <f t="shared" si="33"/>
        <v>YES</v>
      </c>
      <c r="R741" s="2">
        <f t="shared" si="34"/>
        <v>163.43100000000001</v>
      </c>
      <c r="S741" s="2">
        <f>J741*G741</f>
        <v>32141.43</v>
      </c>
      <c r="T741" s="1">
        <f t="shared" ca="1" si="35"/>
        <v>69</v>
      </c>
      <c r="U741" s="1" t="s">
        <v>34</v>
      </c>
      <c r="V741" s="1" t="s">
        <v>34</v>
      </c>
      <c r="W741" s="1" t="s">
        <v>34</v>
      </c>
      <c r="X741" s="1" t="s">
        <v>2864</v>
      </c>
      <c r="Y741" s="1">
        <v>5.5</v>
      </c>
    </row>
    <row r="742" spans="1:25" x14ac:dyDescent="0.3">
      <c r="A742" s="1" t="s">
        <v>928</v>
      </c>
      <c r="B742" s="1" t="s">
        <v>262</v>
      </c>
      <c r="C742" s="1" t="s">
        <v>263</v>
      </c>
      <c r="D742" s="1" t="s">
        <v>104</v>
      </c>
      <c r="E742" s="1" t="s">
        <v>40</v>
      </c>
      <c r="F742" s="1" t="s">
        <v>48</v>
      </c>
      <c r="G742" s="2">
        <v>118.48</v>
      </c>
      <c r="H742" s="1">
        <v>18</v>
      </c>
      <c r="I742" s="1">
        <v>289</v>
      </c>
      <c r="J742" s="1">
        <v>283</v>
      </c>
      <c r="K742" s="1">
        <v>58</v>
      </c>
      <c r="L742" s="1">
        <v>65</v>
      </c>
      <c r="M742" s="1" t="s">
        <v>31</v>
      </c>
      <c r="N742" s="1" t="s">
        <v>32</v>
      </c>
      <c r="O742" s="1" t="s">
        <v>113</v>
      </c>
      <c r="P742" s="2">
        <v>82.94</v>
      </c>
      <c r="Q742" s="1" t="str">
        <f t="shared" si="33"/>
        <v>YES</v>
      </c>
      <c r="R742" s="2">
        <f t="shared" si="34"/>
        <v>106.63200000000001</v>
      </c>
      <c r="S742" s="2">
        <f>J742*G742</f>
        <v>33529.840000000004</v>
      </c>
      <c r="T742" s="1">
        <f t="shared" ca="1" si="35"/>
        <v>82</v>
      </c>
      <c r="U742" s="1" t="s">
        <v>34</v>
      </c>
      <c r="V742" s="1" t="s">
        <v>34</v>
      </c>
      <c r="W742" s="1" t="s">
        <v>34</v>
      </c>
      <c r="X742" s="1" t="s">
        <v>2857</v>
      </c>
      <c r="Y742" s="1">
        <v>6</v>
      </c>
    </row>
    <row r="743" spans="1:25" x14ac:dyDescent="0.3">
      <c r="A743" s="1" t="s">
        <v>929</v>
      </c>
      <c r="B743" s="1" t="s">
        <v>237</v>
      </c>
      <c r="C743" s="1" t="s">
        <v>238</v>
      </c>
      <c r="D743" s="1" t="s">
        <v>85</v>
      </c>
      <c r="E743" s="1" t="s">
        <v>74</v>
      </c>
      <c r="F743" s="1" t="s">
        <v>54</v>
      </c>
      <c r="G743" s="2">
        <v>425.37</v>
      </c>
      <c r="H743" s="1">
        <v>9</v>
      </c>
      <c r="I743" s="1">
        <v>129</v>
      </c>
      <c r="J743" s="1">
        <v>115</v>
      </c>
      <c r="K743" s="1">
        <v>64</v>
      </c>
      <c r="L743" s="1">
        <v>58</v>
      </c>
      <c r="M743" s="1" t="s">
        <v>41</v>
      </c>
      <c r="N743" s="1" t="s">
        <v>60</v>
      </c>
      <c r="O743" s="1" t="s">
        <v>257</v>
      </c>
      <c r="P743" s="2">
        <v>297.76</v>
      </c>
      <c r="Q743" s="1" t="str">
        <f t="shared" si="33"/>
        <v>YES</v>
      </c>
      <c r="R743" s="2">
        <f t="shared" si="34"/>
        <v>382.83300000000003</v>
      </c>
      <c r="S743" s="2">
        <f>J743*G743</f>
        <v>48917.55</v>
      </c>
      <c r="T743" s="1">
        <f t="shared" ca="1" si="35"/>
        <v>113</v>
      </c>
      <c r="U743" s="1" t="s">
        <v>34</v>
      </c>
      <c r="V743" s="1" t="s">
        <v>34</v>
      </c>
      <c r="W743" s="1" t="s">
        <v>34</v>
      </c>
      <c r="X743" s="1" t="s">
        <v>2865</v>
      </c>
      <c r="Y743" s="1">
        <v>6.5</v>
      </c>
    </row>
    <row r="744" spans="1:25" x14ac:dyDescent="0.3">
      <c r="A744" s="1" t="s">
        <v>930</v>
      </c>
      <c r="B744" s="1" t="s">
        <v>63</v>
      </c>
      <c r="C744" s="1" t="s">
        <v>64</v>
      </c>
      <c r="D744" s="1" t="s">
        <v>28</v>
      </c>
      <c r="E744" s="1" t="s">
        <v>40</v>
      </c>
      <c r="F744" s="1" t="s">
        <v>54</v>
      </c>
      <c r="G744" s="2">
        <v>95.56</v>
      </c>
      <c r="H744" s="1">
        <v>4</v>
      </c>
      <c r="I744" s="1">
        <v>295</v>
      </c>
      <c r="J744" s="1">
        <v>259</v>
      </c>
      <c r="K744" s="1">
        <v>96</v>
      </c>
      <c r="L744" s="1">
        <v>128</v>
      </c>
      <c r="M744" s="1" t="s">
        <v>31</v>
      </c>
      <c r="N744" s="1" t="s">
        <v>32</v>
      </c>
      <c r="O744" s="1" t="s">
        <v>410</v>
      </c>
      <c r="P744" s="2">
        <v>66.89</v>
      </c>
      <c r="Q744" s="1" t="str">
        <f t="shared" si="33"/>
        <v>YES</v>
      </c>
      <c r="R744" s="2">
        <f t="shared" si="34"/>
        <v>86.004000000000005</v>
      </c>
      <c r="S744" s="2">
        <f>J744*G744</f>
        <v>24750.04</v>
      </c>
      <c r="T744" s="1">
        <f t="shared" ca="1" si="35"/>
        <v>136</v>
      </c>
      <c r="U744" s="1" t="s">
        <v>34</v>
      </c>
      <c r="V744" s="1" t="s">
        <v>34</v>
      </c>
      <c r="W744" s="1" t="s">
        <v>34</v>
      </c>
      <c r="X744" s="1" t="s">
        <v>2746</v>
      </c>
      <c r="Y744" s="1">
        <v>7</v>
      </c>
    </row>
    <row r="745" spans="1:25" x14ac:dyDescent="0.3">
      <c r="A745" s="1" t="s">
        <v>931</v>
      </c>
      <c r="B745" s="1" t="s">
        <v>130</v>
      </c>
      <c r="C745" s="1" t="s">
        <v>131</v>
      </c>
      <c r="D745" s="1" t="s">
        <v>132</v>
      </c>
      <c r="E745" s="1" t="s">
        <v>74</v>
      </c>
      <c r="F745" s="1" t="s">
        <v>54</v>
      </c>
      <c r="G745" s="2">
        <v>74.33</v>
      </c>
      <c r="H745" s="1">
        <v>23</v>
      </c>
      <c r="I745" s="1">
        <v>144</v>
      </c>
      <c r="J745" s="1">
        <v>107</v>
      </c>
      <c r="K745" s="1">
        <v>99</v>
      </c>
      <c r="L745" s="1">
        <v>77</v>
      </c>
      <c r="M745" s="1" t="s">
        <v>41</v>
      </c>
      <c r="N745" s="1" t="s">
        <v>42</v>
      </c>
      <c r="O745" s="1" t="s">
        <v>105</v>
      </c>
      <c r="P745" s="2">
        <v>52.03</v>
      </c>
      <c r="Q745" s="1" t="str">
        <f t="shared" si="33"/>
        <v>YES</v>
      </c>
      <c r="R745" s="2">
        <f t="shared" si="34"/>
        <v>66.897000000000006</v>
      </c>
      <c r="S745" s="2">
        <f>J745*G745</f>
        <v>7953.3099999999995</v>
      </c>
      <c r="T745" s="1">
        <f t="shared" ca="1" si="35"/>
        <v>144</v>
      </c>
      <c r="U745" s="1" t="s">
        <v>34</v>
      </c>
      <c r="V745" s="1" t="s">
        <v>34</v>
      </c>
      <c r="W745" s="1" t="s">
        <v>34</v>
      </c>
      <c r="X745" s="1" t="s">
        <v>2642</v>
      </c>
      <c r="Y745" s="1">
        <v>7.5</v>
      </c>
    </row>
    <row r="746" spans="1:25" x14ac:dyDescent="0.3">
      <c r="A746" s="1" t="s">
        <v>932</v>
      </c>
      <c r="B746" s="1" t="s">
        <v>69</v>
      </c>
      <c r="C746" s="1" t="s">
        <v>70</v>
      </c>
      <c r="D746" s="1" t="s">
        <v>59</v>
      </c>
      <c r="E746" s="1" t="s">
        <v>40</v>
      </c>
      <c r="F746" s="1" t="s">
        <v>48</v>
      </c>
      <c r="G746" s="2">
        <v>348.39</v>
      </c>
      <c r="H746" s="1">
        <v>3</v>
      </c>
      <c r="I746" s="1">
        <v>144</v>
      </c>
      <c r="J746" s="1">
        <v>131</v>
      </c>
      <c r="K746" s="1">
        <v>88</v>
      </c>
      <c r="L746" s="1">
        <v>104</v>
      </c>
      <c r="M746" s="1" t="s">
        <v>41</v>
      </c>
      <c r="N746" s="1" t="s">
        <v>60</v>
      </c>
      <c r="O746" s="1" t="s">
        <v>390</v>
      </c>
      <c r="P746" s="2">
        <v>243.87</v>
      </c>
      <c r="Q746" s="1" t="str">
        <f t="shared" si="33"/>
        <v>YES</v>
      </c>
      <c r="R746" s="2">
        <f t="shared" si="34"/>
        <v>313.55099999999999</v>
      </c>
      <c r="S746" s="2">
        <f>J746*G746</f>
        <v>45639.09</v>
      </c>
      <c r="T746" s="1">
        <f t="shared" ca="1" si="35"/>
        <v>120</v>
      </c>
      <c r="U746" s="1" t="s">
        <v>34</v>
      </c>
      <c r="V746" s="1" t="s">
        <v>34</v>
      </c>
      <c r="W746" s="1" t="s">
        <v>34</v>
      </c>
      <c r="X746" s="1" t="s">
        <v>2866</v>
      </c>
      <c r="Y746" s="1">
        <v>8</v>
      </c>
    </row>
    <row r="747" spans="1:25" x14ac:dyDescent="0.3">
      <c r="A747" s="1" t="s">
        <v>933</v>
      </c>
      <c r="B747" s="1" t="s">
        <v>237</v>
      </c>
      <c r="C747" s="1" t="s">
        <v>238</v>
      </c>
      <c r="D747" s="1" t="s">
        <v>85</v>
      </c>
      <c r="E747" s="1" t="s">
        <v>29</v>
      </c>
      <c r="F747" s="1" t="s">
        <v>54</v>
      </c>
      <c r="G747" s="2">
        <v>130.74</v>
      </c>
      <c r="H747" s="1">
        <v>19</v>
      </c>
      <c r="I747" s="1">
        <v>288</v>
      </c>
      <c r="J747" s="1">
        <v>278</v>
      </c>
      <c r="K747" s="1">
        <v>45</v>
      </c>
      <c r="L747" s="1">
        <v>81</v>
      </c>
      <c r="M747" s="1" t="s">
        <v>49</v>
      </c>
      <c r="N747" s="1" t="s">
        <v>32</v>
      </c>
      <c r="O747" s="1" t="s">
        <v>401</v>
      </c>
      <c r="P747" s="2">
        <v>91.52</v>
      </c>
      <c r="Q747" s="1" t="str">
        <f t="shared" si="33"/>
        <v>YES</v>
      </c>
      <c r="R747" s="2">
        <f t="shared" si="34"/>
        <v>117.66600000000001</v>
      </c>
      <c r="S747" s="2">
        <f>J747*G747</f>
        <v>36345.72</v>
      </c>
      <c r="T747" s="1">
        <f t="shared" ca="1" si="35"/>
        <v>110</v>
      </c>
      <c r="U747" s="1" t="s">
        <v>34</v>
      </c>
      <c r="V747" s="1" t="s">
        <v>34</v>
      </c>
      <c r="W747" s="1" t="s">
        <v>34</v>
      </c>
      <c r="X747" s="1" t="s">
        <v>2698</v>
      </c>
      <c r="Y747" s="1">
        <v>8.5</v>
      </c>
    </row>
    <row r="748" spans="1:25" x14ac:dyDescent="0.3">
      <c r="A748" s="1" t="s">
        <v>934</v>
      </c>
      <c r="B748" s="1" t="s">
        <v>176</v>
      </c>
      <c r="C748" s="1" t="s">
        <v>177</v>
      </c>
      <c r="D748" s="1" t="s">
        <v>39</v>
      </c>
      <c r="E748" s="1" t="s">
        <v>74</v>
      </c>
      <c r="F748" s="1" t="s">
        <v>54</v>
      </c>
      <c r="G748" s="2">
        <v>463.19</v>
      </c>
      <c r="H748" s="1">
        <v>1</v>
      </c>
      <c r="I748" s="1">
        <v>199</v>
      </c>
      <c r="J748" s="1">
        <v>172</v>
      </c>
      <c r="K748" s="1">
        <v>69</v>
      </c>
      <c r="L748" s="1">
        <v>69</v>
      </c>
      <c r="M748" s="1" t="s">
        <v>49</v>
      </c>
      <c r="N748" s="1" t="s">
        <v>60</v>
      </c>
      <c r="O748" s="1" t="s">
        <v>128</v>
      </c>
      <c r="P748" s="2">
        <v>324.23</v>
      </c>
      <c r="Q748" s="1" t="str">
        <f t="shared" si="33"/>
        <v>YES</v>
      </c>
      <c r="R748" s="2">
        <f t="shared" si="34"/>
        <v>416.87099999999998</v>
      </c>
      <c r="S748" s="2">
        <f>J748*G748</f>
        <v>79668.679999999993</v>
      </c>
      <c r="T748" s="1">
        <f t="shared" ca="1" si="35"/>
        <v>77</v>
      </c>
      <c r="U748" s="1" t="s">
        <v>34</v>
      </c>
      <c r="V748" s="1" t="s">
        <v>34</v>
      </c>
      <c r="W748" s="1" t="s">
        <v>34</v>
      </c>
      <c r="X748" s="1" t="s">
        <v>2729</v>
      </c>
      <c r="Y748" s="1">
        <v>9</v>
      </c>
    </row>
    <row r="749" spans="1:25" x14ac:dyDescent="0.3">
      <c r="A749" s="1" t="s">
        <v>935</v>
      </c>
      <c r="B749" s="1" t="s">
        <v>118</v>
      </c>
      <c r="C749" s="1" t="s">
        <v>119</v>
      </c>
      <c r="D749" s="1" t="s">
        <v>97</v>
      </c>
      <c r="E749" s="1" t="s">
        <v>40</v>
      </c>
      <c r="F749" s="1" t="s">
        <v>48</v>
      </c>
      <c r="G749" s="2">
        <v>329.02</v>
      </c>
      <c r="H749" s="1">
        <v>16</v>
      </c>
      <c r="I749" s="1">
        <v>253</v>
      </c>
      <c r="J749" s="1">
        <v>226</v>
      </c>
      <c r="K749" s="1">
        <v>67</v>
      </c>
      <c r="L749" s="1">
        <v>117</v>
      </c>
      <c r="M749" s="1" t="s">
        <v>31</v>
      </c>
      <c r="N749" s="1" t="s">
        <v>32</v>
      </c>
      <c r="O749" s="1" t="s">
        <v>272</v>
      </c>
      <c r="P749" s="2">
        <v>230.31</v>
      </c>
      <c r="Q749" s="1" t="str">
        <f t="shared" si="33"/>
        <v>YES</v>
      </c>
      <c r="R749" s="2">
        <f t="shared" si="34"/>
        <v>296.11799999999999</v>
      </c>
      <c r="S749" s="2">
        <f>J749*G749</f>
        <v>74358.51999999999</v>
      </c>
      <c r="T749" s="1">
        <f t="shared" ca="1" si="35"/>
        <v>72</v>
      </c>
      <c r="U749" s="1" t="s">
        <v>34</v>
      </c>
      <c r="V749" s="1" t="s">
        <v>34</v>
      </c>
      <c r="W749" s="1" t="s">
        <v>34</v>
      </c>
      <c r="X749" s="1" t="s">
        <v>2767</v>
      </c>
      <c r="Y749" s="1">
        <v>9.5</v>
      </c>
    </row>
    <row r="750" spans="1:25" x14ac:dyDescent="0.3">
      <c r="A750" s="1" t="s">
        <v>936</v>
      </c>
      <c r="B750" s="1" t="s">
        <v>237</v>
      </c>
      <c r="C750" s="1" t="s">
        <v>238</v>
      </c>
      <c r="D750" s="1" t="s">
        <v>85</v>
      </c>
      <c r="E750" s="1" t="s">
        <v>74</v>
      </c>
      <c r="F750" s="1" t="s">
        <v>48</v>
      </c>
      <c r="G750" s="2">
        <v>82.67</v>
      </c>
      <c r="H750" s="1">
        <v>9</v>
      </c>
      <c r="I750" s="1">
        <v>263</v>
      </c>
      <c r="J750" s="1">
        <v>241</v>
      </c>
      <c r="K750" s="1">
        <v>87</v>
      </c>
      <c r="L750" s="1">
        <v>115</v>
      </c>
      <c r="M750" s="1" t="s">
        <v>49</v>
      </c>
      <c r="N750" s="1" t="s">
        <v>60</v>
      </c>
      <c r="O750" s="1" t="s">
        <v>170</v>
      </c>
      <c r="P750" s="2">
        <v>57.87</v>
      </c>
      <c r="Q750" s="1" t="str">
        <f t="shared" si="33"/>
        <v>YES</v>
      </c>
      <c r="R750" s="2">
        <f t="shared" si="34"/>
        <v>74.403000000000006</v>
      </c>
      <c r="S750" s="2">
        <f>J750*G750</f>
        <v>19923.47</v>
      </c>
      <c r="T750" s="1">
        <f t="shared" ca="1" si="35"/>
        <v>95</v>
      </c>
      <c r="U750" s="1" t="s">
        <v>34</v>
      </c>
      <c r="V750" s="1" t="s">
        <v>34</v>
      </c>
      <c r="W750" s="1" t="s">
        <v>34</v>
      </c>
      <c r="X750" s="1" t="s">
        <v>2727</v>
      </c>
      <c r="Y750" s="1">
        <v>5</v>
      </c>
    </row>
    <row r="751" spans="1:25" x14ac:dyDescent="0.3">
      <c r="A751" s="1" t="s">
        <v>937</v>
      </c>
      <c r="B751" s="1" t="s">
        <v>118</v>
      </c>
      <c r="C751" s="1" t="s">
        <v>119</v>
      </c>
      <c r="D751" s="1" t="s">
        <v>97</v>
      </c>
      <c r="E751" s="1" t="s">
        <v>40</v>
      </c>
      <c r="F751" s="1" t="s">
        <v>54</v>
      </c>
      <c r="G751" s="2">
        <v>147.22</v>
      </c>
      <c r="H751" s="1">
        <v>21</v>
      </c>
      <c r="I751" s="1">
        <v>295</v>
      </c>
      <c r="J751" s="1">
        <v>278</v>
      </c>
      <c r="K751" s="1">
        <v>98</v>
      </c>
      <c r="L751" s="1">
        <v>118</v>
      </c>
      <c r="M751" s="1" t="s">
        <v>31</v>
      </c>
      <c r="N751" s="1" t="s">
        <v>60</v>
      </c>
      <c r="O751" s="1" t="s">
        <v>100</v>
      </c>
      <c r="P751" s="2">
        <v>103.05</v>
      </c>
      <c r="Q751" s="1" t="str">
        <f t="shared" si="33"/>
        <v>YES</v>
      </c>
      <c r="R751" s="2">
        <f t="shared" si="34"/>
        <v>132.49799999999999</v>
      </c>
      <c r="S751" s="2">
        <f>J751*G751</f>
        <v>40927.159999999996</v>
      </c>
      <c r="T751" s="1">
        <f t="shared" ca="1" si="35"/>
        <v>137</v>
      </c>
      <c r="U751" s="1" t="s">
        <v>34</v>
      </c>
      <c r="V751" s="1" t="s">
        <v>34</v>
      </c>
      <c r="W751" s="1" t="s">
        <v>34</v>
      </c>
      <c r="X751" s="1" t="s">
        <v>2867</v>
      </c>
      <c r="Y751" s="1">
        <v>5.5</v>
      </c>
    </row>
    <row r="752" spans="1:25" x14ac:dyDescent="0.3">
      <c r="A752" s="1" t="s">
        <v>938</v>
      </c>
      <c r="B752" s="1" t="s">
        <v>95</v>
      </c>
      <c r="C752" s="1" t="s">
        <v>96</v>
      </c>
      <c r="D752" s="1" t="s">
        <v>97</v>
      </c>
      <c r="E752" s="1" t="s">
        <v>74</v>
      </c>
      <c r="F752" s="1" t="s">
        <v>48</v>
      </c>
      <c r="G752" s="2">
        <v>96.34</v>
      </c>
      <c r="H752" s="1">
        <v>7</v>
      </c>
      <c r="I752" s="1">
        <v>212</v>
      </c>
      <c r="J752" s="1">
        <v>175</v>
      </c>
      <c r="K752" s="1">
        <v>99</v>
      </c>
      <c r="L752" s="1">
        <v>135</v>
      </c>
      <c r="M752" s="1" t="s">
        <v>31</v>
      </c>
      <c r="N752" s="1" t="s">
        <v>32</v>
      </c>
      <c r="O752" s="1" t="s">
        <v>161</v>
      </c>
      <c r="P752" s="2">
        <v>67.44</v>
      </c>
      <c r="Q752" s="1" t="str">
        <f t="shared" si="33"/>
        <v>YES</v>
      </c>
      <c r="R752" s="2">
        <f t="shared" si="34"/>
        <v>86.706000000000003</v>
      </c>
      <c r="S752" s="2">
        <f>J752*G752</f>
        <v>16859.5</v>
      </c>
      <c r="T752" s="1">
        <f t="shared" ca="1" si="35"/>
        <v>69</v>
      </c>
      <c r="U752" s="1" t="s">
        <v>34</v>
      </c>
      <c r="V752" s="1" t="s">
        <v>34</v>
      </c>
      <c r="W752" s="1" t="s">
        <v>34</v>
      </c>
      <c r="X752" s="1" t="s">
        <v>2573</v>
      </c>
      <c r="Y752" s="1">
        <v>6</v>
      </c>
    </row>
    <row r="753" spans="1:25" x14ac:dyDescent="0.3">
      <c r="A753" s="1" t="s">
        <v>939</v>
      </c>
      <c r="B753" s="1" t="s">
        <v>111</v>
      </c>
      <c r="C753" s="1" t="s">
        <v>112</v>
      </c>
      <c r="D753" s="1" t="s">
        <v>97</v>
      </c>
      <c r="E753" s="1" t="s">
        <v>40</v>
      </c>
      <c r="F753" s="1" t="s">
        <v>48</v>
      </c>
      <c r="G753" s="2">
        <v>466.49</v>
      </c>
      <c r="H753" s="1">
        <v>18</v>
      </c>
      <c r="I753" s="1">
        <v>93</v>
      </c>
      <c r="J753" s="1">
        <v>56</v>
      </c>
      <c r="K753" s="1">
        <v>45</v>
      </c>
      <c r="L753" s="1">
        <v>145</v>
      </c>
      <c r="M753" s="1" t="s">
        <v>31</v>
      </c>
      <c r="N753" s="1" t="s">
        <v>42</v>
      </c>
      <c r="O753" s="1" t="s">
        <v>264</v>
      </c>
      <c r="P753" s="2">
        <v>326.54000000000002</v>
      </c>
      <c r="Q753" s="1" t="str">
        <f t="shared" si="33"/>
        <v>YES</v>
      </c>
      <c r="R753" s="2">
        <f t="shared" si="34"/>
        <v>419.84100000000001</v>
      </c>
      <c r="S753" s="2">
        <f>J753*G753</f>
        <v>26123.440000000002</v>
      </c>
      <c r="T753" s="1">
        <f t="shared" ca="1" si="35"/>
        <v>84</v>
      </c>
      <c r="U753" s="1" t="s">
        <v>34</v>
      </c>
      <c r="V753" s="1" t="s">
        <v>34</v>
      </c>
      <c r="W753" s="1" t="s">
        <v>34</v>
      </c>
      <c r="X753" s="1" t="s">
        <v>2800</v>
      </c>
      <c r="Y753" s="1">
        <v>6.5</v>
      </c>
    </row>
    <row r="754" spans="1:25" x14ac:dyDescent="0.3">
      <c r="A754" s="1" t="s">
        <v>940</v>
      </c>
      <c r="B754" s="1" t="s">
        <v>123</v>
      </c>
      <c r="C754" s="1" t="s">
        <v>124</v>
      </c>
      <c r="D754" s="1" t="s">
        <v>47</v>
      </c>
      <c r="E754" s="1" t="s">
        <v>29</v>
      </c>
      <c r="F754" s="1" t="s">
        <v>48</v>
      </c>
      <c r="G754" s="2">
        <v>496.24</v>
      </c>
      <c r="H754" s="1">
        <v>1</v>
      </c>
      <c r="I754" s="1">
        <v>81</v>
      </c>
      <c r="J754" s="1">
        <v>70</v>
      </c>
      <c r="K754" s="1">
        <v>107</v>
      </c>
      <c r="L754" s="1">
        <v>54</v>
      </c>
      <c r="M754" s="1" t="s">
        <v>41</v>
      </c>
      <c r="N754" s="1" t="s">
        <v>42</v>
      </c>
      <c r="O754" s="1" t="s">
        <v>455</v>
      </c>
      <c r="P754" s="2">
        <v>347.37</v>
      </c>
      <c r="Q754" s="1" t="str">
        <f t="shared" si="33"/>
        <v>NO</v>
      </c>
      <c r="R754" s="2">
        <f t="shared" si="34"/>
        <v>496.24</v>
      </c>
      <c r="S754" s="2">
        <f>J754*G754</f>
        <v>34736.800000000003</v>
      </c>
      <c r="T754" s="1">
        <f t="shared" ca="1" si="35"/>
        <v>112</v>
      </c>
      <c r="U754" s="1" t="s">
        <v>34</v>
      </c>
      <c r="V754" s="1" t="s">
        <v>34</v>
      </c>
      <c r="W754" s="1" t="s">
        <v>34</v>
      </c>
      <c r="X754" s="1" t="s">
        <v>2813</v>
      </c>
      <c r="Y754" s="1">
        <v>7</v>
      </c>
    </row>
    <row r="755" spans="1:25" x14ac:dyDescent="0.3">
      <c r="A755" s="1" t="s">
        <v>941</v>
      </c>
      <c r="B755" s="1" t="s">
        <v>57</v>
      </c>
      <c r="C755" s="1" t="s">
        <v>58</v>
      </c>
      <c r="D755" s="1" t="s">
        <v>59</v>
      </c>
      <c r="E755" s="1" t="s">
        <v>40</v>
      </c>
      <c r="F755" s="1" t="s">
        <v>48</v>
      </c>
      <c r="G755" s="2">
        <v>236.36</v>
      </c>
      <c r="H755" s="1">
        <v>16</v>
      </c>
      <c r="I755" s="1">
        <v>174</v>
      </c>
      <c r="J755" s="1">
        <v>145</v>
      </c>
      <c r="K755" s="1">
        <v>100</v>
      </c>
      <c r="L755" s="1">
        <v>66</v>
      </c>
      <c r="M755" s="1" t="s">
        <v>49</v>
      </c>
      <c r="N755" s="1" t="s">
        <v>42</v>
      </c>
      <c r="O755" s="1" t="s">
        <v>98</v>
      </c>
      <c r="P755" s="2">
        <v>165.45</v>
      </c>
      <c r="Q755" s="1" t="str">
        <f t="shared" si="33"/>
        <v>YES</v>
      </c>
      <c r="R755" s="2">
        <f t="shared" si="34"/>
        <v>212.72400000000002</v>
      </c>
      <c r="S755" s="2">
        <f>J755*G755</f>
        <v>34272.200000000004</v>
      </c>
      <c r="T755" s="1">
        <f t="shared" ca="1" si="35"/>
        <v>96</v>
      </c>
      <c r="U755" s="1" t="s">
        <v>34</v>
      </c>
      <c r="V755" s="1" t="s">
        <v>34</v>
      </c>
      <c r="W755" s="1" t="s">
        <v>34</v>
      </c>
      <c r="X755" s="1" t="s">
        <v>2793</v>
      </c>
      <c r="Y755" s="1">
        <v>7.5</v>
      </c>
    </row>
    <row r="756" spans="1:25" x14ac:dyDescent="0.3">
      <c r="A756" s="1" t="s">
        <v>942</v>
      </c>
      <c r="B756" s="1" t="s">
        <v>83</v>
      </c>
      <c r="C756" s="1" t="s">
        <v>84</v>
      </c>
      <c r="D756" s="1" t="s">
        <v>85</v>
      </c>
      <c r="E756" s="1" t="s">
        <v>29</v>
      </c>
      <c r="F756" s="1" t="s">
        <v>30</v>
      </c>
      <c r="G756" s="2">
        <v>62.11</v>
      </c>
      <c r="H756" s="1">
        <v>17</v>
      </c>
      <c r="I756" s="1">
        <v>261</v>
      </c>
      <c r="J756" s="1">
        <v>225</v>
      </c>
      <c r="K756" s="1">
        <v>85</v>
      </c>
      <c r="L756" s="1">
        <v>116</v>
      </c>
      <c r="M756" s="1" t="s">
        <v>41</v>
      </c>
      <c r="N756" s="1" t="s">
        <v>42</v>
      </c>
      <c r="O756" s="1" t="s">
        <v>159</v>
      </c>
      <c r="P756" s="2">
        <v>43.48</v>
      </c>
      <c r="Q756" s="1" t="str">
        <f t="shared" si="33"/>
        <v>YES</v>
      </c>
      <c r="R756" s="2">
        <f t="shared" si="34"/>
        <v>55.899000000000001</v>
      </c>
      <c r="S756" s="2">
        <f>J756*G756</f>
        <v>13974.75</v>
      </c>
      <c r="T756" s="1">
        <f t="shared" ca="1" si="35"/>
        <v>134</v>
      </c>
      <c r="U756" s="1" t="s">
        <v>34</v>
      </c>
      <c r="V756" s="1" t="s">
        <v>34</v>
      </c>
      <c r="W756" s="1" t="s">
        <v>34</v>
      </c>
      <c r="X756" s="1" t="s">
        <v>2698</v>
      </c>
      <c r="Y756" s="1">
        <v>8</v>
      </c>
    </row>
    <row r="757" spans="1:25" x14ac:dyDescent="0.3">
      <c r="A757" s="1" t="s">
        <v>943</v>
      </c>
      <c r="B757" s="1" t="s">
        <v>143</v>
      </c>
      <c r="C757" s="1" t="s">
        <v>144</v>
      </c>
      <c r="D757" s="1" t="s">
        <v>47</v>
      </c>
      <c r="E757" s="1" t="s">
        <v>74</v>
      </c>
      <c r="F757" s="1" t="s">
        <v>54</v>
      </c>
      <c r="G757" s="2">
        <v>399.1</v>
      </c>
      <c r="H757" s="1">
        <v>12</v>
      </c>
      <c r="I757" s="1">
        <v>245</v>
      </c>
      <c r="J757" s="1">
        <v>236</v>
      </c>
      <c r="K757" s="1">
        <v>52</v>
      </c>
      <c r="L757" s="1">
        <v>140</v>
      </c>
      <c r="M757" s="1" t="s">
        <v>41</v>
      </c>
      <c r="N757" s="1" t="s">
        <v>42</v>
      </c>
      <c r="O757" s="1" t="s">
        <v>473</v>
      </c>
      <c r="P757" s="2">
        <v>279.37</v>
      </c>
      <c r="Q757" s="1" t="str">
        <f t="shared" si="33"/>
        <v>YES</v>
      </c>
      <c r="R757" s="2">
        <f t="shared" si="34"/>
        <v>359.19000000000005</v>
      </c>
      <c r="S757" s="2">
        <f>J757*G757</f>
        <v>94187.6</v>
      </c>
      <c r="T757" s="1">
        <f t="shared" ca="1" si="35"/>
        <v>146</v>
      </c>
      <c r="U757" s="1" t="s">
        <v>34</v>
      </c>
      <c r="V757" s="1" t="s">
        <v>34</v>
      </c>
      <c r="W757" s="1" t="s">
        <v>34</v>
      </c>
      <c r="X757" s="1" t="s">
        <v>2664</v>
      </c>
      <c r="Y757" s="1">
        <v>8.5</v>
      </c>
    </row>
    <row r="758" spans="1:25" x14ac:dyDescent="0.3">
      <c r="A758" s="1" t="s">
        <v>944</v>
      </c>
      <c r="B758" s="1" t="s">
        <v>118</v>
      </c>
      <c r="C758" s="1" t="s">
        <v>119</v>
      </c>
      <c r="D758" s="1" t="s">
        <v>97</v>
      </c>
      <c r="E758" s="1" t="s">
        <v>74</v>
      </c>
      <c r="F758" s="1" t="s">
        <v>48</v>
      </c>
      <c r="G758" s="2">
        <v>452.76</v>
      </c>
      <c r="H758" s="1">
        <v>17</v>
      </c>
      <c r="I758" s="1">
        <v>243</v>
      </c>
      <c r="J758" s="1">
        <v>204</v>
      </c>
      <c r="K758" s="1">
        <v>119</v>
      </c>
      <c r="L758" s="1">
        <v>134</v>
      </c>
      <c r="M758" s="1" t="s">
        <v>41</v>
      </c>
      <c r="N758" s="1" t="s">
        <v>32</v>
      </c>
      <c r="O758" s="1" t="s">
        <v>205</v>
      </c>
      <c r="P758" s="2">
        <v>316.93</v>
      </c>
      <c r="Q758" s="1" t="str">
        <f t="shared" si="33"/>
        <v>YES</v>
      </c>
      <c r="R758" s="2">
        <f t="shared" si="34"/>
        <v>407.48399999999998</v>
      </c>
      <c r="S758" s="2">
        <f>J758*G758</f>
        <v>92363.04</v>
      </c>
      <c r="T758" s="1">
        <f t="shared" ca="1" si="35"/>
        <v>74</v>
      </c>
      <c r="U758" s="1" t="s">
        <v>34</v>
      </c>
      <c r="V758" s="1" t="s">
        <v>34</v>
      </c>
      <c r="W758" s="1" t="s">
        <v>34</v>
      </c>
      <c r="X758" s="1" t="s">
        <v>2530</v>
      </c>
      <c r="Y758" s="1">
        <v>9</v>
      </c>
    </row>
    <row r="759" spans="1:25" x14ac:dyDescent="0.3">
      <c r="A759" s="1" t="s">
        <v>945</v>
      </c>
      <c r="B759" s="1" t="s">
        <v>118</v>
      </c>
      <c r="C759" s="1" t="s">
        <v>119</v>
      </c>
      <c r="D759" s="1" t="s">
        <v>97</v>
      </c>
      <c r="E759" s="1" t="s">
        <v>29</v>
      </c>
      <c r="F759" s="1" t="s">
        <v>54</v>
      </c>
      <c r="G759" s="2">
        <v>144.35</v>
      </c>
      <c r="H759" s="1">
        <v>25</v>
      </c>
      <c r="I759" s="1">
        <v>176</v>
      </c>
      <c r="J759" s="1">
        <v>138</v>
      </c>
      <c r="K759" s="1">
        <v>99</v>
      </c>
      <c r="L759" s="1">
        <v>127</v>
      </c>
      <c r="M759" s="1" t="s">
        <v>31</v>
      </c>
      <c r="N759" s="1" t="s">
        <v>60</v>
      </c>
      <c r="O759" s="1" t="s">
        <v>35</v>
      </c>
      <c r="P759" s="2">
        <v>101.04</v>
      </c>
      <c r="Q759" s="1" t="str">
        <f t="shared" si="33"/>
        <v>YES</v>
      </c>
      <c r="R759" s="2">
        <f t="shared" si="34"/>
        <v>129.91499999999999</v>
      </c>
      <c r="S759" s="2">
        <f>J759*G759</f>
        <v>19920.3</v>
      </c>
      <c r="T759" s="1">
        <f t="shared" ca="1" si="35"/>
        <v>85</v>
      </c>
      <c r="U759" s="1" t="s">
        <v>34</v>
      </c>
      <c r="V759" s="1" t="s">
        <v>34</v>
      </c>
      <c r="W759" s="1" t="s">
        <v>34</v>
      </c>
      <c r="X759" s="1" t="s">
        <v>2868</v>
      </c>
      <c r="Y759" s="1">
        <v>9.5</v>
      </c>
    </row>
    <row r="760" spans="1:25" x14ac:dyDescent="0.3">
      <c r="A760" s="1" t="s">
        <v>946</v>
      </c>
      <c r="B760" s="1" t="s">
        <v>111</v>
      </c>
      <c r="C760" s="1" t="s">
        <v>112</v>
      </c>
      <c r="D760" s="1" t="s">
        <v>97</v>
      </c>
      <c r="E760" s="1" t="s">
        <v>29</v>
      </c>
      <c r="F760" s="1" t="s">
        <v>54</v>
      </c>
      <c r="G760" s="2">
        <v>217.9</v>
      </c>
      <c r="H760" s="1">
        <v>3</v>
      </c>
      <c r="I760" s="1">
        <v>151</v>
      </c>
      <c r="J760" s="1">
        <v>129</v>
      </c>
      <c r="K760" s="1">
        <v>112</v>
      </c>
      <c r="L760" s="1">
        <v>130</v>
      </c>
      <c r="M760" s="1" t="s">
        <v>31</v>
      </c>
      <c r="N760" s="1" t="s">
        <v>42</v>
      </c>
      <c r="O760" s="1" t="s">
        <v>157</v>
      </c>
      <c r="P760" s="2">
        <v>152.53</v>
      </c>
      <c r="Q760" s="1" t="str">
        <f t="shared" si="33"/>
        <v>YES</v>
      </c>
      <c r="R760" s="2">
        <f t="shared" si="34"/>
        <v>196.11</v>
      </c>
      <c r="S760" s="2">
        <f>J760*G760</f>
        <v>28109.100000000002</v>
      </c>
      <c r="T760" s="1">
        <f t="shared" ca="1" si="35"/>
        <v>103</v>
      </c>
      <c r="U760" s="1" t="s">
        <v>34</v>
      </c>
      <c r="V760" s="1" t="s">
        <v>34</v>
      </c>
      <c r="W760" s="1" t="s">
        <v>34</v>
      </c>
      <c r="X760" s="1" t="s">
        <v>2627</v>
      </c>
      <c r="Y760" s="1">
        <v>5</v>
      </c>
    </row>
    <row r="761" spans="1:25" x14ac:dyDescent="0.3">
      <c r="A761" s="1" t="s">
        <v>947</v>
      </c>
      <c r="B761" s="1" t="s">
        <v>37</v>
      </c>
      <c r="C761" s="1" t="s">
        <v>38</v>
      </c>
      <c r="D761" s="1" t="s">
        <v>39</v>
      </c>
      <c r="E761" s="1" t="s">
        <v>74</v>
      </c>
      <c r="F761" s="1" t="s">
        <v>30</v>
      </c>
      <c r="G761" s="2">
        <v>291.08</v>
      </c>
      <c r="H761" s="1">
        <v>7</v>
      </c>
      <c r="I761" s="1">
        <v>207</v>
      </c>
      <c r="J761" s="1">
        <v>167</v>
      </c>
      <c r="K761" s="1">
        <v>117</v>
      </c>
      <c r="L761" s="1">
        <v>124</v>
      </c>
      <c r="M761" s="1" t="s">
        <v>49</v>
      </c>
      <c r="N761" s="1" t="s">
        <v>60</v>
      </c>
      <c r="O761" s="1" t="s">
        <v>67</v>
      </c>
      <c r="P761" s="2">
        <v>203.76</v>
      </c>
      <c r="Q761" s="1" t="str">
        <f t="shared" si="33"/>
        <v>YES</v>
      </c>
      <c r="R761" s="2">
        <f t="shared" si="34"/>
        <v>261.97199999999998</v>
      </c>
      <c r="S761" s="2">
        <f>J761*G761</f>
        <v>48610.36</v>
      </c>
      <c r="T761" s="1">
        <f t="shared" ca="1" si="35"/>
        <v>97</v>
      </c>
      <c r="U761" s="1" t="s">
        <v>34</v>
      </c>
      <c r="V761" s="1" t="s">
        <v>34</v>
      </c>
      <c r="W761" s="1" t="s">
        <v>34</v>
      </c>
      <c r="X761" s="1" t="s">
        <v>2869</v>
      </c>
      <c r="Y761" s="1">
        <v>5.5</v>
      </c>
    </row>
    <row r="762" spans="1:25" x14ac:dyDescent="0.3">
      <c r="A762" s="1" t="s">
        <v>948</v>
      </c>
      <c r="B762" s="1" t="s">
        <v>262</v>
      </c>
      <c r="C762" s="1" t="s">
        <v>263</v>
      </c>
      <c r="D762" s="1" t="s">
        <v>104</v>
      </c>
      <c r="E762" s="1" t="s">
        <v>74</v>
      </c>
      <c r="F762" s="1" t="s">
        <v>54</v>
      </c>
      <c r="G762" s="2">
        <v>216.22</v>
      </c>
      <c r="H762" s="1">
        <v>20</v>
      </c>
      <c r="I762" s="1">
        <v>147</v>
      </c>
      <c r="J762" s="1">
        <v>140</v>
      </c>
      <c r="K762" s="1">
        <v>68</v>
      </c>
      <c r="L762" s="1">
        <v>83</v>
      </c>
      <c r="M762" s="1" t="s">
        <v>41</v>
      </c>
      <c r="N762" s="1" t="s">
        <v>42</v>
      </c>
      <c r="O762" s="1" t="s">
        <v>187</v>
      </c>
      <c r="P762" s="2">
        <v>151.35</v>
      </c>
      <c r="Q762" s="1" t="str">
        <f t="shared" si="33"/>
        <v>YES</v>
      </c>
      <c r="R762" s="2">
        <f t="shared" si="34"/>
        <v>194.59800000000001</v>
      </c>
      <c r="S762" s="2">
        <f>J762*G762</f>
        <v>30270.799999999999</v>
      </c>
      <c r="T762" s="1">
        <f t="shared" ca="1" si="35"/>
        <v>148</v>
      </c>
      <c r="U762" s="1" t="s">
        <v>34</v>
      </c>
      <c r="V762" s="1" t="s">
        <v>34</v>
      </c>
      <c r="W762" s="1" t="s">
        <v>34</v>
      </c>
      <c r="X762" s="1" t="s">
        <v>2649</v>
      </c>
      <c r="Y762" s="1">
        <v>6</v>
      </c>
    </row>
    <row r="763" spans="1:25" x14ac:dyDescent="0.3">
      <c r="A763" s="1" t="s">
        <v>949</v>
      </c>
      <c r="B763" s="1" t="s">
        <v>77</v>
      </c>
      <c r="C763" s="1" t="s">
        <v>78</v>
      </c>
      <c r="D763" s="1" t="s">
        <v>47</v>
      </c>
      <c r="E763" s="1" t="s">
        <v>40</v>
      </c>
      <c r="F763" s="1" t="s">
        <v>48</v>
      </c>
      <c r="G763" s="2">
        <v>195.28</v>
      </c>
      <c r="H763" s="1">
        <v>0</v>
      </c>
      <c r="I763" s="1">
        <v>214</v>
      </c>
      <c r="J763" s="1">
        <v>188</v>
      </c>
      <c r="K763" s="1">
        <v>52</v>
      </c>
      <c r="L763" s="1">
        <v>106</v>
      </c>
      <c r="M763" s="1" t="s">
        <v>49</v>
      </c>
      <c r="N763" s="1" t="s">
        <v>42</v>
      </c>
      <c r="O763" s="1" t="s">
        <v>145</v>
      </c>
      <c r="P763" s="2">
        <v>136.69999999999999</v>
      </c>
      <c r="Q763" s="1" t="str">
        <f t="shared" si="33"/>
        <v>YES</v>
      </c>
      <c r="R763" s="2">
        <f t="shared" si="34"/>
        <v>175.75200000000001</v>
      </c>
      <c r="S763" s="2">
        <f>J763*G763</f>
        <v>36712.639999999999</v>
      </c>
      <c r="T763" s="1">
        <f t="shared" ca="1" si="35"/>
        <v>68</v>
      </c>
      <c r="U763" s="1" t="s">
        <v>34</v>
      </c>
      <c r="V763" s="1" t="s">
        <v>34</v>
      </c>
      <c r="W763" s="1" t="s">
        <v>34</v>
      </c>
      <c r="X763" s="1" t="s">
        <v>2744</v>
      </c>
      <c r="Y763" s="1">
        <v>6.5</v>
      </c>
    </row>
    <row r="764" spans="1:25" x14ac:dyDescent="0.3">
      <c r="A764" s="1" t="s">
        <v>950</v>
      </c>
      <c r="B764" s="1" t="s">
        <v>197</v>
      </c>
      <c r="C764" s="1" t="s">
        <v>198</v>
      </c>
      <c r="D764" s="1" t="s">
        <v>104</v>
      </c>
      <c r="E764" s="1" t="s">
        <v>74</v>
      </c>
      <c r="F764" s="1" t="s">
        <v>54</v>
      </c>
      <c r="G764" s="2">
        <v>351.13</v>
      </c>
      <c r="H764" s="1">
        <v>23</v>
      </c>
      <c r="I764" s="1">
        <v>222</v>
      </c>
      <c r="J764" s="1">
        <v>182</v>
      </c>
      <c r="K764" s="1">
        <v>83</v>
      </c>
      <c r="L764" s="1">
        <v>78</v>
      </c>
      <c r="M764" s="1" t="s">
        <v>31</v>
      </c>
      <c r="N764" s="1" t="s">
        <v>32</v>
      </c>
      <c r="O764" s="1" t="s">
        <v>272</v>
      </c>
      <c r="P764" s="2">
        <v>245.79</v>
      </c>
      <c r="Q764" s="1" t="str">
        <f t="shared" si="33"/>
        <v>YES</v>
      </c>
      <c r="R764" s="2">
        <f t="shared" si="34"/>
        <v>316.017</v>
      </c>
      <c r="S764" s="2">
        <f>J764*G764</f>
        <v>63905.659999999996</v>
      </c>
      <c r="T764" s="1">
        <f t="shared" ca="1" si="35"/>
        <v>72</v>
      </c>
      <c r="U764" s="1" t="s">
        <v>34</v>
      </c>
      <c r="V764" s="1" t="s">
        <v>34</v>
      </c>
      <c r="W764" s="1" t="s">
        <v>34</v>
      </c>
      <c r="X764" s="1" t="s">
        <v>2708</v>
      </c>
      <c r="Y764" s="1">
        <v>7</v>
      </c>
    </row>
    <row r="765" spans="1:25" x14ac:dyDescent="0.3">
      <c r="A765" s="1" t="s">
        <v>951</v>
      </c>
      <c r="B765" s="1" t="s">
        <v>123</v>
      </c>
      <c r="C765" s="1" t="s">
        <v>124</v>
      </c>
      <c r="D765" s="1" t="s">
        <v>47</v>
      </c>
      <c r="E765" s="1" t="s">
        <v>74</v>
      </c>
      <c r="F765" s="1" t="s">
        <v>30</v>
      </c>
      <c r="G765" s="2">
        <v>157.15</v>
      </c>
      <c r="H765" s="1">
        <v>6</v>
      </c>
      <c r="I765" s="1">
        <v>206</v>
      </c>
      <c r="J765" s="1">
        <v>199</v>
      </c>
      <c r="K765" s="1">
        <v>91</v>
      </c>
      <c r="L765" s="1">
        <v>58</v>
      </c>
      <c r="M765" s="1" t="s">
        <v>41</v>
      </c>
      <c r="N765" s="1" t="s">
        <v>42</v>
      </c>
      <c r="O765" s="1" t="s">
        <v>205</v>
      </c>
      <c r="P765" s="2">
        <v>110</v>
      </c>
      <c r="Q765" s="1" t="str">
        <f t="shared" si="33"/>
        <v>YES</v>
      </c>
      <c r="R765" s="2">
        <f t="shared" si="34"/>
        <v>141.435</v>
      </c>
      <c r="S765" s="2">
        <f>J765*G765</f>
        <v>31272.850000000002</v>
      </c>
      <c r="T765" s="1">
        <f t="shared" ca="1" si="35"/>
        <v>74</v>
      </c>
      <c r="U765" s="1" t="s">
        <v>34</v>
      </c>
      <c r="V765" s="1" t="s">
        <v>34</v>
      </c>
      <c r="W765" s="1" t="s">
        <v>34</v>
      </c>
      <c r="X765" s="1" t="s">
        <v>2870</v>
      </c>
      <c r="Y765" s="1">
        <v>7.5</v>
      </c>
    </row>
    <row r="766" spans="1:25" x14ac:dyDescent="0.3">
      <c r="A766" s="1" t="s">
        <v>952</v>
      </c>
      <c r="B766" s="1" t="s">
        <v>111</v>
      </c>
      <c r="C766" s="1" t="s">
        <v>112</v>
      </c>
      <c r="D766" s="1" t="s">
        <v>97</v>
      </c>
      <c r="E766" s="1" t="s">
        <v>29</v>
      </c>
      <c r="F766" s="1" t="s">
        <v>54</v>
      </c>
      <c r="G766" s="2">
        <v>404.99</v>
      </c>
      <c r="H766" s="1">
        <v>8</v>
      </c>
      <c r="I766" s="1">
        <v>122</v>
      </c>
      <c r="J766" s="1">
        <v>87</v>
      </c>
      <c r="K766" s="1">
        <v>59</v>
      </c>
      <c r="L766" s="1">
        <v>73</v>
      </c>
      <c r="M766" s="1" t="s">
        <v>41</v>
      </c>
      <c r="N766" s="1" t="s">
        <v>42</v>
      </c>
      <c r="O766" s="1" t="s">
        <v>292</v>
      </c>
      <c r="P766" s="2">
        <v>283.49</v>
      </c>
      <c r="Q766" s="1" t="str">
        <f t="shared" si="33"/>
        <v>YES</v>
      </c>
      <c r="R766" s="2">
        <f t="shared" si="34"/>
        <v>364.49100000000004</v>
      </c>
      <c r="S766" s="2">
        <f>J766*G766</f>
        <v>35234.129999999997</v>
      </c>
      <c r="T766" s="1">
        <f t="shared" ca="1" si="35"/>
        <v>83</v>
      </c>
      <c r="U766" s="1" t="s">
        <v>34</v>
      </c>
      <c r="V766" s="1" t="s">
        <v>34</v>
      </c>
      <c r="W766" s="1" t="s">
        <v>34</v>
      </c>
      <c r="X766" s="1" t="s">
        <v>2869</v>
      </c>
      <c r="Y766" s="1">
        <v>8</v>
      </c>
    </row>
    <row r="767" spans="1:25" x14ac:dyDescent="0.3">
      <c r="A767" s="1" t="s">
        <v>953</v>
      </c>
      <c r="B767" s="1" t="s">
        <v>176</v>
      </c>
      <c r="C767" s="1" t="s">
        <v>177</v>
      </c>
      <c r="D767" s="1" t="s">
        <v>39</v>
      </c>
      <c r="E767" s="1" t="s">
        <v>74</v>
      </c>
      <c r="F767" s="1" t="s">
        <v>54</v>
      </c>
      <c r="G767" s="2">
        <v>381.59</v>
      </c>
      <c r="H767" s="1">
        <v>8</v>
      </c>
      <c r="I767" s="1">
        <v>237</v>
      </c>
      <c r="J767" s="1">
        <v>221</v>
      </c>
      <c r="K767" s="1">
        <v>109</v>
      </c>
      <c r="L767" s="1">
        <v>124</v>
      </c>
      <c r="M767" s="1" t="s">
        <v>41</v>
      </c>
      <c r="N767" s="1" t="s">
        <v>32</v>
      </c>
      <c r="O767" s="1" t="s">
        <v>473</v>
      </c>
      <c r="P767" s="2">
        <v>267.11</v>
      </c>
      <c r="Q767" s="1" t="str">
        <f t="shared" si="33"/>
        <v>YES</v>
      </c>
      <c r="R767" s="2">
        <f t="shared" si="34"/>
        <v>343.43099999999998</v>
      </c>
      <c r="S767" s="2">
        <f>J767*G767</f>
        <v>84331.39</v>
      </c>
      <c r="T767" s="1">
        <f t="shared" ca="1" si="35"/>
        <v>146</v>
      </c>
      <c r="U767" s="1" t="s">
        <v>34</v>
      </c>
      <c r="V767" s="1" t="s">
        <v>34</v>
      </c>
      <c r="W767" s="1" t="s">
        <v>34</v>
      </c>
      <c r="X767" s="1" t="s">
        <v>2711</v>
      </c>
      <c r="Y767" s="1">
        <v>8.5</v>
      </c>
    </row>
    <row r="768" spans="1:25" x14ac:dyDescent="0.3">
      <c r="A768" s="1" t="s">
        <v>954</v>
      </c>
      <c r="B768" s="1" t="s">
        <v>237</v>
      </c>
      <c r="C768" s="1" t="s">
        <v>238</v>
      </c>
      <c r="D768" s="1" t="s">
        <v>85</v>
      </c>
      <c r="E768" s="1" t="s">
        <v>74</v>
      </c>
      <c r="F768" s="1" t="s">
        <v>48</v>
      </c>
      <c r="G768" s="2">
        <v>228.66</v>
      </c>
      <c r="H768" s="1">
        <v>2</v>
      </c>
      <c r="I768" s="1">
        <v>170</v>
      </c>
      <c r="J768" s="1">
        <v>153</v>
      </c>
      <c r="K768" s="1">
        <v>42</v>
      </c>
      <c r="L768" s="1">
        <v>117</v>
      </c>
      <c r="M768" s="1" t="s">
        <v>41</v>
      </c>
      <c r="N768" s="1" t="s">
        <v>60</v>
      </c>
      <c r="O768" s="1" t="s">
        <v>242</v>
      </c>
      <c r="P768" s="2">
        <v>160.06</v>
      </c>
      <c r="Q768" s="1" t="str">
        <f t="shared" si="33"/>
        <v>YES</v>
      </c>
      <c r="R768" s="2">
        <f t="shared" si="34"/>
        <v>205.79400000000001</v>
      </c>
      <c r="S768" s="2">
        <f>J768*G768</f>
        <v>34984.979999999996</v>
      </c>
      <c r="T768" s="1">
        <f t="shared" ca="1" si="35"/>
        <v>105</v>
      </c>
      <c r="U768" s="1" t="s">
        <v>34</v>
      </c>
      <c r="V768" s="1" t="s">
        <v>34</v>
      </c>
      <c r="W768" s="1" t="s">
        <v>34</v>
      </c>
      <c r="X768" s="1" t="s">
        <v>2821</v>
      </c>
      <c r="Y768" s="1">
        <v>9</v>
      </c>
    </row>
    <row r="769" spans="1:25" x14ac:dyDescent="0.3">
      <c r="A769" s="1" t="s">
        <v>955</v>
      </c>
      <c r="B769" s="1" t="s">
        <v>143</v>
      </c>
      <c r="C769" s="1" t="s">
        <v>144</v>
      </c>
      <c r="D769" s="1" t="s">
        <v>47</v>
      </c>
      <c r="E769" s="1" t="s">
        <v>40</v>
      </c>
      <c r="F769" s="1" t="s">
        <v>54</v>
      </c>
      <c r="G769" s="2">
        <v>227.57</v>
      </c>
      <c r="H769" s="1">
        <v>20</v>
      </c>
      <c r="I769" s="1">
        <v>92</v>
      </c>
      <c r="J769" s="1">
        <v>79</v>
      </c>
      <c r="K769" s="1">
        <v>74</v>
      </c>
      <c r="L769" s="1">
        <v>102</v>
      </c>
      <c r="M769" s="1" t="s">
        <v>41</v>
      </c>
      <c r="N769" s="1" t="s">
        <v>32</v>
      </c>
      <c r="O769" s="1" t="s">
        <v>135</v>
      </c>
      <c r="P769" s="2">
        <v>159.30000000000001</v>
      </c>
      <c r="Q769" s="1" t="str">
        <f t="shared" si="33"/>
        <v>YES</v>
      </c>
      <c r="R769" s="2">
        <f t="shared" si="34"/>
        <v>204.81299999999999</v>
      </c>
      <c r="S769" s="2">
        <f>J769*G769</f>
        <v>17978.03</v>
      </c>
      <c r="T769" s="1">
        <f t="shared" ca="1" si="35"/>
        <v>71</v>
      </c>
      <c r="U769" s="1" t="s">
        <v>34</v>
      </c>
      <c r="V769" s="1" t="s">
        <v>34</v>
      </c>
      <c r="W769" s="1" t="s">
        <v>34</v>
      </c>
      <c r="X769" s="1" t="s">
        <v>2657</v>
      </c>
      <c r="Y769" s="1">
        <v>9.5</v>
      </c>
    </row>
    <row r="770" spans="1:25" x14ac:dyDescent="0.3">
      <c r="A770" s="1" t="s">
        <v>956</v>
      </c>
      <c r="B770" s="1" t="s">
        <v>45</v>
      </c>
      <c r="C770" s="1" t="s">
        <v>46</v>
      </c>
      <c r="D770" s="1" t="s">
        <v>47</v>
      </c>
      <c r="E770" s="1" t="s">
        <v>29</v>
      </c>
      <c r="F770" s="1" t="s">
        <v>48</v>
      </c>
      <c r="G770" s="2">
        <v>220.07</v>
      </c>
      <c r="H770" s="1">
        <v>21</v>
      </c>
      <c r="I770" s="1">
        <v>293</v>
      </c>
      <c r="J770" s="1">
        <v>264</v>
      </c>
      <c r="K770" s="1">
        <v>118</v>
      </c>
      <c r="L770" s="1">
        <v>65</v>
      </c>
      <c r="M770" s="1" t="s">
        <v>31</v>
      </c>
      <c r="N770" s="1" t="s">
        <v>32</v>
      </c>
      <c r="O770" s="1" t="s">
        <v>390</v>
      </c>
      <c r="P770" s="2">
        <v>154.05000000000001</v>
      </c>
      <c r="Q770" s="1" t="str">
        <f t="shared" ref="Q770:Q801" si="36">IF(J770&gt;K770,"YES","NO")</f>
        <v>YES</v>
      </c>
      <c r="R770" s="2">
        <f t="shared" ref="R770:R801" si="37">IF(Q770="YES",G770*0.9,G770)</f>
        <v>198.06299999999999</v>
      </c>
      <c r="S770" s="2">
        <f>J770*G770</f>
        <v>58098.479999999996</v>
      </c>
      <c r="T770" s="1">
        <f t="shared" ref="T770:T801" ca="1" si="38">TODAY()-DATE(MID(O770,7,4),MID(O770,4,2),LEFT(O770,2))</f>
        <v>120</v>
      </c>
      <c r="U770" s="1" t="s">
        <v>34</v>
      </c>
      <c r="V770" s="1" t="s">
        <v>34</v>
      </c>
      <c r="W770" s="1" t="s">
        <v>34</v>
      </c>
      <c r="X770" s="1" t="s">
        <v>2516</v>
      </c>
      <c r="Y770" s="1">
        <v>5</v>
      </c>
    </row>
    <row r="771" spans="1:25" x14ac:dyDescent="0.3">
      <c r="A771" s="1" t="s">
        <v>957</v>
      </c>
      <c r="B771" s="1" t="s">
        <v>166</v>
      </c>
      <c r="C771" s="1" t="s">
        <v>167</v>
      </c>
      <c r="D771" s="1" t="s">
        <v>59</v>
      </c>
      <c r="E771" s="1" t="s">
        <v>29</v>
      </c>
      <c r="F771" s="1" t="s">
        <v>54</v>
      </c>
      <c r="G771" s="2">
        <v>190.09</v>
      </c>
      <c r="H771" s="1">
        <v>10</v>
      </c>
      <c r="I771" s="1">
        <v>118</v>
      </c>
      <c r="J771" s="1">
        <v>93</v>
      </c>
      <c r="K771" s="1">
        <v>78</v>
      </c>
      <c r="L771" s="1">
        <v>141</v>
      </c>
      <c r="M771" s="1" t="s">
        <v>41</v>
      </c>
      <c r="N771" s="1" t="s">
        <v>42</v>
      </c>
      <c r="O771" s="1" t="s">
        <v>212</v>
      </c>
      <c r="P771" s="2">
        <v>133.06</v>
      </c>
      <c r="Q771" s="1" t="str">
        <f t="shared" si="36"/>
        <v>YES</v>
      </c>
      <c r="R771" s="2">
        <f t="shared" si="37"/>
        <v>171.08100000000002</v>
      </c>
      <c r="S771" s="2">
        <f>J771*G771</f>
        <v>17678.37</v>
      </c>
      <c r="T771" s="1">
        <f t="shared" ca="1" si="38"/>
        <v>78</v>
      </c>
      <c r="U771" s="1" t="s">
        <v>34</v>
      </c>
      <c r="V771" s="1" t="s">
        <v>34</v>
      </c>
      <c r="W771" s="1" t="s">
        <v>34</v>
      </c>
      <c r="X771" s="1" t="s">
        <v>2705</v>
      </c>
      <c r="Y771" s="1">
        <v>5.5</v>
      </c>
    </row>
    <row r="772" spans="1:25" x14ac:dyDescent="0.3">
      <c r="A772" s="1" t="s">
        <v>958</v>
      </c>
      <c r="B772" s="1" t="s">
        <v>63</v>
      </c>
      <c r="C772" s="1" t="s">
        <v>64</v>
      </c>
      <c r="D772" s="1" t="s">
        <v>28</v>
      </c>
      <c r="E772" s="1" t="s">
        <v>29</v>
      </c>
      <c r="F772" s="1" t="s">
        <v>48</v>
      </c>
      <c r="G772" s="2">
        <v>40.700000000000003</v>
      </c>
      <c r="H772" s="1">
        <v>14</v>
      </c>
      <c r="I772" s="1">
        <v>209</v>
      </c>
      <c r="J772" s="1">
        <v>207</v>
      </c>
      <c r="K772" s="1">
        <v>88</v>
      </c>
      <c r="L772" s="1">
        <v>56</v>
      </c>
      <c r="M772" s="1" t="s">
        <v>49</v>
      </c>
      <c r="N772" s="1" t="s">
        <v>32</v>
      </c>
      <c r="O772" s="1" t="s">
        <v>61</v>
      </c>
      <c r="P772" s="2">
        <v>28.49</v>
      </c>
      <c r="Q772" s="1" t="str">
        <f t="shared" si="36"/>
        <v>YES</v>
      </c>
      <c r="R772" s="2">
        <f t="shared" si="37"/>
        <v>36.630000000000003</v>
      </c>
      <c r="S772" s="2">
        <f>J772*G772</f>
        <v>8424.9000000000015</v>
      </c>
      <c r="T772" s="1">
        <f t="shared" ca="1" si="38"/>
        <v>73</v>
      </c>
      <c r="U772" s="1" t="s">
        <v>34</v>
      </c>
      <c r="V772" s="1" t="s">
        <v>34</v>
      </c>
      <c r="W772" s="1" t="s">
        <v>34</v>
      </c>
      <c r="X772" s="1" t="s">
        <v>2586</v>
      </c>
      <c r="Y772" s="1">
        <v>6</v>
      </c>
    </row>
    <row r="773" spans="1:25" x14ac:dyDescent="0.3">
      <c r="A773" s="1" t="s">
        <v>959</v>
      </c>
      <c r="B773" s="1" t="s">
        <v>237</v>
      </c>
      <c r="C773" s="1" t="s">
        <v>238</v>
      </c>
      <c r="D773" s="1" t="s">
        <v>85</v>
      </c>
      <c r="E773" s="1" t="s">
        <v>74</v>
      </c>
      <c r="F773" s="1" t="s">
        <v>54</v>
      </c>
      <c r="G773" s="2">
        <v>499.31</v>
      </c>
      <c r="H773" s="1">
        <v>20</v>
      </c>
      <c r="I773" s="1">
        <v>103</v>
      </c>
      <c r="J773" s="1">
        <v>101</v>
      </c>
      <c r="K773" s="1">
        <v>83</v>
      </c>
      <c r="L773" s="1">
        <v>144</v>
      </c>
      <c r="M773" s="1" t="s">
        <v>31</v>
      </c>
      <c r="N773" s="1" t="s">
        <v>32</v>
      </c>
      <c r="O773" s="1" t="s">
        <v>135</v>
      </c>
      <c r="P773" s="2">
        <v>349.52</v>
      </c>
      <c r="Q773" s="1" t="str">
        <f t="shared" si="36"/>
        <v>YES</v>
      </c>
      <c r="R773" s="2">
        <f t="shared" si="37"/>
        <v>449.37900000000002</v>
      </c>
      <c r="S773" s="2">
        <f>J773*G773</f>
        <v>50430.31</v>
      </c>
      <c r="T773" s="1">
        <f t="shared" ca="1" si="38"/>
        <v>71</v>
      </c>
      <c r="U773" s="1" t="s">
        <v>34</v>
      </c>
      <c r="V773" s="1" t="s">
        <v>34</v>
      </c>
      <c r="W773" s="1" t="s">
        <v>34</v>
      </c>
      <c r="X773" s="1" t="s">
        <v>2808</v>
      </c>
      <c r="Y773" s="1">
        <v>6.5</v>
      </c>
    </row>
    <row r="774" spans="1:25" x14ac:dyDescent="0.3">
      <c r="A774" s="1" t="s">
        <v>960</v>
      </c>
      <c r="B774" s="1" t="s">
        <v>72</v>
      </c>
      <c r="C774" s="1" t="s">
        <v>73</v>
      </c>
      <c r="D774" s="1" t="s">
        <v>47</v>
      </c>
      <c r="E774" s="1" t="s">
        <v>40</v>
      </c>
      <c r="F774" s="1" t="s">
        <v>54</v>
      </c>
      <c r="G774" s="2">
        <v>262.27999999999997</v>
      </c>
      <c r="H774" s="1">
        <v>17</v>
      </c>
      <c r="I774" s="1">
        <v>284</v>
      </c>
      <c r="J774" s="1">
        <v>272</v>
      </c>
      <c r="K774" s="1">
        <v>110</v>
      </c>
      <c r="L774" s="1">
        <v>86</v>
      </c>
      <c r="M774" s="1" t="s">
        <v>41</v>
      </c>
      <c r="N774" s="1" t="s">
        <v>60</v>
      </c>
      <c r="O774" s="1" t="s">
        <v>280</v>
      </c>
      <c r="P774" s="2">
        <v>183.6</v>
      </c>
      <c r="Q774" s="1" t="str">
        <f t="shared" si="36"/>
        <v>YES</v>
      </c>
      <c r="R774" s="2">
        <f t="shared" si="37"/>
        <v>236.05199999999999</v>
      </c>
      <c r="S774" s="2">
        <f>J774*G774</f>
        <v>71340.159999999989</v>
      </c>
      <c r="T774" s="1">
        <f t="shared" ca="1" si="38"/>
        <v>108</v>
      </c>
      <c r="U774" s="1" t="s">
        <v>34</v>
      </c>
      <c r="V774" s="1" t="s">
        <v>34</v>
      </c>
      <c r="W774" s="1" t="s">
        <v>34</v>
      </c>
      <c r="X774" s="1" t="s">
        <v>2776</v>
      </c>
      <c r="Y774" s="1">
        <v>7</v>
      </c>
    </row>
    <row r="775" spans="1:25" x14ac:dyDescent="0.3">
      <c r="A775" s="1" t="s">
        <v>961</v>
      </c>
      <c r="B775" s="1" t="s">
        <v>45</v>
      </c>
      <c r="C775" s="1" t="s">
        <v>46</v>
      </c>
      <c r="D775" s="1" t="s">
        <v>47</v>
      </c>
      <c r="E775" s="1" t="s">
        <v>40</v>
      </c>
      <c r="F775" s="1" t="s">
        <v>30</v>
      </c>
      <c r="G775" s="2">
        <v>363.19</v>
      </c>
      <c r="H775" s="1">
        <v>13</v>
      </c>
      <c r="I775" s="1">
        <v>172</v>
      </c>
      <c r="J775" s="1">
        <v>140</v>
      </c>
      <c r="K775" s="1">
        <v>90</v>
      </c>
      <c r="L775" s="1">
        <v>149</v>
      </c>
      <c r="M775" s="1" t="s">
        <v>31</v>
      </c>
      <c r="N775" s="1" t="s">
        <v>60</v>
      </c>
      <c r="O775" s="1" t="s">
        <v>81</v>
      </c>
      <c r="P775" s="2">
        <v>254.23</v>
      </c>
      <c r="Q775" s="1" t="str">
        <f t="shared" si="36"/>
        <v>YES</v>
      </c>
      <c r="R775" s="2">
        <f t="shared" si="37"/>
        <v>326.87099999999998</v>
      </c>
      <c r="S775" s="2">
        <f>J775*G775</f>
        <v>50846.6</v>
      </c>
      <c r="T775" s="1">
        <f t="shared" ca="1" si="38"/>
        <v>81</v>
      </c>
      <c r="U775" s="1" t="s">
        <v>34</v>
      </c>
      <c r="V775" s="1" t="s">
        <v>34</v>
      </c>
      <c r="W775" s="1" t="s">
        <v>34</v>
      </c>
      <c r="X775" s="1" t="s">
        <v>2871</v>
      </c>
      <c r="Y775" s="1">
        <v>7.5</v>
      </c>
    </row>
    <row r="776" spans="1:25" x14ac:dyDescent="0.3">
      <c r="A776" s="1" t="s">
        <v>962</v>
      </c>
      <c r="B776" s="1" t="s">
        <v>262</v>
      </c>
      <c r="C776" s="1" t="s">
        <v>263</v>
      </c>
      <c r="D776" s="1" t="s">
        <v>104</v>
      </c>
      <c r="E776" s="1" t="s">
        <v>40</v>
      </c>
      <c r="F776" s="1" t="s">
        <v>54</v>
      </c>
      <c r="G776" s="2">
        <v>359.87</v>
      </c>
      <c r="H776" s="1">
        <v>21</v>
      </c>
      <c r="I776" s="1">
        <v>95</v>
      </c>
      <c r="J776" s="1">
        <v>90</v>
      </c>
      <c r="K776" s="1">
        <v>101</v>
      </c>
      <c r="L776" s="1">
        <v>106</v>
      </c>
      <c r="M776" s="1" t="s">
        <v>31</v>
      </c>
      <c r="N776" s="1" t="s">
        <v>32</v>
      </c>
      <c r="O776" s="1" t="s">
        <v>128</v>
      </c>
      <c r="P776" s="2">
        <v>251.91</v>
      </c>
      <c r="Q776" s="1" t="str">
        <f t="shared" si="36"/>
        <v>NO</v>
      </c>
      <c r="R776" s="2">
        <f t="shared" si="37"/>
        <v>359.87</v>
      </c>
      <c r="S776" s="2">
        <f>J776*G776</f>
        <v>32388.3</v>
      </c>
      <c r="T776" s="1">
        <f t="shared" ca="1" si="38"/>
        <v>77</v>
      </c>
      <c r="U776" s="1" t="s">
        <v>34</v>
      </c>
      <c r="V776" s="1" t="s">
        <v>34</v>
      </c>
      <c r="W776" s="1" t="s">
        <v>34</v>
      </c>
      <c r="X776" s="1" t="s">
        <v>2564</v>
      </c>
      <c r="Y776" s="1">
        <v>8</v>
      </c>
    </row>
    <row r="777" spans="1:25" x14ac:dyDescent="0.3">
      <c r="A777" s="1" t="s">
        <v>963</v>
      </c>
      <c r="B777" s="1" t="s">
        <v>126</v>
      </c>
      <c r="C777" s="1" t="s">
        <v>127</v>
      </c>
      <c r="D777" s="1" t="s">
        <v>85</v>
      </c>
      <c r="E777" s="1" t="s">
        <v>40</v>
      </c>
      <c r="F777" s="1" t="s">
        <v>54</v>
      </c>
      <c r="G777" s="2">
        <v>356.86</v>
      </c>
      <c r="H777" s="1">
        <v>13</v>
      </c>
      <c r="I777" s="1">
        <v>126</v>
      </c>
      <c r="J777" s="1">
        <v>98</v>
      </c>
      <c r="K777" s="1">
        <v>79</v>
      </c>
      <c r="L777" s="1">
        <v>87</v>
      </c>
      <c r="M777" s="1" t="s">
        <v>41</v>
      </c>
      <c r="N777" s="1" t="s">
        <v>60</v>
      </c>
      <c r="O777" s="1" t="s">
        <v>98</v>
      </c>
      <c r="P777" s="2">
        <v>249.8</v>
      </c>
      <c r="Q777" s="1" t="str">
        <f t="shared" si="36"/>
        <v>YES</v>
      </c>
      <c r="R777" s="2">
        <f t="shared" si="37"/>
        <v>321.17400000000004</v>
      </c>
      <c r="S777" s="2">
        <f>J777*G777</f>
        <v>34972.28</v>
      </c>
      <c r="T777" s="1">
        <f t="shared" ca="1" si="38"/>
        <v>96</v>
      </c>
      <c r="U777" s="1" t="s">
        <v>34</v>
      </c>
      <c r="V777" s="1" t="s">
        <v>34</v>
      </c>
      <c r="W777" s="1" t="s">
        <v>34</v>
      </c>
      <c r="X777" s="1" t="s">
        <v>2872</v>
      </c>
      <c r="Y777" s="1">
        <v>8.5</v>
      </c>
    </row>
    <row r="778" spans="1:25" x14ac:dyDescent="0.3">
      <c r="A778" s="1" t="s">
        <v>964</v>
      </c>
      <c r="B778" s="1" t="s">
        <v>118</v>
      </c>
      <c r="C778" s="1" t="s">
        <v>119</v>
      </c>
      <c r="D778" s="1" t="s">
        <v>97</v>
      </c>
      <c r="E778" s="1" t="s">
        <v>29</v>
      </c>
      <c r="F778" s="1" t="s">
        <v>30</v>
      </c>
      <c r="G778" s="2">
        <v>293.05</v>
      </c>
      <c r="H778" s="1">
        <v>3</v>
      </c>
      <c r="I778" s="1">
        <v>244</v>
      </c>
      <c r="J778" s="1">
        <v>228</v>
      </c>
      <c r="K778" s="1">
        <v>44</v>
      </c>
      <c r="L778" s="1">
        <v>102</v>
      </c>
      <c r="M778" s="1" t="s">
        <v>49</v>
      </c>
      <c r="N778" s="1" t="s">
        <v>42</v>
      </c>
      <c r="O778" s="1" t="s">
        <v>333</v>
      </c>
      <c r="P778" s="2">
        <v>205.13</v>
      </c>
      <c r="Q778" s="1" t="str">
        <f t="shared" si="36"/>
        <v>YES</v>
      </c>
      <c r="R778" s="2">
        <f t="shared" si="37"/>
        <v>263.745</v>
      </c>
      <c r="S778" s="2">
        <f>J778*G778</f>
        <v>66815.400000000009</v>
      </c>
      <c r="T778" s="1">
        <f t="shared" ca="1" si="38"/>
        <v>109</v>
      </c>
      <c r="U778" s="1" t="s">
        <v>34</v>
      </c>
      <c r="V778" s="1" t="s">
        <v>34</v>
      </c>
      <c r="W778" s="1" t="s">
        <v>34</v>
      </c>
      <c r="X778" s="1" t="s">
        <v>2585</v>
      </c>
      <c r="Y778" s="1">
        <v>9</v>
      </c>
    </row>
    <row r="779" spans="1:25" x14ac:dyDescent="0.3">
      <c r="A779" s="1" t="s">
        <v>965</v>
      </c>
      <c r="B779" s="1" t="s">
        <v>176</v>
      </c>
      <c r="C779" s="1" t="s">
        <v>177</v>
      </c>
      <c r="D779" s="1" t="s">
        <v>39</v>
      </c>
      <c r="E779" s="1" t="s">
        <v>74</v>
      </c>
      <c r="F779" s="1" t="s">
        <v>48</v>
      </c>
      <c r="G779" s="2">
        <v>217.04</v>
      </c>
      <c r="H779" s="1">
        <v>21</v>
      </c>
      <c r="I779" s="1">
        <v>282</v>
      </c>
      <c r="J779" s="1">
        <v>267</v>
      </c>
      <c r="K779" s="1">
        <v>40</v>
      </c>
      <c r="L779" s="1">
        <v>109</v>
      </c>
      <c r="M779" s="1" t="s">
        <v>41</v>
      </c>
      <c r="N779" s="1" t="s">
        <v>60</v>
      </c>
      <c r="O779" s="1" t="s">
        <v>280</v>
      </c>
      <c r="P779" s="2">
        <v>151.93</v>
      </c>
      <c r="Q779" s="1" t="str">
        <f t="shared" si="36"/>
        <v>YES</v>
      </c>
      <c r="R779" s="2">
        <f t="shared" si="37"/>
        <v>195.33599999999998</v>
      </c>
      <c r="S779" s="2">
        <f>J779*G779</f>
        <v>57949.68</v>
      </c>
      <c r="T779" s="1">
        <f t="shared" ca="1" si="38"/>
        <v>108</v>
      </c>
      <c r="U779" s="1" t="s">
        <v>34</v>
      </c>
      <c r="V779" s="1" t="s">
        <v>34</v>
      </c>
      <c r="W779" s="1" t="s">
        <v>34</v>
      </c>
      <c r="X779" s="1" t="s">
        <v>2839</v>
      </c>
      <c r="Y779" s="1">
        <v>9.5</v>
      </c>
    </row>
    <row r="780" spans="1:25" x14ac:dyDescent="0.3">
      <c r="A780" s="1" t="s">
        <v>966</v>
      </c>
      <c r="B780" s="1" t="s">
        <v>197</v>
      </c>
      <c r="C780" s="1" t="s">
        <v>198</v>
      </c>
      <c r="D780" s="1" t="s">
        <v>104</v>
      </c>
      <c r="E780" s="1" t="s">
        <v>29</v>
      </c>
      <c r="F780" s="1" t="s">
        <v>30</v>
      </c>
      <c r="G780" s="2">
        <v>248.7</v>
      </c>
      <c r="H780" s="1">
        <v>5</v>
      </c>
      <c r="I780" s="1">
        <v>243</v>
      </c>
      <c r="J780" s="1">
        <v>221</v>
      </c>
      <c r="K780" s="1">
        <v>107</v>
      </c>
      <c r="L780" s="1">
        <v>103</v>
      </c>
      <c r="M780" s="1" t="s">
        <v>41</v>
      </c>
      <c r="N780" s="1" t="s">
        <v>32</v>
      </c>
      <c r="O780" s="1" t="s">
        <v>133</v>
      </c>
      <c r="P780" s="2">
        <v>174.09</v>
      </c>
      <c r="Q780" s="1" t="str">
        <f t="shared" si="36"/>
        <v>YES</v>
      </c>
      <c r="R780" s="2">
        <f t="shared" si="37"/>
        <v>223.82999999999998</v>
      </c>
      <c r="S780" s="2">
        <f>J780*G780</f>
        <v>54962.7</v>
      </c>
      <c r="T780" s="1">
        <f t="shared" ca="1" si="38"/>
        <v>76</v>
      </c>
      <c r="U780" s="1" t="s">
        <v>34</v>
      </c>
      <c r="V780" s="1" t="s">
        <v>34</v>
      </c>
      <c r="W780" s="1" t="s">
        <v>34</v>
      </c>
      <c r="X780" s="1" t="s">
        <v>2873</v>
      </c>
      <c r="Y780" s="1">
        <v>5</v>
      </c>
    </row>
    <row r="781" spans="1:25" x14ac:dyDescent="0.3">
      <c r="A781" s="1" t="s">
        <v>967</v>
      </c>
      <c r="B781" s="1" t="s">
        <v>72</v>
      </c>
      <c r="C781" s="1" t="s">
        <v>73</v>
      </c>
      <c r="D781" s="1" t="s">
        <v>47</v>
      </c>
      <c r="E781" s="1" t="s">
        <v>40</v>
      </c>
      <c r="F781" s="1" t="s">
        <v>30</v>
      </c>
      <c r="G781" s="2">
        <v>305.82</v>
      </c>
      <c r="H781" s="1">
        <v>10</v>
      </c>
      <c r="I781" s="1">
        <v>140</v>
      </c>
      <c r="J781" s="1">
        <v>111</v>
      </c>
      <c r="K781" s="1">
        <v>107</v>
      </c>
      <c r="L781" s="1">
        <v>80</v>
      </c>
      <c r="M781" s="1" t="s">
        <v>49</v>
      </c>
      <c r="N781" s="1" t="s">
        <v>42</v>
      </c>
      <c r="O781" s="1" t="s">
        <v>50</v>
      </c>
      <c r="P781" s="2">
        <v>214.07</v>
      </c>
      <c r="Q781" s="1" t="str">
        <f t="shared" si="36"/>
        <v>YES</v>
      </c>
      <c r="R781" s="2">
        <f t="shared" si="37"/>
        <v>275.238</v>
      </c>
      <c r="S781" s="2">
        <f>J781*G781</f>
        <v>33946.019999999997</v>
      </c>
      <c r="T781" s="1">
        <f t="shared" ca="1" si="38"/>
        <v>114</v>
      </c>
      <c r="U781" s="1" t="s">
        <v>34</v>
      </c>
      <c r="V781" s="1" t="s">
        <v>34</v>
      </c>
      <c r="W781" s="1" t="s">
        <v>34</v>
      </c>
      <c r="X781" s="1" t="s">
        <v>2839</v>
      </c>
      <c r="Y781" s="1">
        <v>5.5</v>
      </c>
    </row>
    <row r="782" spans="1:25" x14ac:dyDescent="0.3">
      <c r="A782" s="1" t="s">
        <v>968</v>
      </c>
      <c r="B782" s="1" t="s">
        <v>143</v>
      </c>
      <c r="C782" s="1" t="s">
        <v>144</v>
      </c>
      <c r="D782" s="1" t="s">
        <v>47</v>
      </c>
      <c r="E782" s="1" t="s">
        <v>29</v>
      </c>
      <c r="F782" s="1" t="s">
        <v>48</v>
      </c>
      <c r="G782" s="2">
        <v>428.45</v>
      </c>
      <c r="H782" s="1">
        <v>16</v>
      </c>
      <c r="I782" s="1">
        <v>248</v>
      </c>
      <c r="J782" s="1">
        <v>235</v>
      </c>
      <c r="K782" s="1">
        <v>55</v>
      </c>
      <c r="L782" s="1">
        <v>91</v>
      </c>
      <c r="M782" s="1" t="s">
        <v>41</v>
      </c>
      <c r="N782" s="1" t="s">
        <v>32</v>
      </c>
      <c r="O782" s="1" t="s">
        <v>92</v>
      </c>
      <c r="P782" s="2">
        <v>299.91000000000003</v>
      </c>
      <c r="Q782" s="1" t="str">
        <f t="shared" si="36"/>
        <v>YES</v>
      </c>
      <c r="R782" s="2">
        <f t="shared" si="37"/>
        <v>385.60500000000002</v>
      </c>
      <c r="S782" s="2">
        <f>J782*G782</f>
        <v>100685.75</v>
      </c>
      <c r="T782" s="1">
        <f t="shared" ca="1" si="38"/>
        <v>64</v>
      </c>
      <c r="U782" s="1" t="s">
        <v>34</v>
      </c>
      <c r="V782" s="1" t="s">
        <v>34</v>
      </c>
      <c r="W782" s="1" t="s">
        <v>34</v>
      </c>
      <c r="X782" s="1" t="s">
        <v>2821</v>
      </c>
      <c r="Y782" s="1">
        <v>6</v>
      </c>
    </row>
    <row r="783" spans="1:25" x14ac:dyDescent="0.3">
      <c r="A783" s="1" t="s">
        <v>969</v>
      </c>
      <c r="B783" s="1" t="s">
        <v>57</v>
      </c>
      <c r="C783" s="1" t="s">
        <v>58</v>
      </c>
      <c r="D783" s="1" t="s">
        <v>59</v>
      </c>
      <c r="E783" s="1" t="s">
        <v>40</v>
      </c>
      <c r="F783" s="1" t="s">
        <v>30</v>
      </c>
      <c r="G783" s="2">
        <v>457.66</v>
      </c>
      <c r="H783" s="1">
        <v>2</v>
      </c>
      <c r="I783" s="1">
        <v>157</v>
      </c>
      <c r="J783" s="1">
        <v>148</v>
      </c>
      <c r="K783" s="1">
        <v>88</v>
      </c>
      <c r="L783" s="1">
        <v>76</v>
      </c>
      <c r="M783" s="1" t="s">
        <v>49</v>
      </c>
      <c r="N783" s="1" t="s">
        <v>42</v>
      </c>
      <c r="O783" s="1" t="s">
        <v>150</v>
      </c>
      <c r="P783" s="2">
        <v>320.36</v>
      </c>
      <c r="Q783" s="1" t="str">
        <f t="shared" si="36"/>
        <v>YES</v>
      </c>
      <c r="R783" s="2">
        <f t="shared" si="37"/>
        <v>411.89400000000001</v>
      </c>
      <c r="S783" s="2">
        <f>J783*G783</f>
        <v>67733.680000000008</v>
      </c>
      <c r="T783" s="1">
        <f t="shared" ca="1" si="38"/>
        <v>116</v>
      </c>
      <c r="U783" s="1" t="s">
        <v>34</v>
      </c>
      <c r="V783" s="1" t="s">
        <v>34</v>
      </c>
      <c r="W783" s="1" t="s">
        <v>34</v>
      </c>
      <c r="X783" s="1" t="s">
        <v>2569</v>
      </c>
      <c r="Y783" s="1">
        <v>6.5</v>
      </c>
    </row>
    <row r="784" spans="1:25" x14ac:dyDescent="0.3">
      <c r="A784" s="1" t="s">
        <v>970</v>
      </c>
      <c r="B784" s="1" t="s">
        <v>126</v>
      </c>
      <c r="C784" s="1" t="s">
        <v>127</v>
      </c>
      <c r="D784" s="1" t="s">
        <v>85</v>
      </c>
      <c r="E784" s="1" t="s">
        <v>74</v>
      </c>
      <c r="F784" s="1" t="s">
        <v>48</v>
      </c>
      <c r="G784" s="2">
        <v>343.02</v>
      </c>
      <c r="H784" s="1">
        <v>21</v>
      </c>
      <c r="I784" s="1">
        <v>193</v>
      </c>
      <c r="J784" s="1">
        <v>193</v>
      </c>
      <c r="K784" s="1">
        <v>56</v>
      </c>
      <c r="L784" s="1">
        <v>55</v>
      </c>
      <c r="M784" s="1" t="s">
        <v>41</v>
      </c>
      <c r="N784" s="1" t="s">
        <v>32</v>
      </c>
      <c r="O784" s="1" t="s">
        <v>92</v>
      </c>
      <c r="P784" s="2">
        <v>240.11</v>
      </c>
      <c r="Q784" s="1" t="str">
        <f t="shared" si="36"/>
        <v>YES</v>
      </c>
      <c r="R784" s="2">
        <f t="shared" si="37"/>
        <v>308.71800000000002</v>
      </c>
      <c r="S784" s="2">
        <f>J784*G784</f>
        <v>66202.86</v>
      </c>
      <c r="T784" s="1">
        <f t="shared" ca="1" si="38"/>
        <v>64</v>
      </c>
      <c r="U784" s="1" t="s">
        <v>34</v>
      </c>
      <c r="V784" s="1" t="s">
        <v>34</v>
      </c>
      <c r="W784" s="1" t="s">
        <v>34</v>
      </c>
      <c r="X784" s="1" t="s">
        <v>2825</v>
      </c>
      <c r="Y784" s="1">
        <v>7</v>
      </c>
    </row>
    <row r="785" spans="1:25" x14ac:dyDescent="0.3">
      <c r="A785" s="1" t="s">
        <v>971</v>
      </c>
      <c r="B785" s="1" t="s">
        <v>176</v>
      </c>
      <c r="C785" s="1" t="s">
        <v>177</v>
      </c>
      <c r="D785" s="1" t="s">
        <v>39</v>
      </c>
      <c r="E785" s="1" t="s">
        <v>29</v>
      </c>
      <c r="F785" s="1" t="s">
        <v>30</v>
      </c>
      <c r="G785" s="2">
        <v>209.86</v>
      </c>
      <c r="H785" s="1">
        <v>15</v>
      </c>
      <c r="I785" s="1">
        <v>221</v>
      </c>
      <c r="J785" s="1">
        <v>183</v>
      </c>
      <c r="K785" s="1">
        <v>99</v>
      </c>
      <c r="L785" s="1">
        <v>137</v>
      </c>
      <c r="M785" s="1" t="s">
        <v>49</v>
      </c>
      <c r="N785" s="1" t="s">
        <v>42</v>
      </c>
      <c r="O785" s="1" t="s">
        <v>195</v>
      </c>
      <c r="P785" s="2">
        <v>146.9</v>
      </c>
      <c r="Q785" s="1" t="str">
        <f t="shared" si="36"/>
        <v>YES</v>
      </c>
      <c r="R785" s="2">
        <f t="shared" si="37"/>
        <v>188.87400000000002</v>
      </c>
      <c r="S785" s="2">
        <f>J785*G785</f>
        <v>38404.380000000005</v>
      </c>
      <c r="T785" s="1">
        <f t="shared" ca="1" si="38"/>
        <v>63</v>
      </c>
      <c r="U785" s="1" t="s">
        <v>34</v>
      </c>
      <c r="V785" s="1" t="s">
        <v>34</v>
      </c>
      <c r="W785" s="1" t="s">
        <v>34</v>
      </c>
      <c r="X785" s="1" t="s">
        <v>2874</v>
      </c>
      <c r="Y785" s="1">
        <v>7.5</v>
      </c>
    </row>
    <row r="786" spans="1:25" x14ac:dyDescent="0.3">
      <c r="A786" s="1" t="s">
        <v>972</v>
      </c>
      <c r="B786" s="1" t="s">
        <v>77</v>
      </c>
      <c r="C786" s="1" t="s">
        <v>78</v>
      </c>
      <c r="D786" s="1" t="s">
        <v>47</v>
      </c>
      <c r="E786" s="1" t="s">
        <v>40</v>
      </c>
      <c r="F786" s="1" t="s">
        <v>54</v>
      </c>
      <c r="G786" s="2">
        <v>421.34</v>
      </c>
      <c r="H786" s="1">
        <v>2</v>
      </c>
      <c r="I786" s="1">
        <v>232</v>
      </c>
      <c r="J786" s="1">
        <v>211</v>
      </c>
      <c r="K786" s="1">
        <v>104</v>
      </c>
      <c r="L786" s="1">
        <v>112</v>
      </c>
      <c r="M786" s="1" t="s">
        <v>41</v>
      </c>
      <c r="N786" s="1" t="s">
        <v>32</v>
      </c>
      <c r="O786" s="1" t="s">
        <v>178</v>
      </c>
      <c r="P786" s="2">
        <v>294.94</v>
      </c>
      <c r="Q786" s="1" t="str">
        <f t="shared" si="36"/>
        <v>YES</v>
      </c>
      <c r="R786" s="2">
        <f t="shared" si="37"/>
        <v>379.20599999999996</v>
      </c>
      <c r="S786" s="2">
        <f>J786*G786</f>
        <v>88902.739999999991</v>
      </c>
      <c r="T786" s="1">
        <f t="shared" ca="1" si="38"/>
        <v>90</v>
      </c>
      <c r="U786" s="1" t="s">
        <v>34</v>
      </c>
      <c r="V786" s="1" t="s">
        <v>34</v>
      </c>
      <c r="W786" s="1" t="s">
        <v>34</v>
      </c>
      <c r="X786" s="1" t="s">
        <v>2557</v>
      </c>
      <c r="Y786" s="1">
        <v>8</v>
      </c>
    </row>
    <row r="787" spans="1:25" x14ac:dyDescent="0.3">
      <c r="A787" s="1" t="s">
        <v>973</v>
      </c>
      <c r="B787" s="1" t="s">
        <v>45</v>
      </c>
      <c r="C787" s="1" t="s">
        <v>46</v>
      </c>
      <c r="D787" s="1" t="s">
        <v>47</v>
      </c>
      <c r="E787" s="1" t="s">
        <v>29</v>
      </c>
      <c r="F787" s="1" t="s">
        <v>48</v>
      </c>
      <c r="G787" s="2">
        <v>57.66</v>
      </c>
      <c r="H787" s="1">
        <v>4</v>
      </c>
      <c r="I787" s="1">
        <v>292</v>
      </c>
      <c r="J787" s="1">
        <v>262</v>
      </c>
      <c r="K787" s="1">
        <v>65</v>
      </c>
      <c r="L787" s="1">
        <v>123</v>
      </c>
      <c r="M787" s="1" t="s">
        <v>41</v>
      </c>
      <c r="N787" s="1" t="s">
        <v>60</v>
      </c>
      <c r="O787" s="1" t="s">
        <v>292</v>
      </c>
      <c r="P787" s="2">
        <v>40.36</v>
      </c>
      <c r="Q787" s="1" t="str">
        <f t="shared" si="36"/>
        <v>YES</v>
      </c>
      <c r="R787" s="2">
        <f t="shared" si="37"/>
        <v>51.893999999999998</v>
      </c>
      <c r="S787" s="2">
        <f>J787*G787</f>
        <v>15106.919999999998</v>
      </c>
      <c r="T787" s="1">
        <f t="shared" ca="1" si="38"/>
        <v>83</v>
      </c>
      <c r="U787" s="1" t="s">
        <v>34</v>
      </c>
      <c r="V787" s="1" t="s">
        <v>34</v>
      </c>
      <c r="W787" s="1" t="s">
        <v>34</v>
      </c>
      <c r="X787" s="1" t="s">
        <v>2723</v>
      </c>
      <c r="Y787" s="1">
        <v>8.5</v>
      </c>
    </row>
    <row r="788" spans="1:25" x14ac:dyDescent="0.3">
      <c r="A788" s="1" t="s">
        <v>974</v>
      </c>
      <c r="B788" s="1" t="s">
        <v>299</v>
      </c>
      <c r="C788" s="1" t="s">
        <v>300</v>
      </c>
      <c r="D788" s="1" t="s">
        <v>39</v>
      </c>
      <c r="E788" s="1" t="s">
        <v>29</v>
      </c>
      <c r="F788" s="1" t="s">
        <v>48</v>
      </c>
      <c r="G788" s="2">
        <v>188.57</v>
      </c>
      <c r="H788" s="1">
        <v>23</v>
      </c>
      <c r="I788" s="1">
        <v>200</v>
      </c>
      <c r="J788" s="1">
        <v>188</v>
      </c>
      <c r="K788" s="1">
        <v>62</v>
      </c>
      <c r="L788" s="1">
        <v>53</v>
      </c>
      <c r="M788" s="1" t="s">
        <v>49</v>
      </c>
      <c r="N788" s="1" t="s">
        <v>60</v>
      </c>
      <c r="O788" s="1" t="s">
        <v>109</v>
      </c>
      <c r="P788" s="2">
        <v>132</v>
      </c>
      <c r="Q788" s="1" t="str">
        <f t="shared" si="36"/>
        <v>YES</v>
      </c>
      <c r="R788" s="2">
        <f t="shared" si="37"/>
        <v>169.71299999999999</v>
      </c>
      <c r="S788" s="2">
        <f>J788*G788</f>
        <v>35451.159999999996</v>
      </c>
      <c r="T788" s="1">
        <f t="shared" ca="1" si="38"/>
        <v>89</v>
      </c>
      <c r="U788" s="1" t="s">
        <v>34</v>
      </c>
      <c r="V788" s="1" t="s">
        <v>34</v>
      </c>
      <c r="W788" s="1" t="s">
        <v>34</v>
      </c>
      <c r="X788" s="1" t="s">
        <v>2574</v>
      </c>
      <c r="Y788" s="1">
        <v>9</v>
      </c>
    </row>
    <row r="789" spans="1:25" x14ac:dyDescent="0.3">
      <c r="A789" s="1" t="s">
        <v>975</v>
      </c>
      <c r="B789" s="1" t="s">
        <v>26</v>
      </c>
      <c r="C789" s="1" t="s">
        <v>27</v>
      </c>
      <c r="D789" s="1" t="s">
        <v>28</v>
      </c>
      <c r="E789" s="1" t="s">
        <v>29</v>
      </c>
      <c r="F789" s="1" t="s">
        <v>54</v>
      </c>
      <c r="G789" s="2">
        <v>262.33</v>
      </c>
      <c r="H789" s="1">
        <v>4</v>
      </c>
      <c r="I789" s="1">
        <v>81</v>
      </c>
      <c r="J789" s="1">
        <v>61</v>
      </c>
      <c r="K789" s="1">
        <v>56</v>
      </c>
      <c r="L789" s="1">
        <v>117</v>
      </c>
      <c r="M789" s="1" t="s">
        <v>49</v>
      </c>
      <c r="N789" s="1" t="s">
        <v>60</v>
      </c>
      <c r="O789" s="1" t="s">
        <v>260</v>
      </c>
      <c r="P789" s="2">
        <v>183.63</v>
      </c>
      <c r="Q789" s="1" t="str">
        <f t="shared" si="36"/>
        <v>YES</v>
      </c>
      <c r="R789" s="2">
        <f t="shared" si="37"/>
        <v>236.09699999999998</v>
      </c>
      <c r="S789" s="2">
        <f>J789*G789</f>
        <v>16002.13</v>
      </c>
      <c r="T789" s="1">
        <f t="shared" ca="1" si="38"/>
        <v>70</v>
      </c>
      <c r="U789" s="1" t="s">
        <v>34</v>
      </c>
      <c r="V789" s="1" t="s">
        <v>34</v>
      </c>
      <c r="W789" s="1" t="s">
        <v>34</v>
      </c>
      <c r="X789" s="1" t="s">
        <v>2798</v>
      </c>
      <c r="Y789" s="1">
        <v>9.5</v>
      </c>
    </row>
    <row r="790" spans="1:25" x14ac:dyDescent="0.3">
      <c r="A790" s="1" t="s">
        <v>976</v>
      </c>
      <c r="B790" s="1" t="s">
        <v>72</v>
      </c>
      <c r="C790" s="1" t="s">
        <v>73</v>
      </c>
      <c r="D790" s="1" t="s">
        <v>47</v>
      </c>
      <c r="E790" s="1" t="s">
        <v>74</v>
      </c>
      <c r="F790" s="1" t="s">
        <v>54</v>
      </c>
      <c r="G790" s="2">
        <v>263.94</v>
      </c>
      <c r="H790" s="1">
        <v>22</v>
      </c>
      <c r="I790" s="1">
        <v>178</v>
      </c>
      <c r="J790" s="1">
        <v>144</v>
      </c>
      <c r="K790" s="1">
        <v>84</v>
      </c>
      <c r="L790" s="1">
        <v>134</v>
      </c>
      <c r="M790" s="1" t="s">
        <v>41</v>
      </c>
      <c r="N790" s="1" t="s">
        <v>60</v>
      </c>
      <c r="O790" s="1" t="s">
        <v>292</v>
      </c>
      <c r="P790" s="2">
        <v>184.76</v>
      </c>
      <c r="Q790" s="1" t="str">
        <f t="shared" si="36"/>
        <v>YES</v>
      </c>
      <c r="R790" s="2">
        <f t="shared" si="37"/>
        <v>237.54599999999999</v>
      </c>
      <c r="S790" s="2">
        <f>J790*G790</f>
        <v>38007.360000000001</v>
      </c>
      <c r="T790" s="1">
        <f t="shared" ca="1" si="38"/>
        <v>83</v>
      </c>
      <c r="U790" s="1" t="s">
        <v>34</v>
      </c>
      <c r="V790" s="1" t="s">
        <v>34</v>
      </c>
      <c r="W790" s="1" t="s">
        <v>34</v>
      </c>
      <c r="X790" s="1" t="s">
        <v>2847</v>
      </c>
      <c r="Y790" s="1">
        <v>5</v>
      </c>
    </row>
    <row r="791" spans="1:25" x14ac:dyDescent="0.3">
      <c r="A791" s="1" t="s">
        <v>977</v>
      </c>
      <c r="B791" s="1" t="s">
        <v>37</v>
      </c>
      <c r="C791" s="1" t="s">
        <v>38</v>
      </c>
      <c r="D791" s="1" t="s">
        <v>39</v>
      </c>
      <c r="E791" s="1" t="s">
        <v>40</v>
      </c>
      <c r="F791" s="1" t="s">
        <v>48</v>
      </c>
      <c r="G791" s="2">
        <v>164.22</v>
      </c>
      <c r="H791" s="1">
        <v>10</v>
      </c>
      <c r="I791" s="1">
        <v>141</v>
      </c>
      <c r="J791" s="1">
        <v>117</v>
      </c>
      <c r="K791" s="1">
        <v>103</v>
      </c>
      <c r="L791" s="1">
        <v>116</v>
      </c>
      <c r="M791" s="1" t="s">
        <v>31</v>
      </c>
      <c r="N791" s="1" t="s">
        <v>60</v>
      </c>
      <c r="O791" s="1" t="s">
        <v>254</v>
      </c>
      <c r="P791" s="2">
        <v>114.95</v>
      </c>
      <c r="Q791" s="1" t="str">
        <f t="shared" si="36"/>
        <v>YES</v>
      </c>
      <c r="R791" s="2">
        <f t="shared" si="37"/>
        <v>147.798</v>
      </c>
      <c r="S791" s="2">
        <f>J791*G791</f>
        <v>19213.740000000002</v>
      </c>
      <c r="T791" s="1">
        <f t="shared" ca="1" si="38"/>
        <v>145</v>
      </c>
      <c r="U791" s="1" t="s">
        <v>34</v>
      </c>
      <c r="V791" s="1" t="s">
        <v>34</v>
      </c>
      <c r="W791" s="1" t="s">
        <v>34</v>
      </c>
      <c r="X791" s="1" t="s">
        <v>2696</v>
      </c>
      <c r="Y791" s="1">
        <v>5.5</v>
      </c>
    </row>
    <row r="792" spans="1:25" x14ac:dyDescent="0.3">
      <c r="A792" s="1" t="s">
        <v>978</v>
      </c>
      <c r="B792" s="1" t="s">
        <v>63</v>
      </c>
      <c r="C792" s="1" t="s">
        <v>64</v>
      </c>
      <c r="D792" s="1" t="s">
        <v>28</v>
      </c>
      <c r="E792" s="1" t="s">
        <v>40</v>
      </c>
      <c r="F792" s="1" t="s">
        <v>48</v>
      </c>
      <c r="G792" s="2">
        <v>74.14</v>
      </c>
      <c r="H792" s="1">
        <v>2</v>
      </c>
      <c r="I792" s="1">
        <v>231</v>
      </c>
      <c r="J792" s="1">
        <v>207</v>
      </c>
      <c r="K792" s="1">
        <v>69</v>
      </c>
      <c r="L792" s="1">
        <v>131</v>
      </c>
      <c r="M792" s="1" t="s">
        <v>41</v>
      </c>
      <c r="N792" s="1" t="s">
        <v>60</v>
      </c>
      <c r="O792" s="1" t="s">
        <v>55</v>
      </c>
      <c r="P792" s="2">
        <v>51.9</v>
      </c>
      <c r="Q792" s="1" t="str">
        <f t="shared" si="36"/>
        <v>YES</v>
      </c>
      <c r="R792" s="2">
        <f t="shared" si="37"/>
        <v>66.725999999999999</v>
      </c>
      <c r="S792" s="2">
        <f>J792*G792</f>
        <v>15346.98</v>
      </c>
      <c r="T792" s="1">
        <f t="shared" ca="1" si="38"/>
        <v>91</v>
      </c>
      <c r="U792" s="1" t="s">
        <v>34</v>
      </c>
      <c r="V792" s="1" t="s">
        <v>34</v>
      </c>
      <c r="W792" s="1" t="s">
        <v>34</v>
      </c>
      <c r="X792" s="1" t="s">
        <v>2684</v>
      </c>
      <c r="Y792" s="1">
        <v>6</v>
      </c>
    </row>
    <row r="793" spans="1:25" x14ac:dyDescent="0.3">
      <c r="A793" s="1" t="s">
        <v>979</v>
      </c>
      <c r="B793" s="1" t="s">
        <v>237</v>
      </c>
      <c r="C793" s="1" t="s">
        <v>238</v>
      </c>
      <c r="D793" s="1" t="s">
        <v>85</v>
      </c>
      <c r="E793" s="1" t="s">
        <v>40</v>
      </c>
      <c r="F793" s="1" t="s">
        <v>30</v>
      </c>
      <c r="G793" s="2">
        <v>496.94</v>
      </c>
      <c r="H793" s="1">
        <v>8</v>
      </c>
      <c r="I793" s="1">
        <v>153</v>
      </c>
      <c r="J793" s="1">
        <v>149</v>
      </c>
      <c r="K793" s="1">
        <v>85</v>
      </c>
      <c r="L793" s="1">
        <v>105</v>
      </c>
      <c r="M793" s="1" t="s">
        <v>31</v>
      </c>
      <c r="N793" s="1" t="s">
        <v>32</v>
      </c>
      <c r="O793" s="1" t="s">
        <v>109</v>
      </c>
      <c r="P793" s="2">
        <v>347.86</v>
      </c>
      <c r="Q793" s="1" t="str">
        <f t="shared" si="36"/>
        <v>YES</v>
      </c>
      <c r="R793" s="2">
        <f t="shared" si="37"/>
        <v>447.24599999999998</v>
      </c>
      <c r="S793" s="2">
        <f>J793*G793</f>
        <v>74044.06</v>
      </c>
      <c r="T793" s="1">
        <f t="shared" ca="1" si="38"/>
        <v>89</v>
      </c>
      <c r="U793" s="1" t="s">
        <v>34</v>
      </c>
      <c r="V793" s="1" t="s">
        <v>34</v>
      </c>
      <c r="W793" s="1" t="s">
        <v>34</v>
      </c>
      <c r="X793" s="1" t="s">
        <v>2727</v>
      </c>
      <c r="Y793" s="1">
        <v>6.5</v>
      </c>
    </row>
    <row r="794" spans="1:25" x14ac:dyDescent="0.3">
      <c r="A794" s="1" t="s">
        <v>980</v>
      </c>
      <c r="B794" s="1" t="s">
        <v>111</v>
      </c>
      <c r="C794" s="1" t="s">
        <v>112</v>
      </c>
      <c r="D794" s="1" t="s">
        <v>97</v>
      </c>
      <c r="E794" s="1" t="s">
        <v>74</v>
      </c>
      <c r="F794" s="1" t="s">
        <v>48</v>
      </c>
      <c r="G794" s="2">
        <v>201.72</v>
      </c>
      <c r="H794" s="1">
        <v>15</v>
      </c>
      <c r="I794" s="1">
        <v>148</v>
      </c>
      <c r="J794" s="1">
        <v>117</v>
      </c>
      <c r="K794" s="1">
        <v>83</v>
      </c>
      <c r="L794" s="1">
        <v>132</v>
      </c>
      <c r="M794" s="1" t="s">
        <v>31</v>
      </c>
      <c r="N794" s="1" t="s">
        <v>60</v>
      </c>
      <c r="O794" s="1" t="s">
        <v>159</v>
      </c>
      <c r="P794" s="2">
        <v>141.19999999999999</v>
      </c>
      <c r="Q794" s="1" t="str">
        <f t="shared" si="36"/>
        <v>YES</v>
      </c>
      <c r="R794" s="2">
        <f t="shared" si="37"/>
        <v>181.548</v>
      </c>
      <c r="S794" s="2">
        <f>J794*G794</f>
        <v>23601.24</v>
      </c>
      <c r="T794" s="1">
        <f t="shared" ca="1" si="38"/>
        <v>134</v>
      </c>
      <c r="U794" s="1" t="s">
        <v>34</v>
      </c>
      <c r="V794" s="1" t="s">
        <v>34</v>
      </c>
      <c r="W794" s="1" t="s">
        <v>34</v>
      </c>
      <c r="X794" s="1" t="s">
        <v>2798</v>
      </c>
      <c r="Y794" s="1">
        <v>7</v>
      </c>
    </row>
    <row r="795" spans="1:25" x14ac:dyDescent="0.3">
      <c r="A795" s="1" t="s">
        <v>981</v>
      </c>
      <c r="B795" s="1" t="s">
        <v>111</v>
      </c>
      <c r="C795" s="1" t="s">
        <v>112</v>
      </c>
      <c r="D795" s="1" t="s">
        <v>97</v>
      </c>
      <c r="E795" s="1" t="s">
        <v>74</v>
      </c>
      <c r="F795" s="1" t="s">
        <v>54</v>
      </c>
      <c r="G795" s="2">
        <v>422.96</v>
      </c>
      <c r="H795" s="1">
        <v>21</v>
      </c>
      <c r="I795" s="1">
        <v>231</v>
      </c>
      <c r="J795" s="1">
        <v>215</v>
      </c>
      <c r="K795" s="1">
        <v>84</v>
      </c>
      <c r="L795" s="1">
        <v>96</v>
      </c>
      <c r="M795" s="1" t="s">
        <v>31</v>
      </c>
      <c r="N795" s="1" t="s">
        <v>60</v>
      </c>
      <c r="O795" s="1" t="s">
        <v>209</v>
      </c>
      <c r="P795" s="2">
        <v>296.07</v>
      </c>
      <c r="Q795" s="1" t="str">
        <f t="shared" si="36"/>
        <v>YES</v>
      </c>
      <c r="R795" s="2">
        <f t="shared" si="37"/>
        <v>380.66399999999999</v>
      </c>
      <c r="S795" s="2">
        <f>J795*G795</f>
        <v>90936.4</v>
      </c>
      <c r="T795" s="1">
        <f t="shared" ca="1" si="38"/>
        <v>127</v>
      </c>
      <c r="U795" s="1" t="s">
        <v>34</v>
      </c>
      <c r="V795" s="1" t="s">
        <v>34</v>
      </c>
      <c r="W795" s="1" t="s">
        <v>34</v>
      </c>
      <c r="X795" s="1" t="s">
        <v>2652</v>
      </c>
      <c r="Y795" s="1">
        <v>7.5</v>
      </c>
    </row>
    <row r="796" spans="1:25" x14ac:dyDescent="0.3">
      <c r="A796" s="1" t="s">
        <v>982</v>
      </c>
      <c r="B796" s="1" t="s">
        <v>45</v>
      </c>
      <c r="C796" s="1" t="s">
        <v>46</v>
      </c>
      <c r="D796" s="1" t="s">
        <v>47</v>
      </c>
      <c r="E796" s="1" t="s">
        <v>40</v>
      </c>
      <c r="F796" s="1" t="s">
        <v>54</v>
      </c>
      <c r="G796" s="2">
        <v>129.83000000000001</v>
      </c>
      <c r="H796" s="1">
        <v>4</v>
      </c>
      <c r="I796" s="1">
        <v>203</v>
      </c>
      <c r="J796" s="1">
        <v>172</v>
      </c>
      <c r="K796" s="1">
        <v>66</v>
      </c>
      <c r="L796" s="1">
        <v>103</v>
      </c>
      <c r="M796" s="1" t="s">
        <v>49</v>
      </c>
      <c r="N796" s="1" t="s">
        <v>42</v>
      </c>
      <c r="O796" s="1" t="s">
        <v>113</v>
      </c>
      <c r="P796" s="2">
        <v>90.88</v>
      </c>
      <c r="Q796" s="1" t="str">
        <f t="shared" si="36"/>
        <v>YES</v>
      </c>
      <c r="R796" s="2">
        <f t="shared" si="37"/>
        <v>116.84700000000001</v>
      </c>
      <c r="S796" s="2">
        <f>J796*G796</f>
        <v>22330.760000000002</v>
      </c>
      <c r="T796" s="1">
        <f t="shared" ca="1" si="38"/>
        <v>82</v>
      </c>
      <c r="U796" s="1" t="s">
        <v>34</v>
      </c>
      <c r="V796" s="1" t="s">
        <v>34</v>
      </c>
      <c r="W796" s="1" t="s">
        <v>34</v>
      </c>
      <c r="X796" s="1" t="s">
        <v>2645</v>
      </c>
      <c r="Y796" s="1">
        <v>8</v>
      </c>
    </row>
    <row r="797" spans="1:25" x14ac:dyDescent="0.3">
      <c r="A797" s="1" t="s">
        <v>983</v>
      </c>
      <c r="B797" s="1" t="s">
        <v>111</v>
      </c>
      <c r="C797" s="1" t="s">
        <v>112</v>
      </c>
      <c r="D797" s="1" t="s">
        <v>97</v>
      </c>
      <c r="E797" s="1" t="s">
        <v>74</v>
      </c>
      <c r="F797" s="1" t="s">
        <v>48</v>
      </c>
      <c r="G797" s="2">
        <v>438.33</v>
      </c>
      <c r="H797" s="1">
        <v>22</v>
      </c>
      <c r="I797" s="1">
        <v>164</v>
      </c>
      <c r="J797" s="1">
        <v>126</v>
      </c>
      <c r="K797" s="1">
        <v>94</v>
      </c>
      <c r="L797" s="1">
        <v>149</v>
      </c>
      <c r="M797" s="1" t="s">
        <v>49</v>
      </c>
      <c r="N797" s="1" t="s">
        <v>32</v>
      </c>
      <c r="O797" s="1" t="s">
        <v>333</v>
      </c>
      <c r="P797" s="2">
        <v>306.83</v>
      </c>
      <c r="Q797" s="1" t="str">
        <f t="shared" si="36"/>
        <v>YES</v>
      </c>
      <c r="R797" s="2">
        <f t="shared" si="37"/>
        <v>394.49700000000001</v>
      </c>
      <c r="S797" s="2">
        <f>J797*G797</f>
        <v>55229.579999999994</v>
      </c>
      <c r="T797" s="1">
        <f t="shared" ca="1" si="38"/>
        <v>109</v>
      </c>
      <c r="U797" s="1" t="s">
        <v>34</v>
      </c>
      <c r="V797" s="1" t="s">
        <v>34</v>
      </c>
      <c r="W797" s="1" t="s">
        <v>34</v>
      </c>
      <c r="X797" s="1" t="s">
        <v>2840</v>
      </c>
      <c r="Y797" s="1">
        <v>8.5</v>
      </c>
    </row>
    <row r="798" spans="1:25" x14ac:dyDescent="0.3">
      <c r="A798" s="1" t="s">
        <v>984</v>
      </c>
      <c r="B798" s="1" t="s">
        <v>130</v>
      </c>
      <c r="C798" s="1" t="s">
        <v>131</v>
      </c>
      <c r="D798" s="1" t="s">
        <v>132</v>
      </c>
      <c r="E798" s="1" t="s">
        <v>29</v>
      </c>
      <c r="F798" s="1" t="s">
        <v>30</v>
      </c>
      <c r="G798" s="2">
        <v>161.69999999999999</v>
      </c>
      <c r="H798" s="1">
        <v>11</v>
      </c>
      <c r="I798" s="1">
        <v>300</v>
      </c>
      <c r="J798" s="1">
        <v>279</v>
      </c>
      <c r="K798" s="1">
        <v>40</v>
      </c>
      <c r="L798" s="1">
        <v>112</v>
      </c>
      <c r="M798" s="1" t="s">
        <v>31</v>
      </c>
      <c r="N798" s="1" t="s">
        <v>42</v>
      </c>
      <c r="O798" s="1" t="s">
        <v>159</v>
      </c>
      <c r="P798" s="2">
        <v>113.19</v>
      </c>
      <c r="Q798" s="1" t="str">
        <f t="shared" si="36"/>
        <v>YES</v>
      </c>
      <c r="R798" s="2">
        <f t="shared" si="37"/>
        <v>145.53</v>
      </c>
      <c r="S798" s="2">
        <f>J798*G798</f>
        <v>45114.299999999996</v>
      </c>
      <c r="T798" s="1">
        <f t="shared" ca="1" si="38"/>
        <v>134</v>
      </c>
      <c r="U798" s="1" t="s">
        <v>34</v>
      </c>
      <c r="V798" s="1" t="s">
        <v>34</v>
      </c>
      <c r="W798" s="1" t="s">
        <v>34</v>
      </c>
      <c r="X798" s="1" t="s">
        <v>2516</v>
      </c>
      <c r="Y798" s="1">
        <v>9</v>
      </c>
    </row>
    <row r="799" spans="1:25" x14ac:dyDescent="0.3">
      <c r="A799" s="1" t="s">
        <v>985</v>
      </c>
      <c r="B799" s="1" t="s">
        <v>192</v>
      </c>
      <c r="C799" s="1" t="s">
        <v>193</v>
      </c>
      <c r="D799" s="1" t="s">
        <v>85</v>
      </c>
      <c r="E799" s="1" t="s">
        <v>74</v>
      </c>
      <c r="F799" s="1" t="s">
        <v>54</v>
      </c>
      <c r="G799" s="2">
        <v>393.07</v>
      </c>
      <c r="H799" s="1">
        <v>22</v>
      </c>
      <c r="I799" s="1">
        <v>227</v>
      </c>
      <c r="J799" s="1">
        <v>223</v>
      </c>
      <c r="K799" s="1">
        <v>84</v>
      </c>
      <c r="L799" s="1">
        <v>139</v>
      </c>
      <c r="M799" s="1" t="s">
        <v>41</v>
      </c>
      <c r="N799" s="1" t="s">
        <v>32</v>
      </c>
      <c r="O799" s="1" t="s">
        <v>264</v>
      </c>
      <c r="P799" s="2">
        <v>275.14999999999998</v>
      </c>
      <c r="Q799" s="1" t="str">
        <f t="shared" si="36"/>
        <v>YES</v>
      </c>
      <c r="R799" s="2">
        <f t="shared" si="37"/>
        <v>353.76299999999998</v>
      </c>
      <c r="S799" s="2">
        <f>J799*G799</f>
        <v>87654.61</v>
      </c>
      <c r="T799" s="1">
        <f t="shared" ca="1" si="38"/>
        <v>84</v>
      </c>
      <c r="U799" s="1" t="s">
        <v>34</v>
      </c>
      <c r="V799" s="1" t="s">
        <v>34</v>
      </c>
      <c r="W799" s="1" t="s">
        <v>34</v>
      </c>
      <c r="X799" s="1" t="s">
        <v>2875</v>
      </c>
      <c r="Y799" s="1">
        <v>9.5</v>
      </c>
    </row>
    <row r="800" spans="1:25" x14ac:dyDescent="0.3">
      <c r="A800" s="1" t="s">
        <v>986</v>
      </c>
      <c r="B800" s="1" t="s">
        <v>176</v>
      </c>
      <c r="C800" s="1" t="s">
        <v>177</v>
      </c>
      <c r="D800" s="1" t="s">
        <v>39</v>
      </c>
      <c r="E800" s="1" t="s">
        <v>74</v>
      </c>
      <c r="F800" s="1" t="s">
        <v>54</v>
      </c>
      <c r="G800" s="2">
        <v>214.02</v>
      </c>
      <c r="H800" s="1">
        <v>5</v>
      </c>
      <c r="I800" s="1">
        <v>177</v>
      </c>
      <c r="J800" s="1">
        <v>176</v>
      </c>
      <c r="K800" s="1">
        <v>51</v>
      </c>
      <c r="L800" s="1">
        <v>148</v>
      </c>
      <c r="M800" s="1" t="s">
        <v>31</v>
      </c>
      <c r="N800" s="1" t="s">
        <v>32</v>
      </c>
      <c r="O800" s="1" t="s">
        <v>67</v>
      </c>
      <c r="P800" s="2">
        <v>149.81</v>
      </c>
      <c r="Q800" s="1" t="str">
        <f t="shared" si="36"/>
        <v>YES</v>
      </c>
      <c r="R800" s="2">
        <f t="shared" si="37"/>
        <v>192.61800000000002</v>
      </c>
      <c r="S800" s="2">
        <f>J800*G800</f>
        <v>37667.520000000004</v>
      </c>
      <c r="T800" s="1">
        <f t="shared" ca="1" si="38"/>
        <v>97</v>
      </c>
      <c r="U800" s="1" t="s">
        <v>34</v>
      </c>
      <c r="V800" s="1" t="s">
        <v>34</v>
      </c>
      <c r="W800" s="1" t="s">
        <v>34</v>
      </c>
      <c r="X800" s="1" t="s">
        <v>2549</v>
      </c>
      <c r="Y800" s="1">
        <v>5</v>
      </c>
    </row>
    <row r="801" spans="1:25" x14ac:dyDescent="0.3">
      <c r="A801" s="1" t="s">
        <v>987</v>
      </c>
      <c r="B801" s="1" t="s">
        <v>52</v>
      </c>
      <c r="C801" s="1" t="s">
        <v>53</v>
      </c>
      <c r="D801" s="1" t="s">
        <v>47</v>
      </c>
      <c r="E801" s="1" t="s">
        <v>40</v>
      </c>
      <c r="F801" s="1" t="s">
        <v>30</v>
      </c>
      <c r="G801" s="2">
        <v>325.74</v>
      </c>
      <c r="H801" s="1">
        <v>6</v>
      </c>
      <c r="I801" s="1">
        <v>187</v>
      </c>
      <c r="J801" s="1">
        <v>151</v>
      </c>
      <c r="K801" s="1">
        <v>75</v>
      </c>
      <c r="L801" s="1">
        <v>85</v>
      </c>
      <c r="M801" s="1" t="s">
        <v>31</v>
      </c>
      <c r="N801" s="1" t="s">
        <v>60</v>
      </c>
      <c r="O801" s="1" t="s">
        <v>100</v>
      </c>
      <c r="P801" s="2">
        <v>228.02</v>
      </c>
      <c r="Q801" s="1" t="str">
        <f t="shared" si="36"/>
        <v>YES</v>
      </c>
      <c r="R801" s="2">
        <f t="shared" si="37"/>
        <v>293.166</v>
      </c>
      <c r="S801" s="2">
        <f>J801*G801</f>
        <v>49186.74</v>
      </c>
      <c r="T801" s="1">
        <f t="shared" ca="1" si="38"/>
        <v>137</v>
      </c>
      <c r="U801" s="1" t="s">
        <v>34</v>
      </c>
      <c r="V801" s="1" t="s">
        <v>34</v>
      </c>
      <c r="W801" s="1" t="s">
        <v>34</v>
      </c>
      <c r="X801" s="1" t="s">
        <v>2753</v>
      </c>
      <c r="Y801" s="1">
        <v>5.5</v>
      </c>
    </row>
    <row r="802" spans="1:25" x14ac:dyDescent="0.3">
      <c r="A802" s="1" t="s">
        <v>1816</v>
      </c>
      <c r="B802" s="1" t="s">
        <v>95</v>
      </c>
      <c r="C802" s="1" t="s">
        <v>96</v>
      </c>
      <c r="D802" s="1" t="s">
        <v>97</v>
      </c>
      <c r="E802" s="1" t="s">
        <v>74</v>
      </c>
      <c r="F802" s="1" t="s">
        <v>30</v>
      </c>
      <c r="G802" s="2">
        <v>474.86</v>
      </c>
      <c r="H802" s="1">
        <v>16</v>
      </c>
      <c r="I802" s="1">
        <v>144</v>
      </c>
      <c r="J802" s="1">
        <v>115</v>
      </c>
      <c r="K802" s="1">
        <v>46</v>
      </c>
      <c r="L802" s="1">
        <v>131</v>
      </c>
      <c r="M802" s="1" t="s">
        <v>31</v>
      </c>
      <c r="N802" s="1" t="s">
        <v>42</v>
      </c>
      <c r="O802" t="s">
        <v>340</v>
      </c>
      <c r="P802" s="2">
        <v>332.4</v>
      </c>
      <c r="Q802" s="1" t="str">
        <f>IF(J244&gt;K244,"YES","NO")</f>
        <v>YES</v>
      </c>
      <c r="R802" s="2">
        <f>IF(Q244="YES",G244*0.9,G244)</f>
        <v>427.37400000000002</v>
      </c>
      <c r="S802" s="2">
        <f>J244*G244</f>
        <v>54608.9</v>
      </c>
      <c r="T802" s="1">
        <f ca="1">TODAY()-DATE(MID(O244,7,4),MID(O244,4,2),LEFT(O244,2))</f>
        <v>138</v>
      </c>
      <c r="U802" s="1" t="s">
        <v>34</v>
      </c>
      <c r="V802" s="1" t="s">
        <v>34</v>
      </c>
      <c r="W802" s="1" t="s">
        <v>34</v>
      </c>
      <c r="X802" t="s">
        <v>2694</v>
      </c>
      <c r="Y802" s="1">
        <v>7</v>
      </c>
    </row>
    <row r="803" spans="1:25" x14ac:dyDescent="0.3">
      <c r="A803" s="1" t="s">
        <v>1817</v>
      </c>
      <c r="B803" s="1" t="s">
        <v>57</v>
      </c>
      <c r="C803" s="1" t="s">
        <v>58</v>
      </c>
      <c r="D803" s="1" t="s">
        <v>59</v>
      </c>
      <c r="E803" s="1" t="s">
        <v>29</v>
      </c>
      <c r="F803" s="1" t="s">
        <v>48</v>
      </c>
      <c r="G803" s="2">
        <v>85.73</v>
      </c>
      <c r="H803" s="1">
        <v>8</v>
      </c>
      <c r="I803" s="1">
        <v>294</v>
      </c>
      <c r="J803" s="1">
        <v>279</v>
      </c>
      <c r="K803" s="1">
        <v>108</v>
      </c>
      <c r="L803" s="1">
        <v>58</v>
      </c>
      <c r="M803" s="1" t="s">
        <v>31</v>
      </c>
      <c r="N803" s="1" t="s">
        <v>60</v>
      </c>
      <c r="O803" t="s">
        <v>116</v>
      </c>
      <c r="P803" s="2">
        <v>60.01</v>
      </c>
      <c r="Q803" s="1" t="str">
        <f>IF(J225&gt;K225,"YES","NO")</f>
        <v>YES</v>
      </c>
      <c r="R803" s="2">
        <f>IF(Q225="YES",G225*0.9,G225)</f>
        <v>77.157000000000011</v>
      </c>
      <c r="S803" s="2">
        <f>J225*G225</f>
        <v>23918.670000000002</v>
      </c>
      <c r="T803" s="1">
        <f ca="1">TODAY()-DATE(MID(O225,7,4),MID(O225,4,2),LEFT(O225,2))</f>
        <v>87</v>
      </c>
      <c r="U803" s="1" t="s">
        <v>34</v>
      </c>
      <c r="V803" s="1" t="s">
        <v>34</v>
      </c>
      <c r="W803" s="1" t="s">
        <v>34</v>
      </c>
      <c r="X803" t="s">
        <v>2557</v>
      </c>
      <c r="Y803" s="1">
        <v>7.5</v>
      </c>
    </row>
    <row r="804" spans="1:25" x14ac:dyDescent="0.3">
      <c r="A804" s="1" t="s">
        <v>1818</v>
      </c>
      <c r="B804" s="1" t="s">
        <v>172</v>
      </c>
      <c r="C804" s="1" t="s">
        <v>173</v>
      </c>
      <c r="D804" s="1" t="s">
        <v>132</v>
      </c>
      <c r="E804" s="1" t="s">
        <v>29</v>
      </c>
      <c r="F804" s="1" t="s">
        <v>54</v>
      </c>
      <c r="G804" s="2">
        <v>348.48</v>
      </c>
      <c r="H804" s="1">
        <v>21</v>
      </c>
      <c r="I804" s="1">
        <v>150</v>
      </c>
      <c r="J804" s="1">
        <v>113</v>
      </c>
      <c r="K804" s="1">
        <v>86</v>
      </c>
      <c r="L804" s="1">
        <v>119</v>
      </c>
      <c r="M804" s="1" t="s">
        <v>31</v>
      </c>
      <c r="N804" s="1" t="s">
        <v>32</v>
      </c>
      <c r="O804" t="s">
        <v>55</v>
      </c>
      <c r="P804" s="2">
        <v>243.94</v>
      </c>
      <c r="Q804" s="1" t="str">
        <f>IF(J439&gt;K439,"YES","NO")</f>
        <v>YES</v>
      </c>
      <c r="R804" s="2">
        <f>IF(Q439="YES",G439*0.9,G439)</f>
        <v>313.63200000000001</v>
      </c>
      <c r="S804" s="2">
        <f>J439*G439</f>
        <v>39378.240000000005</v>
      </c>
      <c r="T804" s="1">
        <f ca="1">TODAY()-DATE(MID(O439,7,4),MID(O439,4,2),LEFT(O439,2))</f>
        <v>91</v>
      </c>
      <c r="U804" s="1" t="s">
        <v>34</v>
      </c>
      <c r="V804" s="1" t="s">
        <v>34</v>
      </c>
      <c r="W804" s="1" t="s">
        <v>34</v>
      </c>
      <c r="X804" t="s">
        <v>2732</v>
      </c>
      <c r="Y804" s="1">
        <v>9.5</v>
      </c>
    </row>
    <row r="805" spans="1:25" x14ac:dyDescent="0.3">
      <c r="A805" s="1" t="s">
        <v>1819</v>
      </c>
      <c r="B805" s="1" t="s">
        <v>299</v>
      </c>
      <c r="C805" s="1" t="s">
        <v>300</v>
      </c>
      <c r="D805" s="1" t="s">
        <v>39</v>
      </c>
      <c r="E805" s="1" t="s">
        <v>74</v>
      </c>
      <c r="F805" s="1" t="s">
        <v>30</v>
      </c>
      <c r="G805" s="2">
        <v>385.29</v>
      </c>
      <c r="H805" s="1">
        <v>6</v>
      </c>
      <c r="I805" s="1">
        <v>81</v>
      </c>
      <c r="J805" s="1">
        <v>53</v>
      </c>
      <c r="K805" s="1">
        <v>69</v>
      </c>
      <c r="L805" s="1">
        <v>132</v>
      </c>
      <c r="M805" s="1" t="s">
        <v>41</v>
      </c>
      <c r="N805" s="1" t="s">
        <v>60</v>
      </c>
      <c r="O805" t="s">
        <v>473</v>
      </c>
      <c r="P805" s="2">
        <v>269.7</v>
      </c>
      <c r="Q805" s="1" t="str">
        <f>IF(J408&gt;K408,"YES","NO")</f>
        <v>NO</v>
      </c>
      <c r="R805" s="2">
        <f>IF(Q408="YES",G408*0.9,G408)</f>
        <v>385.29</v>
      </c>
      <c r="S805" s="2">
        <f>J408*G408</f>
        <v>20420.370000000003</v>
      </c>
      <c r="T805" s="1">
        <f ca="1">TODAY()-DATE(MID(O408,7,4),MID(O408,4,2),LEFT(O408,2))</f>
        <v>146</v>
      </c>
      <c r="U805" s="1" t="s">
        <v>34</v>
      </c>
      <c r="V805" s="1" t="s">
        <v>34</v>
      </c>
      <c r="W805" s="1" t="s">
        <v>34</v>
      </c>
      <c r="X805" t="s">
        <v>2651</v>
      </c>
      <c r="Y805" s="1">
        <v>9</v>
      </c>
    </row>
    <row r="806" spans="1:25" x14ac:dyDescent="0.3">
      <c r="A806" s="1" t="s">
        <v>1820</v>
      </c>
      <c r="B806" s="1" t="s">
        <v>237</v>
      </c>
      <c r="C806" s="1" t="s">
        <v>238</v>
      </c>
      <c r="D806" s="1" t="s">
        <v>85</v>
      </c>
      <c r="E806" s="1" t="s">
        <v>29</v>
      </c>
      <c r="F806" s="1" t="s">
        <v>48</v>
      </c>
      <c r="G806" s="2">
        <v>351.55</v>
      </c>
      <c r="H806" s="1">
        <v>6</v>
      </c>
      <c r="I806" s="1">
        <v>203</v>
      </c>
      <c r="J806" s="1">
        <v>170</v>
      </c>
      <c r="K806" s="1">
        <v>81</v>
      </c>
      <c r="L806" s="1">
        <v>137</v>
      </c>
      <c r="M806" s="1" t="s">
        <v>41</v>
      </c>
      <c r="N806" s="1" t="s">
        <v>60</v>
      </c>
      <c r="O806" t="s">
        <v>81</v>
      </c>
      <c r="P806" s="2">
        <v>246.08</v>
      </c>
      <c r="Q806" s="1" t="str">
        <f>IF(J95&gt;K95,"YES","NO")</f>
        <v>YES</v>
      </c>
      <c r="R806" s="2">
        <f>IF(Q95="YES",G95*0.9,G95)</f>
        <v>316.39500000000004</v>
      </c>
      <c r="S806" s="2">
        <f>J95*G95</f>
        <v>59763.5</v>
      </c>
      <c r="T806" s="1">
        <f ca="1">TODAY()-DATE(MID(O95,7,4),MID(O95,4,2),LEFT(O95,2))</f>
        <v>81</v>
      </c>
      <c r="U806" s="1" t="s">
        <v>34</v>
      </c>
      <c r="V806" s="1" t="s">
        <v>34</v>
      </c>
      <c r="W806" s="1" t="s">
        <v>34</v>
      </c>
      <c r="X806" t="s">
        <v>2737</v>
      </c>
      <c r="Y806" s="1">
        <v>7.5</v>
      </c>
    </row>
    <row r="807" spans="1:25" x14ac:dyDescent="0.3">
      <c r="A807" s="1" t="s">
        <v>1821</v>
      </c>
      <c r="B807" s="1" t="s">
        <v>123</v>
      </c>
      <c r="C807" s="1" t="s">
        <v>124</v>
      </c>
      <c r="D807" s="1" t="s">
        <v>47</v>
      </c>
      <c r="E807" s="1" t="s">
        <v>74</v>
      </c>
      <c r="F807" s="1" t="s">
        <v>30</v>
      </c>
      <c r="G807" s="2">
        <v>143.32</v>
      </c>
      <c r="H807" s="1">
        <v>10</v>
      </c>
      <c r="I807" s="1">
        <v>81</v>
      </c>
      <c r="J807" s="1">
        <v>70</v>
      </c>
      <c r="K807" s="1">
        <v>119</v>
      </c>
      <c r="L807" s="1">
        <v>98</v>
      </c>
      <c r="M807" s="1" t="s">
        <v>49</v>
      </c>
      <c r="N807" s="1" t="s">
        <v>60</v>
      </c>
      <c r="O807" t="s">
        <v>113</v>
      </c>
      <c r="P807" s="2">
        <v>100.32</v>
      </c>
      <c r="Q807" s="1" t="str">
        <f>IF(J35&gt;K35,"YES","NO")</f>
        <v>NO</v>
      </c>
      <c r="R807" s="2">
        <f>IF(Q35="YES",G35*0.9,G35)</f>
        <v>143.32</v>
      </c>
      <c r="S807" s="2">
        <f>J35*G35</f>
        <v>10032.4</v>
      </c>
      <c r="T807" s="1">
        <f ca="1">TODAY()-DATE(MID(O35,7,4),MID(O35,4,2),LEFT(O35,2))</f>
        <v>82</v>
      </c>
      <c r="U807" s="1" t="s">
        <v>34</v>
      </c>
      <c r="V807" s="1" t="s">
        <v>34</v>
      </c>
      <c r="W807" s="1" t="s">
        <v>34</v>
      </c>
      <c r="X807" t="s">
        <v>2643</v>
      </c>
      <c r="Y807" s="1">
        <v>7.5</v>
      </c>
    </row>
    <row r="808" spans="1:25" x14ac:dyDescent="0.3">
      <c r="A808" s="1" t="s">
        <v>1822</v>
      </c>
      <c r="B808" s="1" t="s">
        <v>126</v>
      </c>
      <c r="C808" s="1" t="s">
        <v>127</v>
      </c>
      <c r="D808" s="1" t="s">
        <v>85</v>
      </c>
      <c r="E808" s="1" t="s">
        <v>40</v>
      </c>
      <c r="F808" s="1" t="s">
        <v>30</v>
      </c>
      <c r="G808" s="2">
        <v>330.15</v>
      </c>
      <c r="H808" s="1">
        <v>6</v>
      </c>
      <c r="I808" s="1">
        <v>262</v>
      </c>
      <c r="J808" s="1">
        <v>238</v>
      </c>
      <c r="K808" s="1">
        <v>77</v>
      </c>
      <c r="L808" s="1">
        <v>111</v>
      </c>
      <c r="M808" s="1" t="s">
        <v>41</v>
      </c>
      <c r="N808" s="1" t="s">
        <v>42</v>
      </c>
      <c r="O808" t="s">
        <v>150</v>
      </c>
      <c r="P808" s="2">
        <v>231.1</v>
      </c>
      <c r="Q808" s="1" t="str">
        <f>IF(J257&gt;K257,"YES","NO")</f>
        <v>YES</v>
      </c>
      <c r="R808" s="2">
        <f>IF(Q257="YES",G257*0.9,G257)</f>
        <v>297.13499999999999</v>
      </c>
      <c r="S808" s="2">
        <f>J257*G257</f>
        <v>78575.7</v>
      </c>
      <c r="T808" s="1">
        <f ca="1">TODAY()-DATE(MID(O257,7,4),MID(O257,4,2),LEFT(O257,2))</f>
        <v>116</v>
      </c>
      <c r="U808" s="1" t="s">
        <v>34</v>
      </c>
      <c r="V808" s="1" t="s">
        <v>34</v>
      </c>
      <c r="W808" s="1" t="s">
        <v>34</v>
      </c>
      <c r="X808" t="s">
        <v>2876</v>
      </c>
      <c r="Y808" s="1">
        <v>8.5</v>
      </c>
    </row>
    <row r="809" spans="1:25" x14ac:dyDescent="0.3">
      <c r="A809" s="1" t="s">
        <v>1823</v>
      </c>
      <c r="B809" s="1" t="s">
        <v>126</v>
      </c>
      <c r="C809" s="1" t="s">
        <v>127</v>
      </c>
      <c r="D809" s="1" t="s">
        <v>85</v>
      </c>
      <c r="E809" s="1" t="s">
        <v>74</v>
      </c>
      <c r="F809" s="1" t="s">
        <v>48</v>
      </c>
      <c r="G809" s="2">
        <v>224.6</v>
      </c>
      <c r="H809" s="1">
        <v>20</v>
      </c>
      <c r="I809" s="1">
        <v>187</v>
      </c>
      <c r="J809" s="1">
        <v>165</v>
      </c>
      <c r="K809" s="1">
        <v>55</v>
      </c>
      <c r="L809" s="1">
        <v>85</v>
      </c>
      <c r="M809" s="1" t="s">
        <v>31</v>
      </c>
      <c r="N809" s="1" t="s">
        <v>42</v>
      </c>
      <c r="O809" t="s">
        <v>309</v>
      </c>
      <c r="P809" s="2">
        <v>157.22</v>
      </c>
      <c r="Q809" s="1" t="str">
        <f>IF(J702&gt;K702,"YES","NO")</f>
        <v>YES</v>
      </c>
      <c r="R809" s="2">
        <f>IF(Q702="YES",G702*0.9,G702)</f>
        <v>202.14</v>
      </c>
      <c r="S809" s="2">
        <f>J702*G702</f>
        <v>37059</v>
      </c>
      <c r="T809" s="1">
        <f ca="1">TODAY()-DATE(MID(O702,7,4),MID(O702,4,2),LEFT(O702,2))</f>
        <v>67</v>
      </c>
      <c r="U809" s="1" t="s">
        <v>34</v>
      </c>
      <c r="V809" s="1" t="s">
        <v>34</v>
      </c>
      <c r="W809" s="1" t="s">
        <v>34</v>
      </c>
      <c r="X809" t="s">
        <v>2599</v>
      </c>
      <c r="Y809" s="1">
        <v>6</v>
      </c>
    </row>
    <row r="810" spans="1:25" x14ac:dyDescent="0.3">
      <c r="A810" s="1" t="s">
        <v>1824</v>
      </c>
      <c r="B810" s="1" t="s">
        <v>63</v>
      </c>
      <c r="C810" s="1" t="s">
        <v>64</v>
      </c>
      <c r="D810" s="1" t="s">
        <v>28</v>
      </c>
      <c r="E810" s="1" t="s">
        <v>74</v>
      </c>
      <c r="F810" s="1" t="s">
        <v>30</v>
      </c>
      <c r="G810" s="2">
        <v>335.18</v>
      </c>
      <c r="H810" s="1">
        <v>4</v>
      </c>
      <c r="I810" s="1">
        <v>139</v>
      </c>
      <c r="J810" s="1">
        <v>119</v>
      </c>
      <c r="K810" s="1">
        <v>96</v>
      </c>
      <c r="L810" s="1">
        <v>52</v>
      </c>
      <c r="M810" s="1" t="s">
        <v>41</v>
      </c>
      <c r="N810" s="1" t="s">
        <v>42</v>
      </c>
      <c r="O810" t="s">
        <v>81</v>
      </c>
      <c r="P810" s="2">
        <v>234.63</v>
      </c>
      <c r="Q810" s="1" t="str">
        <f>IF(J566&gt;K566,"YES","NO")</f>
        <v>YES</v>
      </c>
      <c r="R810" s="2">
        <f>IF(Q566="YES",G566*0.9,G566)</f>
        <v>301.66200000000003</v>
      </c>
      <c r="S810" s="2">
        <f>J566*G566</f>
        <v>39886.42</v>
      </c>
      <c r="T810" s="1">
        <f ca="1">TODAY()-DATE(MID(O566,7,4),MID(O566,4,2),LEFT(O566,2))</f>
        <v>81</v>
      </c>
      <c r="U810" s="1" t="s">
        <v>34</v>
      </c>
      <c r="V810" s="1" t="s">
        <v>34</v>
      </c>
      <c r="W810" s="1" t="s">
        <v>34</v>
      </c>
      <c r="X810" t="s">
        <v>2877</v>
      </c>
      <c r="Y810" s="1">
        <v>8</v>
      </c>
    </row>
    <row r="811" spans="1:25" x14ac:dyDescent="0.3">
      <c r="A811" s="1" t="s">
        <v>1825</v>
      </c>
      <c r="B811" s="1" t="s">
        <v>95</v>
      </c>
      <c r="C811" s="1" t="s">
        <v>96</v>
      </c>
      <c r="D811" s="1" t="s">
        <v>97</v>
      </c>
      <c r="E811" s="1" t="s">
        <v>29</v>
      </c>
      <c r="F811" s="1" t="s">
        <v>48</v>
      </c>
      <c r="G811" s="2">
        <v>393.92</v>
      </c>
      <c r="H811" s="1">
        <v>6</v>
      </c>
      <c r="I811" s="1">
        <v>82</v>
      </c>
      <c r="J811" s="1">
        <v>58</v>
      </c>
      <c r="K811" s="1">
        <v>99</v>
      </c>
      <c r="L811" s="1">
        <v>99</v>
      </c>
      <c r="M811" s="1" t="s">
        <v>31</v>
      </c>
      <c r="N811" s="1" t="s">
        <v>32</v>
      </c>
      <c r="O811" t="s">
        <v>207</v>
      </c>
      <c r="P811" s="2">
        <v>275.74</v>
      </c>
      <c r="Q811" s="1" t="str">
        <f>IF(J66&gt;K66,"YES","NO")</f>
        <v>NO</v>
      </c>
      <c r="R811" s="2">
        <f>IF(Q66="YES",G66*0.9,G66)</f>
        <v>393.92</v>
      </c>
      <c r="S811" s="2">
        <f>J66*G66</f>
        <v>22847.360000000001</v>
      </c>
      <c r="T811" s="1">
        <f ca="1">TODAY()-DATE(MID(O66,7,4),MID(O66,4,2),LEFT(O66,2))</f>
        <v>98</v>
      </c>
      <c r="U811" s="1" t="s">
        <v>34</v>
      </c>
      <c r="V811" s="1" t="s">
        <v>34</v>
      </c>
      <c r="W811" s="1" t="s">
        <v>34</v>
      </c>
      <c r="X811" t="s">
        <v>2582</v>
      </c>
      <c r="Y811" s="1">
        <v>8</v>
      </c>
    </row>
    <row r="812" spans="1:25" x14ac:dyDescent="0.3">
      <c r="A812" s="1" t="s">
        <v>1826</v>
      </c>
      <c r="B812" s="1" t="s">
        <v>83</v>
      </c>
      <c r="C812" s="1" t="s">
        <v>84</v>
      </c>
      <c r="D812" s="1" t="s">
        <v>85</v>
      </c>
      <c r="E812" s="1" t="s">
        <v>40</v>
      </c>
      <c r="F812" s="1" t="s">
        <v>48</v>
      </c>
      <c r="G812" s="2">
        <v>430.7</v>
      </c>
      <c r="H812" s="1">
        <v>15</v>
      </c>
      <c r="I812" s="1">
        <v>237</v>
      </c>
      <c r="J812" s="1">
        <v>237</v>
      </c>
      <c r="K812" s="1">
        <v>80</v>
      </c>
      <c r="L812" s="1">
        <v>103</v>
      </c>
      <c r="M812" s="1" t="s">
        <v>41</v>
      </c>
      <c r="N812" s="1" t="s">
        <v>60</v>
      </c>
      <c r="O812" t="s">
        <v>220</v>
      </c>
      <c r="P812" s="2">
        <v>301.49</v>
      </c>
      <c r="Q812" s="1" t="str">
        <f>IF(J230&gt;K230,"YES","NO")</f>
        <v>YES</v>
      </c>
      <c r="R812" s="2">
        <f>IF(Q230="YES",G230*0.9,G230)</f>
        <v>387.63</v>
      </c>
      <c r="S812" s="2">
        <f>J230*G230</f>
        <v>102075.9</v>
      </c>
      <c r="T812" s="1">
        <f ca="1">TODAY()-DATE(MID(O230,7,4),MID(O230,4,2),LEFT(O230,2))</f>
        <v>106</v>
      </c>
      <c r="U812" s="1" t="s">
        <v>34</v>
      </c>
      <c r="V812" s="1" t="s">
        <v>34</v>
      </c>
      <c r="W812" s="1" t="s">
        <v>34</v>
      </c>
      <c r="X812" t="s">
        <v>2836</v>
      </c>
      <c r="Y812" s="1">
        <v>5</v>
      </c>
    </row>
    <row r="813" spans="1:25" x14ac:dyDescent="0.3">
      <c r="A813" s="1" t="s">
        <v>1827</v>
      </c>
      <c r="B813" s="1" t="s">
        <v>123</v>
      </c>
      <c r="C813" s="1" t="s">
        <v>124</v>
      </c>
      <c r="D813" s="1" t="s">
        <v>47</v>
      </c>
      <c r="E813" s="1" t="s">
        <v>74</v>
      </c>
      <c r="F813" s="1" t="s">
        <v>30</v>
      </c>
      <c r="G813" s="2">
        <v>414</v>
      </c>
      <c r="H813" s="1">
        <v>13</v>
      </c>
      <c r="I813" s="1">
        <v>138</v>
      </c>
      <c r="J813" s="1">
        <v>115</v>
      </c>
      <c r="K813" s="1">
        <v>71</v>
      </c>
      <c r="L813" s="1">
        <v>125</v>
      </c>
      <c r="M813" s="1" t="s">
        <v>31</v>
      </c>
      <c r="N813" s="1" t="s">
        <v>42</v>
      </c>
      <c r="O813" t="s">
        <v>254</v>
      </c>
      <c r="P813" s="2">
        <v>289.8</v>
      </c>
      <c r="Q813" s="1" t="str">
        <f>IF(J165&gt;K165,"YES","NO")</f>
        <v>YES</v>
      </c>
      <c r="R813" s="2">
        <f>IF(Q165="YES",G165*0.9,G165)</f>
        <v>372.6</v>
      </c>
      <c r="S813" s="2">
        <f>J165*G165</f>
        <v>47610</v>
      </c>
      <c r="T813" s="1">
        <f ca="1">TODAY()-DATE(MID(O165,7,4),MID(O165,4,2),LEFT(O165,2))</f>
        <v>145</v>
      </c>
      <c r="U813" s="1" t="s">
        <v>34</v>
      </c>
      <c r="V813" s="1" t="s">
        <v>34</v>
      </c>
      <c r="W813" s="1" t="s">
        <v>34</v>
      </c>
      <c r="X813" t="s">
        <v>2878</v>
      </c>
      <c r="Y813" s="1">
        <v>7.5</v>
      </c>
    </row>
    <row r="814" spans="1:25" x14ac:dyDescent="0.3">
      <c r="A814" s="1" t="s">
        <v>1828</v>
      </c>
      <c r="B814" s="1" t="s">
        <v>63</v>
      </c>
      <c r="C814" s="1" t="s">
        <v>64</v>
      </c>
      <c r="D814" s="1" t="s">
        <v>28</v>
      </c>
      <c r="E814" s="1" t="s">
        <v>74</v>
      </c>
      <c r="F814" s="1" t="s">
        <v>30</v>
      </c>
      <c r="G814" s="2">
        <v>482.14</v>
      </c>
      <c r="H814" s="1">
        <v>16</v>
      </c>
      <c r="I814" s="1">
        <v>99</v>
      </c>
      <c r="J814" s="1">
        <v>66</v>
      </c>
      <c r="K814" s="1">
        <v>83</v>
      </c>
      <c r="L814" s="1">
        <v>142</v>
      </c>
      <c r="M814" s="1" t="s">
        <v>49</v>
      </c>
      <c r="N814" s="1" t="s">
        <v>32</v>
      </c>
      <c r="O814" t="s">
        <v>287</v>
      </c>
      <c r="P814" s="2">
        <v>337.5</v>
      </c>
      <c r="Q814" s="1" t="str">
        <f>IF(J608&gt;K608,"YES","NO")</f>
        <v>NO</v>
      </c>
      <c r="R814" s="2">
        <f>IF(Q608="YES",G608*0.9,G608)</f>
        <v>482.14</v>
      </c>
      <c r="S814" s="2">
        <f>J608*G608</f>
        <v>31821.239999999998</v>
      </c>
      <c r="T814" s="1">
        <f ca="1">TODAY()-DATE(MID(O608,7,4),MID(O608,4,2),LEFT(O608,2))</f>
        <v>143</v>
      </c>
      <c r="U814" s="1" t="s">
        <v>34</v>
      </c>
      <c r="V814" s="1" t="s">
        <v>34</v>
      </c>
      <c r="W814" s="1" t="s">
        <v>34</v>
      </c>
      <c r="X814" t="s">
        <v>2771</v>
      </c>
      <c r="Y814" s="1">
        <v>9</v>
      </c>
    </row>
    <row r="815" spans="1:25" x14ac:dyDescent="0.3">
      <c r="A815" s="1" t="s">
        <v>1829</v>
      </c>
      <c r="B815" s="1" t="s">
        <v>72</v>
      </c>
      <c r="C815" s="1" t="s">
        <v>73</v>
      </c>
      <c r="D815" s="1" t="s">
        <v>47</v>
      </c>
      <c r="E815" s="1" t="s">
        <v>74</v>
      </c>
      <c r="F815" s="1" t="s">
        <v>30</v>
      </c>
      <c r="G815" s="2">
        <v>110.63</v>
      </c>
      <c r="H815" s="1">
        <v>3</v>
      </c>
      <c r="I815" s="1">
        <v>244</v>
      </c>
      <c r="J815" s="1">
        <v>242</v>
      </c>
      <c r="K815" s="1">
        <v>119</v>
      </c>
      <c r="L815" s="1">
        <v>124</v>
      </c>
      <c r="M815" s="1" t="s">
        <v>49</v>
      </c>
      <c r="N815" s="1" t="s">
        <v>32</v>
      </c>
      <c r="O815" t="s">
        <v>205</v>
      </c>
      <c r="P815" s="2">
        <v>77.44</v>
      </c>
      <c r="Q815" s="1" t="str">
        <f>IF(J689&gt;K689,"YES","NO")</f>
        <v>YES</v>
      </c>
      <c r="R815" s="2">
        <f>IF(Q689="YES",G689*0.9,G689)</f>
        <v>99.566999999999993</v>
      </c>
      <c r="S815" s="2">
        <f>J689*G689</f>
        <v>26772.46</v>
      </c>
      <c r="T815" s="1">
        <f ca="1">TODAY()-DATE(MID(O689,7,4),MID(O689,4,2),LEFT(O689,2))</f>
        <v>74</v>
      </c>
      <c r="U815" s="1" t="s">
        <v>34</v>
      </c>
      <c r="V815" s="1" t="s">
        <v>34</v>
      </c>
      <c r="W815" s="1" t="s">
        <v>34</v>
      </c>
      <c r="X815" t="s">
        <v>2762</v>
      </c>
      <c r="Y815" s="1">
        <v>9.5</v>
      </c>
    </row>
    <row r="816" spans="1:25" x14ac:dyDescent="0.3">
      <c r="A816" s="1" t="s">
        <v>1830</v>
      </c>
      <c r="B816" s="1" t="s">
        <v>197</v>
      </c>
      <c r="C816" s="1" t="s">
        <v>198</v>
      </c>
      <c r="D816" s="1" t="s">
        <v>104</v>
      </c>
      <c r="E816" s="1" t="s">
        <v>40</v>
      </c>
      <c r="F816" s="1" t="s">
        <v>54</v>
      </c>
      <c r="G816" s="2">
        <v>209.46</v>
      </c>
      <c r="H816" s="1">
        <v>19</v>
      </c>
      <c r="I816" s="1">
        <v>120</v>
      </c>
      <c r="J816" s="1">
        <v>100</v>
      </c>
      <c r="K816" s="1">
        <v>41</v>
      </c>
      <c r="L816" s="1">
        <v>65</v>
      </c>
      <c r="M816" s="1" t="s">
        <v>31</v>
      </c>
      <c r="N816" s="1" t="s">
        <v>42</v>
      </c>
      <c r="O816" t="s">
        <v>170</v>
      </c>
      <c r="P816" s="2">
        <v>146.62</v>
      </c>
      <c r="Q816" s="1" t="str">
        <f>IF(J557&gt;K557,"YES","NO")</f>
        <v>YES</v>
      </c>
      <c r="R816" s="2">
        <f>IF(Q557="YES",G557*0.9,G557)</f>
        <v>188.51400000000001</v>
      </c>
      <c r="S816" s="2">
        <f>J557*G557</f>
        <v>20946</v>
      </c>
      <c r="T816" s="1">
        <f ca="1">TODAY()-DATE(MID(O557,7,4),MID(O557,4,2),LEFT(O557,2))</f>
        <v>95</v>
      </c>
      <c r="U816" s="1" t="s">
        <v>34</v>
      </c>
      <c r="V816" s="1" t="s">
        <v>34</v>
      </c>
      <c r="W816" s="1" t="s">
        <v>34</v>
      </c>
      <c r="X816" t="s">
        <v>2516</v>
      </c>
      <c r="Y816" s="1">
        <v>8.5</v>
      </c>
    </row>
    <row r="817" spans="1:25" x14ac:dyDescent="0.3">
      <c r="A817" s="1" t="s">
        <v>1831</v>
      </c>
      <c r="B817" s="1" t="s">
        <v>192</v>
      </c>
      <c r="C817" s="1" t="s">
        <v>193</v>
      </c>
      <c r="D817" s="1" t="s">
        <v>85</v>
      </c>
      <c r="E817" s="1" t="s">
        <v>40</v>
      </c>
      <c r="F817" s="1" t="s">
        <v>54</v>
      </c>
      <c r="G817" s="2">
        <v>138.27000000000001</v>
      </c>
      <c r="H817" s="1">
        <v>22</v>
      </c>
      <c r="I817" s="1">
        <v>150</v>
      </c>
      <c r="J817" s="1">
        <v>146</v>
      </c>
      <c r="K817" s="1">
        <v>105</v>
      </c>
      <c r="L817" s="1">
        <v>134</v>
      </c>
      <c r="M817" s="1" t="s">
        <v>31</v>
      </c>
      <c r="N817" s="1" t="s">
        <v>32</v>
      </c>
      <c r="O817" t="s">
        <v>81</v>
      </c>
      <c r="P817" s="2">
        <v>96.79</v>
      </c>
      <c r="Q817" s="1" t="str">
        <f>IF(J726&gt;K726,"YES","NO")</f>
        <v>YES</v>
      </c>
      <c r="R817" s="2">
        <f>IF(Q726="YES",G726*0.9,G726)</f>
        <v>124.44300000000001</v>
      </c>
      <c r="S817" s="2">
        <f>J726*G726</f>
        <v>20187.420000000002</v>
      </c>
      <c r="T817" s="1">
        <f ca="1">TODAY()-DATE(MID(O726,7,4),MID(O726,4,2),LEFT(O726,2))</f>
        <v>81</v>
      </c>
      <c r="U817" s="1" t="s">
        <v>34</v>
      </c>
      <c r="V817" s="1" t="s">
        <v>34</v>
      </c>
      <c r="W817" s="1" t="s">
        <v>34</v>
      </c>
      <c r="X817" t="s">
        <v>2665</v>
      </c>
      <c r="Y817" s="1">
        <v>8</v>
      </c>
    </row>
    <row r="818" spans="1:25" x14ac:dyDescent="0.3">
      <c r="A818" s="1" t="s">
        <v>1832</v>
      </c>
      <c r="B818" s="1" t="s">
        <v>192</v>
      </c>
      <c r="C818" s="1" t="s">
        <v>193</v>
      </c>
      <c r="D818" s="1" t="s">
        <v>85</v>
      </c>
      <c r="E818" s="1" t="s">
        <v>40</v>
      </c>
      <c r="F818" s="1" t="s">
        <v>48</v>
      </c>
      <c r="G818" s="2">
        <v>185.89</v>
      </c>
      <c r="H818" s="1">
        <v>25</v>
      </c>
      <c r="I818" s="1">
        <v>171</v>
      </c>
      <c r="J818" s="1">
        <v>145</v>
      </c>
      <c r="K818" s="1">
        <v>109</v>
      </c>
      <c r="L818" s="1">
        <v>119</v>
      </c>
      <c r="M818" s="1" t="s">
        <v>49</v>
      </c>
      <c r="N818" s="1" t="s">
        <v>42</v>
      </c>
      <c r="O818" t="s">
        <v>207</v>
      </c>
      <c r="P818" s="2">
        <v>130.12</v>
      </c>
      <c r="Q818" s="1" t="str">
        <f>IF(J516&gt;K516,"YES","NO")</f>
        <v>YES</v>
      </c>
      <c r="R818" s="2">
        <f>IF(Q516="YES",G516*0.9,G516)</f>
        <v>167.30099999999999</v>
      </c>
      <c r="S818" s="2">
        <f>J516*G516</f>
        <v>26954.05</v>
      </c>
      <c r="T818" s="1">
        <f ca="1">TODAY()-DATE(MID(O516,7,4),MID(O516,4,2),LEFT(O516,2))</f>
        <v>98</v>
      </c>
      <c r="U818" s="1" t="s">
        <v>34</v>
      </c>
      <c r="V818" s="1" t="s">
        <v>34</v>
      </c>
      <c r="W818" s="1" t="s">
        <v>34</v>
      </c>
      <c r="X818" t="s">
        <v>2553</v>
      </c>
      <c r="Y818" s="1">
        <v>8</v>
      </c>
    </row>
    <row r="819" spans="1:25" x14ac:dyDescent="0.3">
      <c r="A819" s="1" t="s">
        <v>1833</v>
      </c>
      <c r="B819" s="1" t="s">
        <v>197</v>
      </c>
      <c r="C819" s="1" t="s">
        <v>198</v>
      </c>
      <c r="D819" s="1" t="s">
        <v>104</v>
      </c>
      <c r="E819" s="1" t="s">
        <v>40</v>
      </c>
      <c r="F819" s="1" t="s">
        <v>30</v>
      </c>
      <c r="G819" s="2">
        <v>490.45</v>
      </c>
      <c r="H819" s="1">
        <v>9</v>
      </c>
      <c r="I819" s="1">
        <v>261</v>
      </c>
      <c r="J819" s="1">
        <v>256</v>
      </c>
      <c r="K819" s="1">
        <v>77</v>
      </c>
      <c r="L819" s="1">
        <v>122</v>
      </c>
      <c r="M819" s="1" t="s">
        <v>31</v>
      </c>
      <c r="N819" s="1" t="s">
        <v>32</v>
      </c>
      <c r="O819" t="s">
        <v>264</v>
      </c>
      <c r="P819" s="2">
        <v>343.31</v>
      </c>
      <c r="Q819" s="1" t="str">
        <f>IF(J314&gt;K314,"YES","NO")</f>
        <v>YES</v>
      </c>
      <c r="R819" s="2">
        <f>IF(Q314="YES",G314*0.9,G314)</f>
        <v>441.40499999999997</v>
      </c>
      <c r="S819" s="2">
        <f>J314*G314</f>
        <v>125555.2</v>
      </c>
      <c r="T819" s="1">
        <f ca="1">TODAY()-DATE(MID(O314,7,4),MID(O314,4,2),LEFT(O314,2))</f>
        <v>84</v>
      </c>
      <c r="U819" s="1" t="s">
        <v>34</v>
      </c>
      <c r="V819" s="1" t="s">
        <v>34</v>
      </c>
      <c r="W819" s="1" t="s">
        <v>34</v>
      </c>
      <c r="X819" t="s">
        <v>2618</v>
      </c>
      <c r="Y819" s="1">
        <v>7</v>
      </c>
    </row>
    <row r="820" spans="1:25" x14ac:dyDescent="0.3">
      <c r="A820" s="1" t="s">
        <v>1834</v>
      </c>
      <c r="B820" s="1" t="s">
        <v>143</v>
      </c>
      <c r="C820" s="1" t="s">
        <v>144</v>
      </c>
      <c r="D820" s="1" t="s">
        <v>47</v>
      </c>
      <c r="E820" s="1" t="s">
        <v>29</v>
      </c>
      <c r="F820" s="1" t="s">
        <v>48</v>
      </c>
      <c r="G820" s="2">
        <v>269.86</v>
      </c>
      <c r="H820" s="1">
        <v>8</v>
      </c>
      <c r="I820" s="1">
        <v>154</v>
      </c>
      <c r="J820" s="1">
        <v>135</v>
      </c>
      <c r="K820" s="1">
        <v>54</v>
      </c>
      <c r="L820" s="1">
        <v>90</v>
      </c>
      <c r="M820" s="1" t="s">
        <v>41</v>
      </c>
      <c r="N820" s="1" t="s">
        <v>32</v>
      </c>
      <c r="O820" t="s">
        <v>90</v>
      </c>
      <c r="P820" s="2">
        <v>188.9</v>
      </c>
      <c r="Q820" s="1" t="str">
        <f>IF(J216&gt;K216,"YES","NO")</f>
        <v>YES</v>
      </c>
      <c r="R820" s="2">
        <f>IF(Q216="YES",G216*0.9,G216)</f>
        <v>242.87400000000002</v>
      </c>
      <c r="S820" s="2">
        <f>J216*G216</f>
        <v>36431.1</v>
      </c>
      <c r="T820" s="1">
        <f ca="1">TODAY()-DATE(MID(O216,7,4),MID(O216,4,2),LEFT(O216,2))</f>
        <v>94</v>
      </c>
      <c r="U820" s="1" t="s">
        <v>34</v>
      </c>
      <c r="V820" s="1" t="s">
        <v>34</v>
      </c>
      <c r="W820" s="1" t="s">
        <v>34</v>
      </c>
      <c r="X820" t="s">
        <v>2717</v>
      </c>
      <c r="Y820" s="1">
        <v>8</v>
      </c>
    </row>
    <row r="821" spans="1:25" x14ac:dyDescent="0.3">
      <c r="A821" s="1" t="s">
        <v>1835</v>
      </c>
      <c r="B821" s="1" t="s">
        <v>130</v>
      </c>
      <c r="C821" s="1" t="s">
        <v>131</v>
      </c>
      <c r="D821" s="1" t="s">
        <v>132</v>
      </c>
      <c r="E821" s="1" t="s">
        <v>74</v>
      </c>
      <c r="F821" s="1" t="s">
        <v>54</v>
      </c>
      <c r="G821" s="2">
        <v>106.3</v>
      </c>
      <c r="H821" s="1">
        <v>9</v>
      </c>
      <c r="I821" s="1">
        <v>127</v>
      </c>
      <c r="J821" s="1">
        <v>122</v>
      </c>
      <c r="K821" s="1">
        <v>88</v>
      </c>
      <c r="L821" s="1">
        <v>130</v>
      </c>
      <c r="M821" s="1" t="s">
        <v>49</v>
      </c>
      <c r="N821" s="1" t="s">
        <v>60</v>
      </c>
      <c r="O821" t="s">
        <v>61</v>
      </c>
      <c r="P821" s="2">
        <v>74.41</v>
      </c>
      <c r="Q821" s="1" t="str">
        <f>IF(J134&gt;K134,"YES","NO")</f>
        <v>YES</v>
      </c>
      <c r="R821" s="2">
        <f>IF(Q134="YES",G134*0.9,G134)</f>
        <v>95.67</v>
      </c>
      <c r="S821" s="2">
        <f>J134*G134</f>
        <v>12968.6</v>
      </c>
      <c r="T821" s="1">
        <f ca="1">TODAY()-DATE(MID(O134,7,4),MID(O134,4,2),LEFT(O134,2))</f>
        <v>73</v>
      </c>
      <c r="U821" s="1" t="s">
        <v>34</v>
      </c>
      <c r="V821" s="1" t="s">
        <v>34</v>
      </c>
      <c r="W821" s="1" t="s">
        <v>34</v>
      </c>
      <c r="X821" t="s">
        <v>2574</v>
      </c>
      <c r="Y821" s="1">
        <v>7</v>
      </c>
    </row>
    <row r="822" spans="1:25" x14ac:dyDescent="0.3">
      <c r="A822" s="1" t="s">
        <v>1836</v>
      </c>
      <c r="B822" s="1" t="s">
        <v>197</v>
      </c>
      <c r="C822" s="1" t="s">
        <v>198</v>
      </c>
      <c r="D822" s="1" t="s">
        <v>104</v>
      </c>
      <c r="E822" s="1" t="s">
        <v>74</v>
      </c>
      <c r="F822" s="1" t="s">
        <v>54</v>
      </c>
      <c r="G822" s="2">
        <v>402.35</v>
      </c>
      <c r="H822" s="1">
        <v>21</v>
      </c>
      <c r="I822" s="1">
        <v>161</v>
      </c>
      <c r="J822" s="1">
        <v>122</v>
      </c>
      <c r="K822" s="1">
        <v>70</v>
      </c>
      <c r="L822" s="1">
        <v>134</v>
      </c>
      <c r="M822" s="1" t="s">
        <v>41</v>
      </c>
      <c r="N822" s="1" t="s">
        <v>60</v>
      </c>
      <c r="O822" t="s">
        <v>133</v>
      </c>
      <c r="P822" s="2">
        <v>281.64</v>
      </c>
      <c r="Q822" s="1" t="str">
        <f>IF(J377&gt;K377,"YES","NO")</f>
        <v>YES</v>
      </c>
      <c r="R822" s="2">
        <f>IF(Q377="YES",G377*0.9,G377)</f>
        <v>362.11500000000001</v>
      </c>
      <c r="S822" s="2">
        <f>J377*G377</f>
        <v>49086.700000000004</v>
      </c>
      <c r="T822" s="1">
        <f ca="1">TODAY()-DATE(MID(O377,7,4),MID(O377,4,2),LEFT(O377,2))</f>
        <v>76</v>
      </c>
      <c r="U822" s="1" t="s">
        <v>34</v>
      </c>
      <c r="V822" s="1" t="s">
        <v>34</v>
      </c>
      <c r="W822" s="1" t="s">
        <v>34</v>
      </c>
      <c r="X822" t="s">
        <v>2540</v>
      </c>
      <c r="Y822" s="1">
        <v>8.5</v>
      </c>
    </row>
    <row r="823" spans="1:25" x14ac:dyDescent="0.3">
      <c r="A823" s="1" t="s">
        <v>1837</v>
      </c>
      <c r="B823" s="1" t="s">
        <v>83</v>
      </c>
      <c r="C823" s="1" t="s">
        <v>84</v>
      </c>
      <c r="D823" s="1" t="s">
        <v>85</v>
      </c>
      <c r="E823" s="1" t="s">
        <v>40</v>
      </c>
      <c r="F823" s="1" t="s">
        <v>48</v>
      </c>
      <c r="G823" s="2">
        <v>452.64</v>
      </c>
      <c r="H823" s="1">
        <v>13</v>
      </c>
      <c r="I823" s="1">
        <v>192</v>
      </c>
      <c r="J823" s="1">
        <v>155</v>
      </c>
      <c r="K823" s="1">
        <v>114</v>
      </c>
      <c r="L823" s="1">
        <v>79</v>
      </c>
      <c r="M823" s="1" t="s">
        <v>49</v>
      </c>
      <c r="N823" s="1" t="s">
        <v>32</v>
      </c>
      <c r="O823" t="s">
        <v>86</v>
      </c>
      <c r="P823" s="2">
        <v>316.85000000000002</v>
      </c>
      <c r="Q823" s="1" t="str">
        <f>IF(J237&gt;K237,"YES","NO")</f>
        <v>YES</v>
      </c>
      <c r="R823" s="2">
        <f>IF(Q237="YES",G237*0.9,G237)</f>
        <v>407.37599999999998</v>
      </c>
      <c r="S823" s="2">
        <f>J237*G237</f>
        <v>70159.199999999997</v>
      </c>
      <c r="T823" s="1">
        <f ca="1">TODAY()-DATE(MID(O237,7,4),MID(O237,4,2),LEFT(O237,2))</f>
        <v>121</v>
      </c>
      <c r="U823" s="1" t="s">
        <v>34</v>
      </c>
      <c r="V823" s="1" t="s">
        <v>34</v>
      </c>
      <c r="W823" s="1" t="s">
        <v>34</v>
      </c>
      <c r="X823" t="s">
        <v>2716</v>
      </c>
      <c r="Y823" s="1">
        <v>8.5</v>
      </c>
    </row>
    <row r="824" spans="1:25" x14ac:dyDescent="0.3">
      <c r="A824" s="1" t="s">
        <v>1838</v>
      </c>
      <c r="B824" s="1" t="s">
        <v>37</v>
      </c>
      <c r="C824" s="1" t="s">
        <v>38</v>
      </c>
      <c r="D824" s="1" t="s">
        <v>39</v>
      </c>
      <c r="E824" s="1" t="s">
        <v>40</v>
      </c>
      <c r="F824" s="1" t="s">
        <v>54</v>
      </c>
      <c r="G824" s="2">
        <v>225.73</v>
      </c>
      <c r="H824" s="1">
        <v>1</v>
      </c>
      <c r="I824" s="1">
        <v>266</v>
      </c>
      <c r="J824" s="1">
        <v>250</v>
      </c>
      <c r="K824" s="1">
        <v>75</v>
      </c>
      <c r="L824" s="1">
        <v>93</v>
      </c>
      <c r="M824" s="1" t="s">
        <v>31</v>
      </c>
      <c r="N824" s="1" t="s">
        <v>60</v>
      </c>
      <c r="O824" t="s">
        <v>86</v>
      </c>
      <c r="P824" s="2">
        <v>158.01</v>
      </c>
      <c r="Q824" s="1" t="str">
        <f>IF(J313&gt;K313,"YES","NO")</f>
        <v>YES</v>
      </c>
      <c r="R824" s="2">
        <f>IF(Q313="YES",G313*0.9,G313)</f>
        <v>203.15699999999998</v>
      </c>
      <c r="S824" s="2">
        <f>J313*G313</f>
        <v>56432.5</v>
      </c>
      <c r="T824" s="1">
        <f ca="1">TODAY()-DATE(MID(O313,7,4),MID(O313,4,2),LEFT(O313,2))</f>
        <v>121</v>
      </c>
      <c r="U824" s="1" t="s">
        <v>34</v>
      </c>
      <c r="V824" s="1" t="s">
        <v>34</v>
      </c>
      <c r="W824" s="1" t="s">
        <v>34</v>
      </c>
      <c r="X824" t="s">
        <v>2879</v>
      </c>
      <c r="Y824" s="1">
        <v>6.5</v>
      </c>
    </row>
    <row r="825" spans="1:25" x14ac:dyDescent="0.3">
      <c r="A825" s="1" t="s">
        <v>1839</v>
      </c>
      <c r="B825" s="1" t="s">
        <v>237</v>
      </c>
      <c r="C825" s="1" t="s">
        <v>238</v>
      </c>
      <c r="D825" s="1" t="s">
        <v>85</v>
      </c>
      <c r="E825" s="1" t="s">
        <v>74</v>
      </c>
      <c r="F825" s="1" t="s">
        <v>54</v>
      </c>
      <c r="G825" s="2">
        <v>499.31</v>
      </c>
      <c r="H825" s="1">
        <v>20</v>
      </c>
      <c r="I825" s="1">
        <v>103</v>
      </c>
      <c r="J825" s="1">
        <v>101</v>
      </c>
      <c r="K825" s="1">
        <v>83</v>
      </c>
      <c r="L825" s="1">
        <v>144</v>
      </c>
      <c r="M825" s="1" t="s">
        <v>31</v>
      </c>
      <c r="N825" s="1" t="s">
        <v>32</v>
      </c>
      <c r="O825" t="s">
        <v>135</v>
      </c>
      <c r="P825" s="2">
        <v>349.52</v>
      </c>
      <c r="Q825" s="1" t="str">
        <f>IF(J773&gt;K773,"YES","NO")</f>
        <v>YES</v>
      </c>
      <c r="R825" s="2">
        <f>IF(Q773="YES",G773*0.9,G773)</f>
        <v>449.37900000000002</v>
      </c>
      <c r="S825" s="2">
        <f>J773*G773</f>
        <v>50430.31</v>
      </c>
      <c r="T825" s="1">
        <f ca="1">TODAY()-DATE(MID(O773,7,4),MID(O773,4,2),LEFT(O773,2))</f>
        <v>71</v>
      </c>
      <c r="U825" s="1" t="s">
        <v>34</v>
      </c>
      <c r="V825" s="1" t="s">
        <v>34</v>
      </c>
      <c r="W825" s="1" t="s">
        <v>34</v>
      </c>
      <c r="X825" t="s">
        <v>2757</v>
      </c>
      <c r="Y825" s="1">
        <v>6.5</v>
      </c>
    </row>
    <row r="826" spans="1:25" x14ac:dyDescent="0.3">
      <c r="A826" s="1" t="s">
        <v>1840</v>
      </c>
      <c r="B826" s="1" t="s">
        <v>26</v>
      </c>
      <c r="C826" s="1" t="s">
        <v>27</v>
      </c>
      <c r="D826" s="1" t="s">
        <v>28</v>
      </c>
      <c r="E826" s="1" t="s">
        <v>40</v>
      </c>
      <c r="F826" s="1" t="s">
        <v>48</v>
      </c>
      <c r="G826" s="2">
        <v>483.17</v>
      </c>
      <c r="H826" s="1">
        <v>20</v>
      </c>
      <c r="I826" s="1">
        <v>178</v>
      </c>
      <c r="J826" s="1">
        <v>175</v>
      </c>
      <c r="K826" s="1">
        <v>70</v>
      </c>
      <c r="L826" s="1">
        <v>111</v>
      </c>
      <c r="M826" s="1" t="s">
        <v>41</v>
      </c>
      <c r="N826" s="1" t="s">
        <v>42</v>
      </c>
      <c r="O826" t="s">
        <v>65</v>
      </c>
      <c r="P826" s="2">
        <v>338.22</v>
      </c>
      <c r="Q826" s="1" t="str">
        <f>IF(J481&gt;K481,"YES","NO")</f>
        <v>YES</v>
      </c>
      <c r="R826" s="2">
        <f>IF(Q481="YES",G481*0.9,G481)</f>
        <v>434.85300000000001</v>
      </c>
      <c r="S826" s="2">
        <f>J481*G481</f>
        <v>84554.75</v>
      </c>
      <c r="T826" s="1">
        <f ca="1">TODAY()-DATE(MID(O481,7,4),MID(O481,4,2),LEFT(O481,2))</f>
        <v>142</v>
      </c>
      <c r="U826" s="1" t="s">
        <v>34</v>
      </c>
      <c r="V826" s="1" t="s">
        <v>34</v>
      </c>
      <c r="W826" s="1" t="s">
        <v>34</v>
      </c>
      <c r="X826" t="s">
        <v>2806</v>
      </c>
      <c r="Y826" s="1">
        <v>5.5</v>
      </c>
    </row>
    <row r="827" spans="1:25" x14ac:dyDescent="0.3">
      <c r="A827" s="1" t="s">
        <v>1841</v>
      </c>
      <c r="B827" s="1" t="s">
        <v>299</v>
      </c>
      <c r="C827" s="1" t="s">
        <v>300</v>
      </c>
      <c r="D827" s="1" t="s">
        <v>39</v>
      </c>
      <c r="E827" s="1" t="s">
        <v>40</v>
      </c>
      <c r="F827" s="1" t="s">
        <v>48</v>
      </c>
      <c r="G827" s="2">
        <v>345.68</v>
      </c>
      <c r="H827" s="1">
        <v>1</v>
      </c>
      <c r="I827" s="1">
        <v>116</v>
      </c>
      <c r="J827" s="1">
        <v>88</v>
      </c>
      <c r="K827" s="1">
        <v>72</v>
      </c>
      <c r="L827" s="1">
        <v>58</v>
      </c>
      <c r="M827" s="1" t="s">
        <v>31</v>
      </c>
      <c r="N827" s="1" t="s">
        <v>42</v>
      </c>
      <c r="O827" t="s">
        <v>336</v>
      </c>
      <c r="P827" s="2">
        <v>241.98</v>
      </c>
      <c r="Q827" s="1" t="str">
        <f>IF(J184&gt;K184,"YES","NO")</f>
        <v>YES</v>
      </c>
      <c r="R827" s="2">
        <f>IF(Q184="YES",G184*0.9,G184)</f>
        <v>311.11200000000002</v>
      </c>
      <c r="S827" s="2">
        <f>J184*G184</f>
        <v>30419.84</v>
      </c>
      <c r="T827" s="1">
        <f ca="1">TODAY()-DATE(MID(O184,7,4),MID(O184,4,2),LEFT(O184,2))</f>
        <v>131</v>
      </c>
      <c r="U827" s="1" t="s">
        <v>34</v>
      </c>
      <c r="V827" s="1" t="s">
        <v>34</v>
      </c>
      <c r="W827" s="1" t="s">
        <v>34</v>
      </c>
      <c r="X827" t="s">
        <v>2548</v>
      </c>
      <c r="Y827" s="1">
        <v>7</v>
      </c>
    </row>
    <row r="828" spans="1:25" x14ac:dyDescent="0.3">
      <c r="A828" s="1" t="s">
        <v>1842</v>
      </c>
      <c r="B828" s="1" t="s">
        <v>130</v>
      </c>
      <c r="C828" s="1" t="s">
        <v>131</v>
      </c>
      <c r="D828" s="1" t="s">
        <v>132</v>
      </c>
      <c r="E828" s="1" t="s">
        <v>40</v>
      </c>
      <c r="F828" s="1" t="s">
        <v>54</v>
      </c>
      <c r="G828" s="2">
        <v>353.78</v>
      </c>
      <c r="H828" s="1">
        <v>2</v>
      </c>
      <c r="I828" s="1">
        <v>268</v>
      </c>
      <c r="J828" s="1">
        <v>253</v>
      </c>
      <c r="K828" s="1">
        <v>107</v>
      </c>
      <c r="L828" s="1">
        <v>81</v>
      </c>
      <c r="M828" s="1" t="s">
        <v>49</v>
      </c>
      <c r="N828" s="1" t="s">
        <v>60</v>
      </c>
      <c r="O828" t="s">
        <v>284</v>
      </c>
      <c r="P828" s="2">
        <v>247.65</v>
      </c>
      <c r="Q828" s="1" t="str">
        <f>IF(J397&gt;K397,"YES","NO")</f>
        <v>YES</v>
      </c>
      <c r="R828" s="2">
        <f>IF(Q397="YES",G397*0.9,G397)</f>
        <v>318.40199999999999</v>
      </c>
      <c r="S828" s="2">
        <f>J397*G397</f>
        <v>89506.34</v>
      </c>
      <c r="T828" s="1">
        <f ca="1">TODAY()-DATE(MID(O397,7,4),MID(O397,4,2),LEFT(O397,2))</f>
        <v>119</v>
      </c>
      <c r="U828" s="1" t="s">
        <v>34</v>
      </c>
      <c r="V828" s="1" t="s">
        <v>34</v>
      </c>
      <c r="W828" s="1" t="s">
        <v>34</v>
      </c>
      <c r="X828" t="s">
        <v>2622</v>
      </c>
      <c r="Y828" s="1">
        <v>8.5</v>
      </c>
    </row>
    <row r="829" spans="1:25" x14ac:dyDescent="0.3">
      <c r="A829" s="1" t="s">
        <v>1843</v>
      </c>
      <c r="B829" s="1" t="s">
        <v>237</v>
      </c>
      <c r="C829" s="1" t="s">
        <v>238</v>
      </c>
      <c r="D829" s="1" t="s">
        <v>85</v>
      </c>
      <c r="E829" s="1" t="s">
        <v>40</v>
      </c>
      <c r="F829" s="1" t="s">
        <v>48</v>
      </c>
      <c r="G829" s="2">
        <v>436.02</v>
      </c>
      <c r="H829" s="1">
        <v>16</v>
      </c>
      <c r="I829" s="1">
        <v>131</v>
      </c>
      <c r="J829" s="1">
        <v>113</v>
      </c>
      <c r="K829" s="1">
        <v>71</v>
      </c>
      <c r="L829" s="1">
        <v>96</v>
      </c>
      <c r="M829" s="1" t="s">
        <v>31</v>
      </c>
      <c r="N829" s="1" t="s">
        <v>60</v>
      </c>
      <c r="O829" t="s">
        <v>242</v>
      </c>
      <c r="P829" s="2">
        <v>305.20999999999998</v>
      </c>
      <c r="Q829" s="1" t="str">
        <f>IF(J419&gt;K419,"YES","NO")</f>
        <v>YES</v>
      </c>
      <c r="R829" s="2">
        <f>IF(Q419="YES",G419*0.9,G419)</f>
        <v>392.41800000000001</v>
      </c>
      <c r="S829" s="2">
        <f>J419*G419</f>
        <v>49270.259999999995</v>
      </c>
      <c r="T829" s="1">
        <f ca="1">TODAY()-DATE(MID(O419,7,4),MID(O419,4,2),LEFT(O419,2))</f>
        <v>105</v>
      </c>
      <c r="U829" s="1" t="s">
        <v>34</v>
      </c>
      <c r="V829" s="1" t="s">
        <v>34</v>
      </c>
      <c r="W829" s="1" t="s">
        <v>34</v>
      </c>
      <c r="X829" t="s">
        <v>2692</v>
      </c>
      <c r="Y829" s="1">
        <v>9.5</v>
      </c>
    </row>
    <row r="830" spans="1:25" x14ac:dyDescent="0.3">
      <c r="A830" s="1" t="s">
        <v>1844</v>
      </c>
      <c r="B830" s="1" t="s">
        <v>299</v>
      </c>
      <c r="C830" s="1" t="s">
        <v>300</v>
      </c>
      <c r="D830" s="1" t="s">
        <v>39</v>
      </c>
      <c r="E830" s="1" t="s">
        <v>40</v>
      </c>
      <c r="F830" s="1" t="s">
        <v>48</v>
      </c>
      <c r="G830" s="2">
        <v>122.06</v>
      </c>
      <c r="H830" s="1">
        <v>5</v>
      </c>
      <c r="I830" s="1">
        <v>275</v>
      </c>
      <c r="J830" s="1">
        <v>263</v>
      </c>
      <c r="K830" s="1">
        <v>113</v>
      </c>
      <c r="L830" s="1">
        <v>142</v>
      </c>
      <c r="M830" s="1" t="s">
        <v>41</v>
      </c>
      <c r="N830" s="1" t="s">
        <v>32</v>
      </c>
      <c r="O830" t="s">
        <v>302</v>
      </c>
      <c r="P830" s="2">
        <v>85.44</v>
      </c>
      <c r="Q830" s="1" t="str">
        <f>IF(J296&gt;K296,"YES","NO")</f>
        <v>YES</v>
      </c>
      <c r="R830" s="2">
        <f>IF(Q296="YES",G296*0.9,G296)</f>
        <v>109.854</v>
      </c>
      <c r="S830" s="2">
        <f>J296*G296</f>
        <v>32101.78</v>
      </c>
      <c r="T830" s="1">
        <f ca="1">TODAY()-DATE(MID(O296,7,4),MID(O296,4,2),LEFT(O296,2))</f>
        <v>133</v>
      </c>
      <c r="U830" s="1" t="s">
        <v>34</v>
      </c>
      <c r="V830" s="1" t="s">
        <v>34</v>
      </c>
      <c r="W830" s="1" t="s">
        <v>34</v>
      </c>
      <c r="X830" t="s">
        <v>2550</v>
      </c>
      <c r="Y830" s="1">
        <v>8</v>
      </c>
    </row>
    <row r="831" spans="1:25" x14ac:dyDescent="0.3">
      <c r="A831" s="1" t="s">
        <v>1845</v>
      </c>
      <c r="B831" s="1" t="s">
        <v>126</v>
      </c>
      <c r="C831" s="1" t="s">
        <v>127</v>
      </c>
      <c r="D831" s="1" t="s">
        <v>85</v>
      </c>
      <c r="E831" s="1" t="s">
        <v>74</v>
      </c>
      <c r="F831" s="1" t="s">
        <v>30</v>
      </c>
      <c r="G831" s="2">
        <v>286.12</v>
      </c>
      <c r="H831" s="1">
        <v>5</v>
      </c>
      <c r="I831" s="1">
        <v>177</v>
      </c>
      <c r="J831" s="1">
        <v>140</v>
      </c>
      <c r="K831" s="1">
        <v>103</v>
      </c>
      <c r="L831" s="1">
        <v>64</v>
      </c>
      <c r="M831" s="1" t="s">
        <v>31</v>
      </c>
      <c r="N831" s="1" t="s">
        <v>42</v>
      </c>
      <c r="O831" t="s">
        <v>309</v>
      </c>
      <c r="P831" s="2">
        <v>200.28</v>
      </c>
      <c r="Q831" s="1" t="str">
        <f>IF(J669&gt;K669,"YES","NO")</f>
        <v>YES</v>
      </c>
      <c r="R831" s="2">
        <f>IF(Q669="YES",G669*0.9,G669)</f>
        <v>257.50800000000004</v>
      </c>
      <c r="S831" s="2">
        <f>J669*G669</f>
        <v>40056.800000000003</v>
      </c>
      <c r="T831" s="1">
        <f ca="1">TODAY()-DATE(MID(O669,7,4),MID(O669,4,2),LEFT(O669,2))</f>
        <v>67</v>
      </c>
      <c r="U831" s="1" t="s">
        <v>34</v>
      </c>
      <c r="V831" s="1" t="s">
        <v>34</v>
      </c>
      <c r="W831" s="1" t="s">
        <v>34</v>
      </c>
      <c r="X831" t="s">
        <v>2844</v>
      </c>
      <c r="Y831" s="1">
        <v>9.5</v>
      </c>
    </row>
    <row r="832" spans="1:25" x14ac:dyDescent="0.3">
      <c r="A832" s="1" t="s">
        <v>1846</v>
      </c>
      <c r="B832" s="1" t="s">
        <v>166</v>
      </c>
      <c r="C832" s="1" t="s">
        <v>167</v>
      </c>
      <c r="D832" s="1" t="s">
        <v>59</v>
      </c>
      <c r="E832" s="1" t="s">
        <v>40</v>
      </c>
      <c r="F832" s="1" t="s">
        <v>54</v>
      </c>
      <c r="G832" s="2">
        <v>331.04</v>
      </c>
      <c r="H832" s="1">
        <v>20</v>
      </c>
      <c r="I832" s="1">
        <v>198</v>
      </c>
      <c r="J832" s="1">
        <v>159</v>
      </c>
      <c r="K832" s="1">
        <v>68</v>
      </c>
      <c r="L832" s="1">
        <v>60</v>
      </c>
      <c r="M832" s="1" t="s">
        <v>31</v>
      </c>
      <c r="N832" s="1" t="s">
        <v>42</v>
      </c>
      <c r="O832" t="s">
        <v>473</v>
      </c>
      <c r="P832" s="2">
        <v>231.73</v>
      </c>
      <c r="Q832" s="1" t="str">
        <f>IF(J519&gt;K519,"YES","NO")</f>
        <v>YES</v>
      </c>
      <c r="R832" s="2">
        <f>IF(Q519="YES",G519*0.9,G519)</f>
        <v>297.93600000000004</v>
      </c>
      <c r="S832" s="2">
        <f>J519*G519</f>
        <v>52635.360000000001</v>
      </c>
      <c r="T832" s="1">
        <f ca="1">TODAY()-DATE(MID(O519,7,4),MID(O519,4,2),LEFT(O519,2))</f>
        <v>146</v>
      </c>
      <c r="U832" s="1" t="s">
        <v>34</v>
      </c>
      <c r="V832" s="1" t="s">
        <v>34</v>
      </c>
      <c r="W832" s="1" t="s">
        <v>34</v>
      </c>
      <c r="X832" t="s">
        <v>2638</v>
      </c>
      <c r="Y832" s="1">
        <v>9.5</v>
      </c>
    </row>
    <row r="833" spans="1:25" x14ac:dyDescent="0.3">
      <c r="A833" s="1" t="s">
        <v>1847</v>
      </c>
      <c r="B833" s="1" t="s">
        <v>102</v>
      </c>
      <c r="C833" s="1" t="s">
        <v>103</v>
      </c>
      <c r="D833" s="1" t="s">
        <v>104</v>
      </c>
      <c r="E833" s="1" t="s">
        <v>29</v>
      </c>
      <c r="F833" s="1" t="s">
        <v>48</v>
      </c>
      <c r="G833" s="2">
        <v>357.86</v>
      </c>
      <c r="H833" s="1">
        <v>10</v>
      </c>
      <c r="I833" s="1">
        <v>189</v>
      </c>
      <c r="J833" s="1">
        <v>179</v>
      </c>
      <c r="K833" s="1">
        <v>120</v>
      </c>
      <c r="L833" s="1">
        <v>135</v>
      </c>
      <c r="M833" s="1" t="s">
        <v>49</v>
      </c>
      <c r="N833" s="1" t="s">
        <v>60</v>
      </c>
      <c r="O833" t="s">
        <v>257</v>
      </c>
      <c r="P833" s="2">
        <v>250.5</v>
      </c>
      <c r="Q833" s="1" t="str">
        <f>IF(J337&gt;K337,"YES","NO")</f>
        <v>YES</v>
      </c>
      <c r="R833" s="2">
        <f>IF(Q337="YES",G337*0.9,G337)</f>
        <v>322.07400000000001</v>
      </c>
      <c r="S833" s="2">
        <f>J337*G337</f>
        <v>64056.94</v>
      </c>
      <c r="T833" s="1">
        <f ca="1">TODAY()-DATE(MID(O337,7,4),MID(O337,4,2),LEFT(O337,2))</f>
        <v>113</v>
      </c>
      <c r="U833" s="1" t="s">
        <v>34</v>
      </c>
      <c r="V833" s="1" t="s">
        <v>34</v>
      </c>
      <c r="W833" s="1" t="s">
        <v>34</v>
      </c>
      <c r="X833" t="s">
        <v>2880</v>
      </c>
      <c r="Y833" s="1">
        <v>8.5</v>
      </c>
    </row>
    <row r="834" spans="1:25" x14ac:dyDescent="0.3">
      <c r="A834" s="1" t="s">
        <v>1848</v>
      </c>
      <c r="B834" s="1" t="s">
        <v>192</v>
      </c>
      <c r="C834" s="1" t="s">
        <v>193</v>
      </c>
      <c r="D834" s="1" t="s">
        <v>85</v>
      </c>
      <c r="E834" s="1" t="s">
        <v>74</v>
      </c>
      <c r="F834" s="1" t="s">
        <v>48</v>
      </c>
      <c r="G834" s="2">
        <v>49.46</v>
      </c>
      <c r="H834" s="1">
        <v>10</v>
      </c>
      <c r="I834" s="1">
        <v>224</v>
      </c>
      <c r="J834" s="1">
        <v>201</v>
      </c>
      <c r="K834" s="1">
        <v>43</v>
      </c>
      <c r="L834" s="1">
        <v>58</v>
      </c>
      <c r="M834" s="1" t="s">
        <v>49</v>
      </c>
      <c r="N834" s="1" t="s">
        <v>60</v>
      </c>
      <c r="O834" t="s">
        <v>347</v>
      </c>
      <c r="P834" s="2">
        <v>34.619999999999997</v>
      </c>
      <c r="Q834" s="1" t="str">
        <f>IF(J641&gt;K641,"YES","NO")</f>
        <v>YES</v>
      </c>
      <c r="R834" s="2">
        <f>IF(Q641="YES",G641*0.9,G641)</f>
        <v>44.514000000000003</v>
      </c>
      <c r="S834" s="2">
        <f>J641*G641</f>
        <v>9941.4600000000009</v>
      </c>
      <c r="T834" s="1">
        <f ca="1">TODAY()-DATE(MID(O641,7,4),MID(O641,4,2),LEFT(O641,2))</f>
        <v>79</v>
      </c>
      <c r="U834" s="1" t="s">
        <v>34</v>
      </c>
      <c r="V834" s="1" t="s">
        <v>34</v>
      </c>
      <c r="W834" s="1" t="s">
        <v>34</v>
      </c>
      <c r="X834" t="s">
        <v>2730</v>
      </c>
      <c r="Y834" s="1">
        <v>5.5</v>
      </c>
    </row>
    <row r="835" spans="1:25" x14ac:dyDescent="0.3">
      <c r="A835" s="1" t="s">
        <v>1849</v>
      </c>
      <c r="B835" s="1" t="s">
        <v>197</v>
      </c>
      <c r="C835" s="1" t="s">
        <v>198</v>
      </c>
      <c r="D835" s="1" t="s">
        <v>104</v>
      </c>
      <c r="E835" s="1" t="s">
        <v>74</v>
      </c>
      <c r="F835" s="1" t="s">
        <v>54</v>
      </c>
      <c r="G835" s="2">
        <v>351.13</v>
      </c>
      <c r="H835" s="1">
        <v>23</v>
      </c>
      <c r="I835" s="1">
        <v>222</v>
      </c>
      <c r="J835" s="1">
        <v>182</v>
      </c>
      <c r="K835" s="1">
        <v>83</v>
      </c>
      <c r="L835" s="1">
        <v>78</v>
      </c>
      <c r="M835" s="1" t="s">
        <v>31</v>
      </c>
      <c r="N835" s="1" t="s">
        <v>32</v>
      </c>
      <c r="O835" t="s">
        <v>272</v>
      </c>
      <c r="P835" s="2">
        <v>245.79</v>
      </c>
      <c r="Q835" s="1" t="str">
        <f>IF(J764&gt;K764,"YES","NO")</f>
        <v>YES</v>
      </c>
      <c r="R835" s="2">
        <f>IF(Q764="YES",G764*0.9,G764)</f>
        <v>316.017</v>
      </c>
      <c r="S835" s="2">
        <f>J764*G764</f>
        <v>63905.659999999996</v>
      </c>
      <c r="T835" s="1">
        <f ca="1">TODAY()-DATE(MID(O764,7,4),MID(O764,4,2),LEFT(O764,2))</f>
        <v>72</v>
      </c>
      <c r="U835" s="1" t="s">
        <v>34</v>
      </c>
      <c r="V835" s="1" t="s">
        <v>34</v>
      </c>
      <c r="W835" s="1" t="s">
        <v>34</v>
      </c>
      <c r="X835" t="s">
        <v>2689</v>
      </c>
      <c r="Y835" s="1">
        <v>7</v>
      </c>
    </row>
    <row r="836" spans="1:25" x14ac:dyDescent="0.3">
      <c r="A836" s="1" t="s">
        <v>1850</v>
      </c>
      <c r="B836" s="1" t="s">
        <v>126</v>
      </c>
      <c r="C836" s="1" t="s">
        <v>127</v>
      </c>
      <c r="D836" s="1" t="s">
        <v>85</v>
      </c>
      <c r="E836" s="1" t="s">
        <v>74</v>
      </c>
      <c r="F836" s="1" t="s">
        <v>54</v>
      </c>
      <c r="G836" s="2">
        <v>117.47</v>
      </c>
      <c r="H836" s="1">
        <v>24</v>
      </c>
      <c r="I836" s="1">
        <v>294</v>
      </c>
      <c r="J836" s="1">
        <v>271</v>
      </c>
      <c r="K836" s="1">
        <v>120</v>
      </c>
      <c r="L836" s="1">
        <v>64</v>
      </c>
      <c r="M836" s="1" t="s">
        <v>49</v>
      </c>
      <c r="N836" s="1" t="s">
        <v>42</v>
      </c>
      <c r="O836" t="s">
        <v>141</v>
      </c>
      <c r="P836" s="2">
        <v>82.23</v>
      </c>
      <c r="Q836" s="1" t="str">
        <f>IF(J39&gt;K39,"YES","NO")</f>
        <v>YES</v>
      </c>
      <c r="R836" s="2">
        <f>IF(Q39="YES",G39*0.9,G39)</f>
        <v>105.723</v>
      </c>
      <c r="S836" s="2">
        <f>J39*G39</f>
        <v>31834.37</v>
      </c>
      <c r="T836" s="1">
        <f ca="1">TODAY()-DATE(MID(O39,7,4),MID(O39,4,2),LEFT(O39,2))</f>
        <v>118</v>
      </c>
      <c r="U836" s="1" t="s">
        <v>34</v>
      </c>
      <c r="V836" s="1" t="s">
        <v>34</v>
      </c>
      <c r="W836" s="1" t="s">
        <v>34</v>
      </c>
      <c r="X836" t="s">
        <v>2581</v>
      </c>
      <c r="Y836" s="1">
        <v>9.5</v>
      </c>
    </row>
    <row r="837" spans="1:25" x14ac:dyDescent="0.3">
      <c r="A837" s="1" t="s">
        <v>1851</v>
      </c>
      <c r="B837" s="1" t="s">
        <v>299</v>
      </c>
      <c r="C837" s="1" t="s">
        <v>300</v>
      </c>
      <c r="D837" s="1" t="s">
        <v>39</v>
      </c>
      <c r="E837" s="1" t="s">
        <v>40</v>
      </c>
      <c r="F837" s="1" t="s">
        <v>30</v>
      </c>
      <c r="G837" s="2">
        <v>479.17</v>
      </c>
      <c r="H837" s="1">
        <v>5</v>
      </c>
      <c r="I837" s="1">
        <v>178</v>
      </c>
      <c r="J837" s="1">
        <v>169</v>
      </c>
      <c r="K837" s="1">
        <v>106</v>
      </c>
      <c r="L837" s="1">
        <v>76</v>
      </c>
      <c r="M837" s="1" t="s">
        <v>49</v>
      </c>
      <c r="N837" s="1" t="s">
        <v>32</v>
      </c>
      <c r="O837" t="s">
        <v>141</v>
      </c>
      <c r="P837" s="2">
        <v>335.42</v>
      </c>
      <c r="Q837" s="1" t="str">
        <f>IF(J717&gt;K717,"YES","NO")</f>
        <v>YES</v>
      </c>
      <c r="R837" s="2">
        <f>IF(Q717="YES",G717*0.9,G717)</f>
        <v>431.25300000000004</v>
      </c>
      <c r="S837" s="2">
        <f>J717*G717</f>
        <v>80979.73</v>
      </c>
      <c r="T837" s="1">
        <f ca="1">TODAY()-DATE(MID(O717,7,4),MID(O717,4,2),LEFT(O717,2))</f>
        <v>118</v>
      </c>
      <c r="U837" s="1" t="s">
        <v>34</v>
      </c>
      <c r="V837" s="1" t="s">
        <v>34</v>
      </c>
      <c r="W837" s="1" t="s">
        <v>34</v>
      </c>
      <c r="X837" t="s">
        <v>2576</v>
      </c>
      <c r="Y837" s="1">
        <v>8.5</v>
      </c>
    </row>
    <row r="838" spans="1:25" x14ac:dyDescent="0.3">
      <c r="A838" s="1" t="s">
        <v>1852</v>
      </c>
      <c r="B838" s="1" t="s">
        <v>262</v>
      </c>
      <c r="C838" s="1" t="s">
        <v>263</v>
      </c>
      <c r="D838" s="1" t="s">
        <v>104</v>
      </c>
      <c r="E838" s="1" t="s">
        <v>40</v>
      </c>
      <c r="F838" s="1" t="s">
        <v>54</v>
      </c>
      <c r="G838" s="2">
        <v>214.43</v>
      </c>
      <c r="H838" s="1">
        <v>7</v>
      </c>
      <c r="I838" s="1">
        <v>196</v>
      </c>
      <c r="J838" s="1">
        <v>168</v>
      </c>
      <c r="K838" s="1">
        <v>68</v>
      </c>
      <c r="L838" s="1">
        <v>108</v>
      </c>
      <c r="M838" s="1" t="s">
        <v>41</v>
      </c>
      <c r="N838" s="1" t="s">
        <v>32</v>
      </c>
      <c r="O838" t="s">
        <v>135</v>
      </c>
      <c r="P838" s="2">
        <v>150.1</v>
      </c>
      <c r="Q838" s="1" t="str">
        <f>IF(J315&gt;K315,"YES","NO")</f>
        <v>YES</v>
      </c>
      <c r="R838" s="2">
        <f>IF(Q315="YES",G315*0.9,G315)</f>
        <v>192.98700000000002</v>
      </c>
      <c r="S838" s="2">
        <f>J315*G315</f>
        <v>36024.239999999998</v>
      </c>
      <c r="T838" s="1">
        <f ca="1">TODAY()-DATE(MID(O315,7,4),MID(O315,4,2),LEFT(O315,2))</f>
        <v>71</v>
      </c>
      <c r="U838" s="1" t="s">
        <v>34</v>
      </c>
      <c r="V838" s="1" t="s">
        <v>34</v>
      </c>
      <c r="W838" s="1" t="s">
        <v>34</v>
      </c>
      <c r="X838" t="s">
        <v>2699</v>
      </c>
      <c r="Y838" s="1">
        <v>7.5</v>
      </c>
    </row>
    <row r="839" spans="1:25" x14ac:dyDescent="0.3">
      <c r="A839" s="1" t="s">
        <v>1853</v>
      </c>
      <c r="B839" s="1" t="s">
        <v>26</v>
      </c>
      <c r="C839" s="1" t="s">
        <v>27</v>
      </c>
      <c r="D839" s="1" t="s">
        <v>28</v>
      </c>
      <c r="E839" s="1" t="s">
        <v>74</v>
      </c>
      <c r="F839" s="1" t="s">
        <v>30</v>
      </c>
      <c r="G839" s="2">
        <v>425.73</v>
      </c>
      <c r="H839" s="1">
        <v>23</v>
      </c>
      <c r="I839" s="1">
        <v>239</v>
      </c>
      <c r="J839" s="1">
        <v>232</v>
      </c>
      <c r="K839" s="1">
        <v>113</v>
      </c>
      <c r="L839" s="1">
        <v>150</v>
      </c>
      <c r="M839" s="1" t="s">
        <v>31</v>
      </c>
      <c r="N839" s="1" t="s">
        <v>60</v>
      </c>
      <c r="O839" t="s">
        <v>311</v>
      </c>
      <c r="P839" s="2">
        <v>298.01</v>
      </c>
      <c r="Q839" s="1" t="str">
        <f>IF(J331&gt;K331,"YES","NO")</f>
        <v>YES</v>
      </c>
      <c r="R839" s="2">
        <f>IF(Q331="YES",G331*0.9,G331)</f>
        <v>383.15700000000004</v>
      </c>
      <c r="S839" s="2">
        <f>J331*G331</f>
        <v>98769.36</v>
      </c>
      <c r="T839" s="1">
        <f ca="1">TODAY()-DATE(MID(O331,7,4),MID(O331,4,2),LEFT(O331,2))</f>
        <v>80</v>
      </c>
      <c r="U839" s="1" t="s">
        <v>34</v>
      </c>
      <c r="V839" s="1" t="s">
        <v>34</v>
      </c>
      <c r="W839" s="1" t="s">
        <v>34</v>
      </c>
      <c r="X839" t="s">
        <v>2663</v>
      </c>
      <c r="Y839" s="1">
        <v>5.5</v>
      </c>
    </row>
    <row r="840" spans="1:25" x14ac:dyDescent="0.3">
      <c r="A840" s="1" t="s">
        <v>1854</v>
      </c>
      <c r="B840" s="1" t="s">
        <v>111</v>
      </c>
      <c r="C840" s="1" t="s">
        <v>112</v>
      </c>
      <c r="D840" s="1" t="s">
        <v>97</v>
      </c>
      <c r="E840" s="1" t="s">
        <v>74</v>
      </c>
      <c r="F840" s="1" t="s">
        <v>30</v>
      </c>
      <c r="G840" s="2">
        <v>237.32</v>
      </c>
      <c r="H840" s="1">
        <v>9</v>
      </c>
      <c r="I840" s="1">
        <v>164</v>
      </c>
      <c r="J840" s="1">
        <v>141</v>
      </c>
      <c r="K840" s="1">
        <v>66</v>
      </c>
      <c r="L840" s="1">
        <v>115</v>
      </c>
      <c r="M840" s="1" t="s">
        <v>31</v>
      </c>
      <c r="N840" s="1" t="s">
        <v>42</v>
      </c>
      <c r="O840" t="s">
        <v>347</v>
      </c>
      <c r="P840" s="2">
        <v>166.12</v>
      </c>
      <c r="Q840" s="1" t="str">
        <f>IF(J223&gt;K223,"YES","NO")</f>
        <v>YES</v>
      </c>
      <c r="R840" s="2">
        <f>IF(Q223="YES",G223*0.9,G223)</f>
        <v>213.58799999999999</v>
      </c>
      <c r="S840" s="2">
        <f>J223*G223</f>
        <v>33462.120000000003</v>
      </c>
      <c r="T840" s="1">
        <f ca="1">TODAY()-DATE(MID(O223,7,4),MID(O223,4,2),LEFT(O223,2))</f>
        <v>79</v>
      </c>
      <c r="U840" s="1" t="s">
        <v>34</v>
      </c>
      <c r="V840" s="1" t="s">
        <v>34</v>
      </c>
      <c r="W840" s="1" t="s">
        <v>34</v>
      </c>
      <c r="X840" t="s">
        <v>2830</v>
      </c>
      <c r="Y840" s="1">
        <v>6.5</v>
      </c>
    </row>
    <row r="841" spans="1:25" x14ac:dyDescent="0.3">
      <c r="A841" s="1" t="s">
        <v>1855</v>
      </c>
      <c r="B841" s="1" t="s">
        <v>69</v>
      </c>
      <c r="C841" s="1" t="s">
        <v>70</v>
      </c>
      <c r="D841" s="1" t="s">
        <v>59</v>
      </c>
      <c r="E841" s="1" t="s">
        <v>74</v>
      </c>
      <c r="F841" s="1" t="s">
        <v>54</v>
      </c>
      <c r="G841" s="2">
        <v>211.37</v>
      </c>
      <c r="H841" s="1">
        <v>2</v>
      </c>
      <c r="I841" s="1">
        <v>124</v>
      </c>
      <c r="J841" s="1">
        <v>109</v>
      </c>
      <c r="K841" s="1">
        <v>109</v>
      </c>
      <c r="L841" s="1">
        <v>60</v>
      </c>
      <c r="M841" s="1" t="s">
        <v>31</v>
      </c>
      <c r="N841" s="1" t="s">
        <v>42</v>
      </c>
      <c r="O841" t="s">
        <v>55</v>
      </c>
      <c r="P841" s="2">
        <v>147.96</v>
      </c>
      <c r="Q841" s="1" t="str">
        <f>IF(J606&gt;K606,"YES","NO")</f>
        <v>NO</v>
      </c>
      <c r="R841" s="2">
        <f>IF(Q606="YES",G606*0.9,G606)</f>
        <v>211.37</v>
      </c>
      <c r="S841" s="2">
        <f>J606*G606</f>
        <v>23039.33</v>
      </c>
      <c r="T841" s="1">
        <f ca="1">TODAY()-DATE(MID(O606,7,4),MID(O606,4,2),LEFT(O606,2))</f>
        <v>91</v>
      </c>
      <c r="U841" s="1" t="s">
        <v>34</v>
      </c>
      <c r="V841" s="1" t="s">
        <v>34</v>
      </c>
      <c r="W841" s="1" t="s">
        <v>34</v>
      </c>
      <c r="X841" t="s">
        <v>2599</v>
      </c>
      <c r="Y841" s="1">
        <v>8</v>
      </c>
    </row>
    <row r="842" spans="1:25" x14ac:dyDescent="0.3">
      <c r="A842" s="1" t="s">
        <v>1856</v>
      </c>
      <c r="B842" s="1" t="s">
        <v>83</v>
      </c>
      <c r="C842" s="1" t="s">
        <v>84</v>
      </c>
      <c r="D842" s="1" t="s">
        <v>85</v>
      </c>
      <c r="E842" s="1" t="s">
        <v>29</v>
      </c>
      <c r="F842" s="1" t="s">
        <v>30</v>
      </c>
      <c r="G842" s="2">
        <v>420.91</v>
      </c>
      <c r="H842" s="1">
        <v>0</v>
      </c>
      <c r="I842" s="1">
        <v>175</v>
      </c>
      <c r="J842" s="1">
        <v>168</v>
      </c>
      <c r="K842" s="1">
        <v>55</v>
      </c>
      <c r="L842" s="1">
        <v>83</v>
      </c>
      <c r="M842" s="1" t="s">
        <v>31</v>
      </c>
      <c r="N842" s="1" t="s">
        <v>42</v>
      </c>
      <c r="O842" t="s">
        <v>145</v>
      </c>
      <c r="P842" s="2">
        <v>294.64</v>
      </c>
      <c r="Q842" s="1" t="str">
        <f>IF(J580&gt;K580,"YES","NO")</f>
        <v>YES</v>
      </c>
      <c r="R842" s="2">
        <f>IF(Q580="YES",G580*0.9,G580)</f>
        <v>378.81900000000002</v>
      </c>
      <c r="S842" s="2">
        <f>J580*G580</f>
        <v>70712.88</v>
      </c>
      <c r="T842" s="1">
        <f ca="1">TODAY()-DATE(MID(O580,7,4),MID(O580,4,2),LEFT(O580,2))</f>
        <v>68</v>
      </c>
      <c r="U842" s="1" t="s">
        <v>34</v>
      </c>
      <c r="V842" s="1" t="s">
        <v>34</v>
      </c>
      <c r="W842" s="1" t="s">
        <v>34</v>
      </c>
      <c r="X842" t="s">
        <v>2638</v>
      </c>
      <c r="Y842" s="1">
        <v>5</v>
      </c>
    </row>
    <row r="843" spans="1:25" x14ac:dyDescent="0.3">
      <c r="A843" s="1" t="s">
        <v>1857</v>
      </c>
      <c r="B843" s="1" t="s">
        <v>52</v>
      </c>
      <c r="C843" s="1" t="s">
        <v>53</v>
      </c>
      <c r="D843" s="1" t="s">
        <v>47</v>
      </c>
      <c r="E843" s="1" t="s">
        <v>40</v>
      </c>
      <c r="F843" s="1" t="s">
        <v>48</v>
      </c>
      <c r="G843" s="2">
        <v>225.34</v>
      </c>
      <c r="H843" s="1">
        <v>20</v>
      </c>
      <c r="I843" s="1">
        <v>232</v>
      </c>
      <c r="J843" s="1">
        <v>198</v>
      </c>
      <c r="K843" s="1">
        <v>97</v>
      </c>
      <c r="L843" s="1">
        <v>91</v>
      </c>
      <c r="M843" s="1" t="s">
        <v>31</v>
      </c>
      <c r="N843" s="1" t="s">
        <v>42</v>
      </c>
      <c r="O843" t="s">
        <v>109</v>
      </c>
      <c r="P843" s="2">
        <v>157.74</v>
      </c>
      <c r="Q843" s="1" t="str">
        <f>IF(J523&gt;K523,"YES","NO")</f>
        <v>YES</v>
      </c>
      <c r="R843" s="2">
        <f>IF(Q523="YES",G523*0.9,G523)</f>
        <v>202.80600000000001</v>
      </c>
      <c r="S843" s="2">
        <f>J523*G523</f>
        <v>44617.32</v>
      </c>
      <c r="T843" s="1">
        <f ca="1">TODAY()-DATE(MID(O523,7,4),MID(O523,4,2),LEFT(O523,2))</f>
        <v>89</v>
      </c>
      <c r="U843" s="1" t="s">
        <v>34</v>
      </c>
      <c r="V843" s="1" t="s">
        <v>34</v>
      </c>
      <c r="W843" s="1" t="s">
        <v>34</v>
      </c>
      <c r="X843" t="s">
        <v>2881</v>
      </c>
      <c r="Y843" s="1">
        <v>6.5</v>
      </c>
    </row>
    <row r="844" spans="1:25" x14ac:dyDescent="0.3">
      <c r="A844" s="1" t="s">
        <v>1858</v>
      </c>
      <c r="B844" s="1" t="s">
        <v>83</v>
      </c>
      <c r="C844" s="1" t="s">
        <v>84</v>
      </c>
      <c r="D844" s="1" t="s">
        <v>85</v>
      </c>
      <c r="E844" s="1" t="s">
        <v>74</v>
      </c>
      <c r="F844" s="1" t="s">
        <v>30</v>
      </c>
      <c r="G844" s="2">
        <v>462.75</v>
      </c>
      <c r="H844" s="1">
        <v>3</v>
      </c>
      <c r="I844" s="1">
        <v>85</v>
      </c>
      <c r="J844" s="1">
        <v>59</v>
      </c>
      <c r="K844" s="1">
        <v>41</v>
      </c>
      <c r="L844" s="1">
        <v>150</v>
      </c>
      <c r="M844" s="1" t="s">
        <v>31</v>
      </c>
      <c r="N844" s="1" t="s">
        <v>32</v>
      </c>
      <c r="O844" t="s">
        <v>170</v>
      </c>
      <c r="P844" s="2">
        <v>323.92</v>
      </c>
      <c r="Q844" s="1" t="str">
        <f>IF(J50&gt;K50,"YES","NO")</f>
        <v>YES</v>
      </c>
      <c r="R844" s="2">
        <f>IF(Q50="YES",G50*0.9,G50)</f>
        <v>416.47500000000002</v>
      </c>
      <c r="S844" s="2">
        <f>J50*G50</f>
        <v>27302.25</v>
      </c>
      <c r="T844" s="1">
        <f ca="1">TODAY()-DATE(MID(O50,7,4),MID(O50,4,2),LEFT(O50,2))</f>
        <v>95</v>
      </c>
      <c r="U844" s="1" t="s">
        <v>34</v>
      </c>
      <c r="V844" s="1" t="s">
        <v>34</v>
      </c>
      <c r="W844" s="1" t="s">
        <v>34</v>
      </c>
      <c r="X844" t="s">
        <v>2750</v>
      </c>
      <c r="Y844" s="1">
        <v>5</v>
      </c>
    </row>
    <row r="845" spans="1:25" x14ac:dyDescent="0.3">
      <c r="A845" s="1" t="s">
        <v>1859</v>
      </c>
      <c r="B845" s="1" t="s">
        <v>111</v>
      </c>
      <c r="C845" s="1" t="s">
        <v>112</v>
      </c>
      <c r="D845" s="1" t="s">
        <v>97</v>
      </c>
      <c r="E845" s="1" t="s">
        <v>29</v>
      </c>
      <c r="F845" s="1" t="s">
        <v>54</v>
      </c>
      <c r="G845" s="2">
        <v>122.55</v>
      </c>
      <c r="H845" s="1">
        <v>13</v>
      </c>
      <c r="I845" s="1">
        <v>236</v>
      </c>
      <c r="J845" s="1">
        <v>196</v>
      </c>
      <c r="K845" s="1">
        <v>104</v>
      </c>
      <c r="L845" s="1">
        <v>59</v>
      </c>
      <c r="M845" s="1" t="s">
        <v>41</v>
      </c>
      <c r="N845" s="1" t="s">
        <v>32</v>
      </c>
      <c r="O845" t="s">
        <v>121</v>
      </c>
      <c r="P845" s="2">
        <v>85.78</v>
      </c>
      <c r="Q845" s="1" t="str">
        <f>IF(J26&gt;K26,"YES","NO")</f>
        <v>YES</v>
      </c>
      <c r="R845" s="2">
        <f>IF(Q26="YES",G26*0.9,G26)</f>
        <v>110.295</v>
      </c>
      <c r="S845" s="2">
        <f>J26*G26</f>
        <v>24019.8</v>
      </c>
      <c r="T845" s="1">
        <f ca="1">TODAY()-DATE(MID(O26,7,4),MID(O26,4,2),LEFT(O26,2))</f>
        <v>130</v>
      </c>
      <c r="U845" s="1" t="s">
        <v>34</v>
      </c>
      <c r="V845" s="1" t="s">
        <v>34</v>
      </c>
      <c r="W845" s="1" t="s">
        <v>34</v>
      </c>
      <c r="X845" t="s">
        <v>2882</v>
      </c>
      <c r="Y845" s="1">
        <v>8</v>
      </c>
    </row>
    <row r="846" spans="1:25" x14ac:dyDescent="0.3">
      <c r="A846" s="1" t="s">
        <v>1860</v>
      </c>
      <c r="B846" s="1" t="s">
        <v>52</v>
      </c>
      <c r="C846" s="1" t="s">
        <v>53</v>
      </c>
      <c r="D846" s="1" t="s">
        <v>47</v>
      </c>
      <c r="E846" s="1" t="s">
        <v>40</v>
      </c>
      <c r="F846" s="1" t="s">
        <v>54</v>
      </c>
      <c r="G846" s="2">
        <v>442.54</v>
      </c>
      <c r="H846" s="1">
        <v>7</v>
      </c>
      <c r="I846" s="1">
        <v>101</v>
      </c>
      <c r="J846" s="1">
        <v>96</v>
      </c>
      <c r="K846" s="1">
        <v>67</v>
      </c>
      <c r="L846" s="1">
        <v>83</v>
      </c>
      <c r="M846" s="1" t="s">
        <v>49</v>
      </c>
      <c r="N846" s="1" t="s">
        <v>32</v>
      </c>
      <c r="O846" t="s">
        <v>65</v>
      </c>
      <c r="P846" s="2">
        <v>309.77999999999997</v>
      </c>
      <c r="Q846" s="1" t="str">
        <f>IF(J70&gt;K70,"YES","NO")</f>
        <v>YES</v>
      </c>
      <c r="R846" s="2">
        <f>IF(Q70="YES",G70*0.9,G70)</f>
        <v>398.286</v>
      </c>
      <c r="S846" s="2">
        <f>J70*G70</f>
        <v>42483.840000000004</v>
      </c>
      <c r="T846" s="1">
        <f ca="1">TODAY()-DATE(MID(O70,7,4),MID(O70,4,2),LEFT(O70,2))</f>
        <v>142</v>
      </c>
      <c r="U846" s="1" t="s">
        <v>34</v>
      </c>
      <c r="V846" s="1" t="s">
        <v>34</v>
      </c>
      <c r="W846" s="1" t="s">
        <v>34</v>
      </c>
      <c r="X846" t="s">
        <v>2683</v>
      </c>
      <c r="Y846" s="1">
        <v>5</v>
      </c>
    </row>
    <row r="847" spans="1:25" x14ac:dyDescent="0.3">
      <c r="A847" s="1" t="s">
        <v>1861</v>
      </c>
      <c r="B847" s="1" t="s">
        <v>102</v>
      </c>
      <c r="C847" s="1" t="s">
        <v>103</v>
      </c>
      <c r="D847" s="1" t="s">
        <v>104</v>
      </c>
      <c r="E847" s="1" t="s">
        <v>29</v>
      </c>
      <c r="F847" s="1" t="s">
        <v>54</v>
      </c>
      <c r="G847" s="2">
        <v>497.67</v>
      </c>
      <c r="H847" s="1">
        <v>8</v>
      </c>
      <c r="I847" s="1">
        <v>142</v>
      </c>
      <c r="J847" s="1">
        <v>140</v>
      </c>
      <c r="K847" s="1">
        <v>63</v>
      </c>
      <c r="L847" s="1">
        <v>123</v>
      </c>
      <c r="M847" s="1" t="s">
        <v>31</v>
      </c>
      <c r="N847" s="1" t="s">
        <v>42</v>
      </c>
      <c r="O847" t="s">
        <v>311</v>
      </c>
      <c r="P847" s="2">
        <v>348.37</v>
      </c>
      <c r="Q847" s="1" t="str">
        <f>IF(J570&gt;K570,"YES","NO")</f>
        <v>YES</v>
      </c>
      <c r="R847" s="2">
        <f>IF(Q570="YES",G570*0.9,G570)</f>
        <v>447.90300000000002</v>
      </c>
      <c r="S847" s="2">
        <f>J570*G570</f>
        <v>69673.8</v>
      </c>
      <c r="T847" s="1">
        <f ca="1">TODAY()-DATE(MID(O570,7,4),MID(O570,4,2),LEFT(O570,2))</f>
        <v>80</v>
      </c>
      <c r="U847" s="1" t="s">
        <v>34</v>
      </c>
      <c r="V847" s="1" t="s">
        <v>34</v>
      </c>
      <c r="W847" s="1" t="s">
        <v>34</v>
      </c>
      <c r="X847" t="s">
        <v>2844</v>
      </c>
      <c r="Y847" s="1">
        <v>5</v>
      </c>
    </row>
    <row r="848" spans="1:25" x14ac:dyDescent="0.3">
      <c r="A848" s="1" t="s">
        <v>1862</v>
      </c>
      <c r="B848" s="1" t="s">
        <v>26</v>
      </c>
      <c r="C848" s="1" t="s">
        <v>27</v>
      </c>
      <c r="D848" s="1" t="s">
        <v>28</v>
      </c>
      <c r="E848" s="1" t="s">
        <v>40</v>
      </c>
      <c r="F848" s="1" t="s">
        <v>48</v>
      </c>
      <c r="G848" s="2">
        <v>186.97</v>
      </c>
      <c r="H848" s="1">
        <v>23</v>
      </c>
      <c r="I848" s="1">
        <v>138</v>
      </c>
      <c r="J848" s="1">
        <v>135</v>
      </c>
      <c r="K848" s="1">
        <v>63</v>
      </c>
      <c r="L848" s="1">
        <v>121</v>
      </c>
      <c r="M848" s="1" t="s">
        <v>31</v>
      </c>
      <c r="N848" s="1" t="s">
        <v>32</v>
      </c>
      <c r="O848" t="s">
        <v>79</v>
      </c>
      <c r="P848" s="2">
        <v>130.88</v>
      </c>
      <c r="Q848" s="1" t="str">
        <f>IF(J653&gt;K653,"YES","NO")</f>
        <v>YES</v>
      </c>
      <c r="R848" s="2">
        <f>IF(Q653="YES",G653*0.9,G653)</f>
        <v>168.273</v>
      </c>
      <c r="S848" s="2">
        <f>J653*G653</f>
        <v>25240.95</v>
      </c>
      <c r="T848" s="1">
        <f ca="1">TODAY()-DATE(MID(O653,7,4),MID(O653,4,2),LEFT(O653,2))</f>
        <v>93</v>
      </c>
      <c r="U848" s="1" t="s">
        <v>34</v>
      </c>
      <c r="V848" s="1" t="s">
        <v>34</v>
      </c>
      <c r="W848" s="1" t="s">
        <v>34</v>
      </c>
      <c r="X848" t="s">
        <v>2809</v>
      </c>
      <c r="Y848" s="1">
        <v>6.5</v>
      </c>
    </row>
    <row r="849" spans="1:25" x14ac:dyDescent="0.3">
      <c r="A849" s="1" t="s">
        <v>1863</v>
      </c>
      <c r="B849" s="1" t="s">
        <v>237</v>
      </c>
      <c r="C849" s="1" t="s">
        <v>238</v>
      </c>
      <c r="D849" s="1" t="s">
        <v>85</v>
      </c>
      <c r="E849" s="1" t="s">
        <v>74</v>
      </c>
      <c r="F849" s="1" t="s">
        <v>48</v>
      </c>
      <c r="G849" s="2">
        <v>256.26</v>
      </c>
      <c r="H849" s="1">
        <v>7</v>
      </c>
      <c r="I849" s="1">
        <v>218</v>
      </c>
      <c r="J849" s="1">
        <v>200</v>
      </c>
      <c r="K849" s="1">
        <v>105</v>
      </c>
      <c r="L849" s="1">
        <v>65</v>
      </c>
      <c r="M849" s="1" t="s">
        <v>31</v>
      </c>
      <c r="N849" s="1" t="s">
        <v>32</v>
      </c>
      <c r="O849" t="s">
        <v>311</v>
      </c>
      <c r="P849" s="2">
        <v>179.38</v>
      </c>
      <c r="Q849" s="1" t="str">
        <f>IF(J445&gt;K445,"YES","NO")</f>
        <v>YES</v>
      </c>
      <c r="R849" s="2">
        <f>IF(Q445="YES",G445*0.9,G445)</f>
        <v>230.63399999999999</v>
      </c>
      <c r="S849" s="2">
        <f>J445*G445</f>
        <v>51252</v>
      </c>
      <c r="T849" s="1">
        <f ca="1">TODAY()-DATE(MID(O445,7,4),MID(O445,4,2),LEFT(O445,2))</f>
        <v>80</v>
      </c>
      <c r="U849" s="1" t="s">
        <v>34</v>
      </c>
      <c r="V849" s="1" t="s">
        <v>34</v>
      </c>
      <c r="W849" s="1" t="s">
        <v>34</v>
      </c>
      <c r="X849" t="s">
        <v>2596</v>
      </c>
      <c r="Y849" s="1">
        <v>7.5</v>
      </c>
    </row>
    <row r="850" spans="1:25" x14ac:dyDescent="0.3">
      <c r="A850" s="1" t="s">
        <v>1864</v>
      </c>
      <c r="B850" s="1" t="s">
        <v>192</v>
      </c>
      <c r="C850" s="1" t="s">
        <v>193</v>
      </c>
      <c r="D850" s="1" t="s">
        <v>85</v>
      </c>
      <c r="E850" s="1" t="s">
        <v>29</v>
      </c>
      <c r="F850" s="1" t="s">
        <v>54</v>
      </c>
      <c r="G850" s="2">
        <v>431.7</v>
      </c>
      <c r="H850" s="1">
        <v>1</v>
      </c>
      <c r="I850" s="1">
        <v>201</v>
      </c>
      <c r="J850" s="1">
        <v>193</v>
      </c>
      <c r="K850" s="1">
        <v>68</v>
      </c>
      <c r="L850" s="1">
        <v>132</v>
      </c>
      <c r="M850" s="1" t="s">
        <v>41</v>
      </c>
      <c r="N850" s="1" t="s">
        <v>42</v>
      </c>
      <c r="O850" t="s">
        <v>183</v>
      </c>
      <c r="P850" s="2">
        <v>302.19</v>
      </c>
      <c r="Q850" s="1" t="str">
        <f>IF(J59&gt;K59,"YES","NO")</f>
        <v>YES</v>
      </c>
      <c r="R850" s="2">
        <f>IF(Q59="YES",G59*0.9,G59)</f>
        <v>388.53</v>
      </c>
      <c r="S850" s="2">
        <f>J59*G59</f>
        <v>83318.099999999991</v>
      </c>
      <c r="T850" s="1">
        <f ca="1">TODAY()-DATE(MID(O59,7,4),MID(O59,4,2),LEFT(O59,2))</f>
        <v>115</v>
      </c>
      <c r="U850" s="1" t="s">
        <v>34</v>
      </c>
      <c r="V850" s="1" t="s">
        <v>34</v>
      </c>
      <c r="W850" s="1" t="s">
        <v>34</v>
      </c>
      <c r="X850" t="s">
        <v>2582</v>
      </c>
      <c r="Y850" s="1">
        <v>9.5</v>
      </c>
    </row>
    <row r="851" spans="1:25" x14ac:dyDescent="0.3">
      <c r="A851" s="1" t="s">
        <v>1865</v>
      </c>
      <c r="B851" s="1" t="s">
        <v>45</v>
      </c>
      <c r="C851" s="1" t="s">
        <v>46</v>
      </c>
      <c r="D851" s="1" t="s">
        <v>47</v>
      </c>
      <c r="E851" s="1" t="s">
        <v>29</v>
      </c>
      <c r="F851" s="1" t="s">
        <v>48</v>
      </c>
      <c r="G851" s="2">
        <v>220.07</v>
      </c>
      <c r="H851" s="1">
        <v>21</v>
      </c>
      <c r="I851" s="1">
        <v>293</v>
      </c>
      <c r="J851" s="1">
        <v>264</v>
      </c>
      <c r="K851" s="1">
        <v>118</v>
      </c>
      <c r="L851" s="1">
        <v>65</v>
      </c>
      <c r="M851" s="1" t="s">
        <v>31</v>
      </c>
      <c r="N851" s="1" t="s">
        <v>32</v>
      </c>
      <c r="O851" t="s">
        <v>390</v>
      </c>
      <c r="P851" s="2">
        <v>154.05000000000001</v>
      </c>
      <c r="Q851" s="1" t="str">
        <f>IF(J770&gt;K770,"YES","NO")</f>
        <v>YES</v>
      </c>
      <c r="R851" s="2">
        <f>IF(Q770="YES",G770*0.9,G770)</f>
        <v>198.06299999999999</v>
      </c>
      <c r="S851" s="2">
        <f>J770*G770</f>
        <v>58098.479999999996</v>
      </c>
      <c r="T851" s="1">
        <f ca="1">TODAY()-DATE(MID(O770,7,4),MID(O770,4,2),LEFT(O770,2))</f>
        <v>120</v>
      </c>
      <c r="U851" s="1" t="s">
        <v>34</v>
      </c>
      <c r="V851" s="1" t="s">
        <v>34</v>
      </c>
      <c r="W851" s="1" t="s">
        <v>34</v>
      </c>
      <c r="X851" t="s">
        <v>2774</v>
      </c>
      <c r="Y851" s="1">
        <v>5</v>
      </c>
    </row>
    <row r="852" spans="1:25" x14ac:dyDescent="0.3">
      <c r="A852" s="1" t="s">
        <v>1866</v>
      </c>
      <c r="B852" s="1" t="s">
        <v>52</v>
      </c>
      <c r="C852" s="1" t="s">
        <v>53</v>
      </c>
      <c r="D852" s="1" t="s">
        <v>47</v>
      </c>
      <c r="E852" s="1" t="s">
        <v>40</v>
      </c>
      <c r="F852" s="1" t="s">
        <v>48</v>
      </c>
      <c r="G852" s="2">
        <v>370.81</v>
      </c>
      <c r="H852" s="1">
        <v>11</v>
      </c>
      <c r="I852" s="1">
        <v>186</v>
      </c>
      <c r="J852" s="1">
        <v>151</v>
      </c>
      <c r="K852" s="1">
        <v>102</v>
      </c>
      <c r="L852" s="1">
        <v>86</v>
      </c>
      <c r="M852" s="1" t="s">
        <v>41</v>
      </c>
      <c r="N852" s="1" t="s">
        <v>42</v>
      </c>
      <c r="O852" t="s">
        <v>139</v>
      </c>
      <c r="P852" s="2">
        <v>259.57</v>
      </c>
      <c r="Q852" s="1" t="str">
        <f>IF(J350&gt;K350,"YES","NO")</f>
        <v>YES</v>
      </c>
      <c r="R852" s="2">
        <f>IF(Q350="YES",G350*0.9,G350)</f>
        <v>333.72899999999998</v>
      </c>
      <c r="S852" s="2">
        <f>J350*G350</f>
        <v>55992.31</v>
      </c>
      <c r="T852" s="1">
        <f ca="1">TODAY()-DATE(MID(O350,7,4),MID(O350,4,2),LEFT(O350,2))</f>
        <v>75</v>
      </c>
      <c r="U852" s="1" t="s">
        <v>34</v>
      </c>
      <c r="V852" s="1" t="s">
        <v>34</v>
      </c>
      <c r="W852" s="1" t="s">
        <v>34</v>
      </c>
      <c r="X852" t="s">
        <v>2870</v>
      </c>
      <c r="Y852" s="1">
        <v>5</v>
      </c>
    </row>
    <row r="853" spans="1:25" x14ac:dyDescent="0.3">
      <c r="A853" s="1" t="s">
        <v>1867</v>
      </c>
      <c r="B853" s="1" t="s">
        <v>83</v>
      </c>
      <c r="C853" s="1" t="s">
        <v>84</v>
      </c>
      <c r="D853" s="1" t="s">
        <v>85</v>
      </c>
      <c r="E853" s="1" t="s">
        <v>29</v>
      </c>
      <c r="F853" s="1" t="s">
        <v>48</v>
      </c>
      <c r="G853" s="2">
        <v>305.14</v>
      </c>
      <c r="H853" s="1">
        <v>17</v>
      </c>
      <c r="I853" s="1">
        <v>80</v>
      </c>
      <c r="J853" s="1">
        <v>70</v>
      </c>
      <c r="K853" s="1">
        <v>89</v>
      </c>
      <c r="L853" s="1">
        <v>111</v>
      </c>
      <c r="M853" s="1" t="s">
        <v>41</v>
      </c>
      <c r="N853" s="1" t="s">
        <v>42</v>
      </c>
      <c r="O853" t="s">
        <v>240</v>
      </c>
      <c r="P853" s="2">
        <v>213.6</v>
      </c>
      <c r="Q853" s="1" t="str">
        <f>IF(J197&gt;K197,"YES","NO")</f>
        <v>NO</v>
      </c>
      <c r="R853" s="2">
        <f>IF(Q197="YES",G197*0.9,G197)</f>
        <v>305.14</v>
      </c>
      <c r="S853" s="2">
        <f>J197*G197</f>
        <v>21359.8</v>
      </c>
      <c r="T853" s="1">
        <f ca="1">TODAY()-DATE(MID(O197,7,4),MID(O197,4,2),LEFT(O197,2))</f>
        <v>111</v>
      </c>
      <c r="U853" s="1" t="s">
        <v>34</v>
      </c>
      <c r="V853" s="1" t="s">
        <v>34</v>
      </c>
      <c r="W853" s="1" t="s">
        <v>34</v>
      </c>
      <c r="X853" t="s">
        <v>2785</v>
      </c>
      <c r="Y853" s="1">
        <v>8.5</v>
      </c>
    </row>
    <row r="854" spans="1:25" x14ac:dyDescent="0.3">
      <c r="A854" s="1" t="s">
        <v>1868</v>
      </c>
      <c r="B854" s="1" t="s">
        <v>172</v>
      </c>
      <c r="C854" s="1" t="s">
        <v>173</v>
      </c>
      <c r="D854" s="1" t="s">
        <v>132</v>
      </c>
      <c r="E854" s="1" t="s">
        <v>74</v>
      </c>
      <c r="F854" s="1" t="s">
        <v>54</v>
      </c>
      <c r="G854" s="2">
        <v>202.01</v>
      </c>
      <c r="H854" s="1">
        <v>1</v>
      </c>
      <c r="I854" s="1">
        <v>133</v>
      </c>
      <c r="J854" s="1">
        <v>109</v>
      </c>
      <c r="K854" s="1">
        <v>57</v>
      </c>
      <c r="L854" s="1">
        <v>115</v>
      </c>
      <c r="M854" s="1" t="s">
        <v>49</v>
      </c>
      <c r="N854" s="1" t="s">
        <v>32</v>
      </c>
      <c r="O854" t="s">
        <v>135</v>
      </c>
      <c r="P854" s="2">
        <v>141.41</v>
      </c>
      <c r="Q854" s="1" t="str">
        <f>IF(J381&gt;K381,"YES","NO")</f>
        <v>YES</v>
      </c>
      <c r="R854" s="2">
        <f>IF(Q381="YES",G381*0.9,G381)</f>
        <v>181.809</v>
      </c>
      <c r="S854" s="2">
        <f>J381*G381</f>
        <v>22019.09</v>
      </c>
      <c r="T854" s="1">
        <f ca="1">TODAY()-DATE(MID(O381,7,4),MID(O381,4,2),LEFT(O381,2))</f>
        <v>71</v>
      </c>
      <c r="U854" s="1" t="s">
        <v>34</v>
      </c>
      <c r="V854" s="1" t="s">
        <v>34</v>
      </c>
      <c r="W854" s="1" t="s">
        <v>34</v>
      </c>
      <c r="X854" t="s">
        <v>2609</v>
      </c>
      <c r="Y854" s="1">
        <v>5.5</v>
      </c>
    </row>
    <row r="855" spans="1:25" x14ac:dyDescent="0.3">
      <c r="A855" s="1" t="s">
        <v>1869</v>
      </c>
      <c r="B855" s="1" t="s">
        <v>237</v>
      </c>
      <c r="C855" s="1" t="s">
        <v>238</v>
      </c>
      <c r="D855" s="1" t="s">
        <v>85</v>
      </c>
      <c r="E855" s="1" t="s">
        <v>74</v>
      </c>
      <c r="F855" s="1" t="s">
        <v>54</v>
      </c>
      <c r="G855" s="2">
        <v>172.25</v>
      </c>
      <c r="H855" s="1">
        <v>6</v>
      </c>
      <c r="I855" s="1">
        <v>197</v>
      </c>
      <c r="J855" s="1">
        <v>178</v>
      </c>
      <c r="K855" s="1">
        <v>84</v>
      </c>
      <c r="L855" s="1">
        <v>79</v>
      </c>
      <c r="M855" s="1" t="s">
        <v>49</v>
      </c>
      <c r="N855" s="1" t="s">
        <v>32</v>
      </c>
      <c r="O855" t="s">
        <v>280</v>
      </c>
      <c r="P855" s="2">
        <v>120.57</v>
      </c>
      <c r="Q855" s="1" t="str">
        <f>IF(J282&gt;K282,"YES","NO")</f>
        <v>YES</v>
      </c>
      <c r="R855" s="2">
        <f>IF(Q282="YES",G282*0.9,G282)</f>
        <v>155.02500000000001</v>
      </c>
      <c r="S855" s="2">
        <f>J282*G282</f>
        <v>30660.5</v>
      </c>
      <c r="T855" s="1">
        <f ca="1">TODAY()-DATE(MID(O282,7,4),MID(O282,4,2),LEFT(O282,2))</f>
        <v>108</v>
      </c>
      <c r="U855" s="1" t="s">
        <v>34</v>
      </c>
      <c r="V855" s="1" t="s">
        <v>34</v>
      </c>
      <c r="W855" s="1" t="s">
        <v>34</v>
      </c>
      <c r="X855" t="s">
        <v>2567</v>
      </c>
      <c r="Y855" s="1">
        <v>6</v>
      </c>
    </row>
    <row r="856" spans="1:25" x14ac:dyDescent="0.3">
      <c r="A856" s="1" t="s">
        <v>1870</v>
      </c>
      <c r="B856" s="1" t="s">
        <v>299</v>
      </c>
      <c r="C856" s="1" t="s">
        <v>300</v>
      </c>
      <c r="D856" s="1" t="s">
        <v>39</v>
      </c>
      <c r="E856" s="1" t="s">
        <v>29</v>
      </c>
      <c r="F856" s="1" t="s">
        <v>30</v>
      </c>
      <c r="G856" s="2">
        <v>418.11</v>
      </c>
      <c r="H856" s="1">
        <v>14</v>
      </c>
      <c r="I856" s="1">
        <v>215</v>
      </c>
      <c r="J856" s="1">
        <v>210</v>
      </c>
      <c r="K856" s="1">
        <v>95</v>
      </c>
      <c r="L856" s="1">
        <v>54</v>
      </c>
      <c r="M856" s="1" t="s">
        <v>31</v>
      </c>
      <c r="N856" s="1" t="s">
        <v>60</v>
      </c>
      <c r="O856" t="s">
        <v>302</v>
      </c>
      <c r="P856" s="2">
        <v>292.68</v>
      </c>
      <c r="Q856" s="1" t="str">
        <f>IF(J588&gt;K588,"YES","NO")</f>
        <v>YES</v>
      </c>
      <c r="R856" s="2">
        <f>IF(Q588="YES",G588*0.9,G588)</f>
        <v>376.29900000000004</v>
      </c>
      <c r="S856" s="2">
        <f>J588*G588</f>
        <v>87803.1</v>
      </c>
      <c r="T856" s="1">
        <f ca="1">TODAY()-DATE(MID(O588,7,4),MID(O588,4,2),LEFT(O588,2))</f>
        <v>133</v>
      </c>
      <c r="U856" s="1" t="s">
        <v>34</v>
      </c>
      <c r="V856" s="1" t="s">
        <v>34</v>
      </c>
      <c r="W856" s="1" t="s">
        <v>34</v>
      </c>
      <c r="X856" t="s">
        <v>2668</v>
      </c>
      <c r="Y856" s="1">
        <v>9</v>
      </c>
    </row>
    <row r="857" spans="1:25" x14ac:dyDescent="0.3">
      <c r="A857" s="1" t="s">
        <v>1871</v>
      </c>
      <c r="B857" s="1" t="s">
        <v>37</v>
      </c>
      <c r="C857" s="1" t="s">
        <v>38</v>
      </c>
      <c r="D857" s="1" t="s">
        <v>39</v>
      </c>
      <c r="E857" s="1" t="s">
        <v>74</v>
      </c>
      <c r="F857" s="1" t="s">
        <v>54</v>
      </c>
      <c r="G857" s="2">
        <v>412.95</v>
      </c>
      <c r="H857" s="1">
        <v>11</v>
      </c>
      <c r="I857" s="1">
        <v>230</v>
      </c>
      <c r="J857" s="1">
        <v>192</v>
      </c>
      <c r="K857" s="1">
        <v>49</v>
      </c>
      <c r="L857" s="1">
        <v>71</v>
      </c>
      <c r="M857" s="1" t="s">
        <v>49</v>
      </c>
      <c r="N857" s="1" t="s">
        <v>60</v>
      </c>
      <c r="O857" t="s">
        <v>153</v>
      </c>
      <c r="P857" s="2">
        <v>289.06</v>
      </c>
      <c r="Q857" s="1" t="str">
        <f>IF(J40&gt;K40,"YES","NO")</f>
        <v>YES</v>
      </c>
      <c r="R857" s="2">
        <f>IF(Q40="YES",G40*0.9,G40)</f>
        <v>371.65499999999997</v>
      </c>
      <c r="S857" s="2">
        <f>J40*G40</f>
        <v>79286.399999999994</v>
      </c>
      <c r="T857" s="1">
        <f ca="1">TODAY()-DATE(MID(O40,7,4),MID(O40,4,2),LEFT(O40,2))</f>
        <v>135</v>
      </c>
      <c r="U857" s="1" t="s">
        <v>34</v>
      </c>
      <c r="V857" s="1" t="s">
        <v>34</v>
      </c>
      <c r="W857" s="1" t="s">
        <v>34</v>
      </c>
      <c r="X857" t="s">
        <v>2646</v>
      </c>
      <c r="Y857" s="1">
        <v>5</v>
      </c>
    </row>
    <row r="858" spans="1:25" x14ac:dyDescent="0.3">
      <c r="A858" s="1" t="s">
        <v>1872</v>
      </c>
      <c r="B858" s="1" t="s">
        <v>107</v>
      </c>
      <c r="C858" s="1" t="s">
        <v>108</v>
      </c>
      <c r="D858" s="1" t="s">
        <v>39</v>
      </c>
      <c r="E858" s="1" t="s">
        <v>74</v>
      </c>
      <c r="F858" s="1" t="s">
        <v>48</v>
      </c>
      <c r="G858" s="2">
        <v>410.46</v>
      </c>
      <c r="H858" s="1">
        <v>10</v>
      </c>
      <c r="I858" s="1">
        <v>226</v>
      </c>
      <c r="J858" s="1">
        <v>192</v>
      </c>
      <c r="K858" s="1">
        <v>56</v>
      </c>
      <c r="L858" s="1">
        <v>80</v>
      </c>
      <c r="M858" s="1" t="s">
        <v>41</v>
      </c>
      <c r="N858" s="1" t="s">
        <v>60</v>
      </c>
      <c r="O858" t="s">
        <v>88</v>
      </c>
      <c r="P858" s="2">
        <v>287.32</v>
      </c>
      <c r="Q858" s="1" t="str">
        <f>IF(J715&gt;K715,"YES","NO")</f>
        <v>YES</v>
      </c>
      <c r="R858" s="2">
        <f>IF(Q715="YES",G715*0.9,G715)</f>
        <v>369.41399999999999</v>
      </c>
      <c r="S858" s="2">
        <f>J715*G715</f>
        <v>78808.319999999992</v>
      </c>
      <c r="T858" s="1">
        <f ca="1">TODAY()-DATE(MID(O715,7,4),MID(O715,4,2),LEFT(O715,2))</f>
        <v>124</v>
      </c>
      <c r="U858" s="1" t="s">
        <v>34</v>
      </c>
      <c r="V858" s="1" t="s">
        <v>34</v>
      </c>
      <c r="W858" s="1" t="s">
        <v>34</v>
      </c>
      <c r="X858" t="s">
        <v>2825</v>
      </c>
      <c r="Y858" s="1">
        <v>7.5</v>
      </c>
    </row>
    <row r="859" spans="1:25" x14ac:dyDescent="0.3">
      <c r="A859" s="1" t="s">
        <v>1873</v>
      </c>
      <c r="B859" s="1" t="s">
        <v>69</v>
      </c>
      <c r="C859" s="1" t="s">
        <v>70</v>
      </c>
      <c r="D859" s="1" t="s">
        <v>59</v>
      </c>
      <c r="E859" s="1" t="s">
        <v>40</v>
      </c>
      <c r="F859" s="1" t="s">
        <v>48</v>
      </c>
      <c r="G859" s="2">
        <v>270.26</v>
      </c>
      <c r="H859" s="1">
        <v>2</v>
      </c>
      <c r="I859" s="1">
        <v>268</v>
      </c>
      <c r="J859" s="1">
        <v>232</v>
      </c>
      <c r="K859" s="1">
        <v>65</v>
      </c>
      <c r="L859" s="1">
        <v>127</v>
      </c>
      <c r="M859" s="1" t="s">
        <v>31</v>
      </c>
      <c r="N859" s="1" t="s">
        <v>42</v>
      </c>
      <c r="O859" t="s">
        <v>164</v>
      </c>
      <c r="P859" s="2">
        <v>189.18</v>
      </c>
      <c r="Q859" s="1" t="str">
        <f>IF(J47&gt;K47,"YES","NO")</f>
        <v>YES</v>
      </c>
      <c r="R859" s="2">
        <f>IF(Q47="YES",G47*0.9,G47)</f>
        <v>243.23400000000001</v>
      </c>
      <c r="S859" s="2">
        <f>J47*G47</f>
        <v>62700.32</v>
      </c>
      <c r="T859" s="1">
        <f ca="1">TODAY()-DATE(MID(O47,7,4),MID(O47,4,2),LEFT(O47,2))</f>
        <v>126</v>
      </c>
      <c r="U859" s="1" t="s">
        <v>34</v>
      </c>
      <c r="V859" s="1" t="s">
        <v>34</v>
      </c>
      <c r="W859" s="1" t="s">
        <v>34</v>
      </c>
      <c r="X859" t="s">
        <v>2883</v>
      </c>
      <c r="Y859" s="1">
        <v>8.5</v>
      </c>
    </row>
    <row r="860" spans="1:25" x14ac:dyDescent="0.3">
      <c r="A860" s="1" t="s">
        <v>1874</v>
      </c>
      <c r="B860" s="1" t="s">
        <v>107</v>
      </c>
      <c r="C860" s="1" t="s">
        <v>108</v>
      </c>
      <c r="D860" s="1" t="s">
        <v>39</v>
      </c>
      <c r="E860" s="1" t="s">
        <v>40</v>
      </c>
      <c r="F860" s="1" t="s">
        <v>30</v>
      </c>
      <c r="G860" s="2">
        <v>266.86</v>
      </c>
      <c r="H860" s="1">
        <v>1</v>
      </c>
      <c r="I860" s="1">
        <v>245</v>
      </c>
      <c r="J860" s="1">
        <v>227</v>
      </c>
      <c r="K860" s="1">
        <v>89</v>
      </c>
      <c r="L860" s="1">
        <v>90</v>
      </c>
      <c r="M860" s="1" t="s">
        <v>31</v>
      </c>
      <c r="N860" s="1" t="s">
        <v>42</v>
      </c>
      <c r="O860" t="s">
        <v>133</v>
      </c>
      <c r="P860" s="2">
        <v>186.8</v>
      </c>
      <c r="Q860" s="1" t="str">
        <f>IF(J613&gt;K613,"YES","NO")</f>
        <v>YES</v>
      </c>
      <c r="R860" s="2">
        <f>IF(Q613="YES",G613*0.9,G613)</f>
        <v>240.17400000000001</v>
      </c>
      <c r="S860" s="2">
        <f>J613*G613</f>
        <v>60577.22</v>
      </c>
      <c r="T860" s="1">
        <f ca="1">TODAY()-DATE(MID(O613,7,4),MID(O613,4,2),LEFT(O613,2))</f>
        <v>76</v>
      </c>
      <c r="U860" s="1" t="s">
        <v>34</v>
      </c>
      <c r="V860" s="1" t="s">
        <v>34</v>
      </c>
      <c r="W860" s="1" t="s">
        <v>34</v>
      </c>
      <c r="X860" t="s">
        <v>2541</v>
      </c>
      <c r="Y860" s="1">
        <v>6.5</v>
      </c>
    </row>
    <row r="861" spans="1:25" x14ac:dyDescent="0.3">
      <c r="A861" s="1" t="s">
        <v>1875</v>
      </c>
      <c r="B861" s="1" t="s">
        <v>83</v>
      </c>
      <c r="C861" s="1" t="s">
        <v>84</v>
      </c>
      <c r="D861" s="1" t="s">
        <v>85</v>
      </c>
      <c r="E861" s="1" t="s">
        <v>29</v>
      </c>
      <c r="F861" s="1" t="s">
        <v>30</v>
      </c>
      <c r="G861" s="2">
        <v>299.74</v>
      </c>
      <c r="H861" s="1">
        <v>18</v>
      </c>
      <c r="I861" s="1">
        <v>177</v>
      </c>
      <c r="J861" s="1">
        <v>146</v>
      </c>
      <c r="K861" s="1">
        <v>72</v>
      </c>
      <c r="L861" s="1">
        <v>121</v>
      </c>
      <c r="M861" s="1" t="s">
        <v>31</v>
      </c>
      <c r="N861" s="1" t="s">
        <v>32</v>
      </c>
      <c r="O861" t="s">
        <v>86</v>
      </c>
      <c r="P861" s="2">
        <v>209.82</v>
      </c>
      <c r="Q861" s="1" t="str">
        <f>IF(J13&gt;K13,"YES","NO")</f>
        <v>YES</v>
      </c>
      <c r="R861" s="2">
        <f>IF(Q13="YES",G13*0.9,G13)</f>
        <v>269.76600000000002</v>
      </c>
      <c r="S861" s="2">
        <f>J13*G13</f>
        <v>43762.04</v>
      </c>
      <c r="T861" s="1">
        <f ca="1">TODAY()-DATE(MID(O13,7,4),MID(O13,4,2),LEFT(O13,2))</f>
        <v>121</v>
      </c>
      <c r="U861" s="1" t="s">
        <v>34</v>
      </c>
      <c r="V861" s="1" t="s">
        <v>34</v>
      </c>
      <c r="W861" s="1" t="s">
        <v>34</v>
      </c>
      <c r="X861" t="s">
        <v>2687</v>
      </c>
      <c r="Y861" s="1">
        <v>6.5</v>
      </c>
    </row>
    <row r="862" spans="1:25" x14ac:dyDescent="0.3">
      <c r="A862" s="1" t="s">
        <v>1876</v>
      </c>
      <c r="B862" s="1" t="s">
        <v>299</v>
      </c>
      <c r="C862" s="1" t="s">
        <v>300</v>
      </c>
      <c r="D862" s="1" t="s">
        <v>39</v>
      </c>
      <c r="E862" s="1" t="s">
        <v>40</v>
      </c>
      <c r="F862" s="1" t="s">
        <v>54</v>
      </c>
      <c r="G862" s="2">
        <v>425.62</v>
      </c>
      <c r="H862" s="1">
        <v>25</v>
      </c>
      <c r="I862" s="1">
        <v>191</v>
      </c>
      <c r="J862" s="1">
        <v>168</v>
      </c>
      <c r="K862" s="1">
        <v>108</v>
      </c>
      <c r="L862" s="1">
        <v>60</v>
      </c>
      <c r="M862" s="1" t="s">
        <v>49</v>
      </c>
      <c r="N862" s="1" t="s">
        <v>60</v>
      </c>
      <c r="O862" t="s">
        <v>153</v>
      </c>
      <c r="P862" s="2">
        <v>297.93</v>
      </c>
      <c r="Q862" s="1" t="str">
        <f>IF(J149&gt;K149,"YES","NO")</f>
        <v>YES</v>
      </c>
      <c r="R862" s="2">
        <f>IF(Q149="YES",G149*0.9,G149)</f>
        <v>383.05799999999999</v>
      </c>
      <c r="S862" s="2">
        <f>J149*G149</f>
        <v>71504.160000000003</v>
      </c>
      <c r="T862" s="1">
        <f ca="1">TODAY()-DATE(MID(O149,7,4),MID(O149,4,2),LEFT(O149,2))</f>
        <v>135</v>
      </c>
      <c r="U862" s="1" t="s">
        <v>34</v>
      </c>
      <c r="V862" s="1" t="s">
        <v>34</v>
      </c>
      <c r="W862" s="1" t="s">
        <v>34</v>
      </c>
      <c r="X862" t="s">
        <v>2654</v>
      </c>
      <c r="Y862" s="1">
        <v>9.5</v>
      </c>
    </row>
    <row r="863" spans="1:25" x14ac:dyDescent="0.3">
      <c r="A863" s="1" t="s">
        <v>1877</v>
      </c>
      <c r="B863" s="1" t="s">
        <v>262</v>
      </c>
      <c r="C863" s="1" t="s">
        <v>263</v>
      </c>
      <c r="D863" s="1" t="s">
        <v>104</v>
      </c>
      <c r="E863" s="1" t="s">
        <v>40</v>
      </c>
      <c r="F863" s="1" t="s">
        <v>48</v>
      </c>
      <c r="G863" s="2">
        <v>411.14</v>
      </c>
      <c r="H863" s="1">
        <v>16</v>
      </c>
      <c r="I863" s="1">
        <v>112</v>
      </c>
      <c r="J863" s="1">
        <v>103</v>
      </c>
      <c r="K863" s="1">
        <v>43</v>
      </c>
      <c r="L863" s="1">
        <v>139</v>
      </c>
      <c r="M863" s="1" t="s">
        <v>31</v>
      </c>
      <c r="N863" s="1" t="s">
        <v>42</v>
      </c>
      <c r="O863" t="s">
        <v>65</v>
      </c>
      <c r="P863" s="2">
        <v>287.8</v>
      </c>
      <c r="Q863" s="1" t="str">
        <f>IF(J594&gt;K594,"YES","NO")</f>
        <v>YES</v>
      </c>
      <c r="R863" s="2">
        <f>IF(Q594="YES",G594*0.9,G594)</f>
        <v>370.02600000000001</v>
      </c>
      <c r="S863" s="2">
        <f>J594*G594</f>
        <v>42347.42</v>
      </c>
      <c r="T863" s="1">
        <f ca="1">TODAY()-DATE(MID(O594,7,4),MID(O594,4,2),LEFT(O594,2))</f>
        <v>142</v>
      </c>
      <c r="U863" s="1" t="s">
        <v>34</v>
      </c>
      <c r="V863" s="1" t="s">
        <v>34</v>
      </c>
      <c r="W863" s="1" t="s">
        <v>34</v>
      </c>
      <c r="X863" t="s">
        <v>2605</v>
      </c>
      <c r="Y863" s="1">
        <v>7</v>
      </c>
    </row>
    <row r="864" spans="1:25" x14ac:dyDescent="0.3">
      <c r="A864" s="1" t="s">
        <v>1878</v>
      </c>
      <c r="B864" s="1" t="s">
        <v>192</v>
      </c>
      <c r="C864" s="1" t="s">
        <v>193</v>
      </c>
      <c r="D864" s="1" t="s">
        <v>85</v>
      </c>
      <c r="E864" s="1" t="s">
        <v>40</v>
      </c>
      <c r="F864" s="1" t="s">
        <v>54</v>
      </c>
      <c r="G864" s="2">
        <v>138.27000000000001</v>
      </c>
      <c r="H864" s="1">
        <v>22</v>
      </c>
      <c r="I864" s="1">
        <v>150</v>
      </c>
      <c r="J864" s="1">
        <v>146</v>
      </c>
      <c r="K864" s="1">
        <v>105</v>
      </c>
      <c r="L864" s="1">
        <v>134</v>
      </c>
      <c r="M864" s="1" t="s">
        <v>31</v>
      </c>
      <c r="N864" s="1" t="s">
        <v>32</v>
      </c>
      <c r="O864" t="s">
        <v>81</v>
      </c>
      <c r="P864" s="2">
        <v>96.79</v>
      </c>
      <c r="Q864" s="1" t="str">
        <f>IF(J726&gt;K726,"YES","NO")</f>
        <v>YES</v>
      </c>
      <c r="R864" s="2">
        <f>IF(Q726="YES",G726*0.9,G726)</f>
        <v>124.44300000000001</v>
      </c>
      <c r="S864" s="2">
        <f>J726*G726</f>
        <v>20187.420000000002</v>
      </c>
      <c r="T864" s="1">
        <f ca="1">TODAY()-DATE(MID(O726,7,4),MID(O726,4,2),LEFT(O726,2))</f>
        <v>81</v>
      </c>
      <c r="U864" s="1" t="s">
        <v>34</v>
      </c>
      <c r="V864" s="1" t="s">
        <v>34</v>
      </c>
      <c r="W864" s="1" t="s">
        <v>34</v>
      </c>
      <c r="X864" t="s">
        <v>2623</v>
      </c>
      <c r="Y864" s="1">
        <v>8</v>
      </c>
    </row>
    <row r="865" spans="1:25" x14ac:dyDescent="0.3">
      <c r="A865" s="1" t="s">
        <v>1879</v>
      </c>
      <c r="B865" s="1" t="s">
        <v>166</v>
      </c>
      <c r="C865" s="1" t="s">
        <v>167</v>
      </c>
      <c r="D865" s="1" t="s">
        <v>59</v>
      </c>
      <c r="E865" s="1" t="s">
        <v>40</v>
      </c>
      <c r="F865" s="1" t="s">
        <v>48</v>
      </c>
      <c r="G865" s="2">
        <v>227.44</v>
      </c>
      <c r="H865" s="1">
        <v>25</v>
      </c>
      <c r="I865" s="1">
        <v>138</v>
      </c>
      <c r="J865" s="1">
        <v>117</v>
      </c>
      <c r="K865" s="1">
        <v>106</v>
      </c>
      <c r="L865" s="1">
        <v>88</v>
      </c>
      <c r="M865" s="1" t="s">
        <v>31</v>
      </c>
      <c r="N865" s="1" t="s">
        <v>42</v>
      </c>
      <c r="O865" t="s">
        <v>260</v>
      </c>
      <c r="P865" s="2">
        <v>159.21</v>
      </c>
      <c r="Q865" s="1" t="str">
        <f>IF(J104&gt;K104,"YES","NO")</f>
        <v>YES</v>
      </c>
      <c r="R865" s="2">
        <f>IF(Q104="YES",G104*0.9,G104)</f>
        <v>204.696</v>
      </c>
      <c r="S865" s="2">
        <f>J104*G104</f>
        <v>26610.48</v>
      </c>
      <c r="T865" s="1">
        <f ca="1">TODAY()-DATE(MID(O104,7,4),MID(O104,4,2),LEFT(O104,2))</f>
        <v>70</v>
      </c>
      <c r="U865" s="1" t="s">
        <v>34</v>
      </c>
      <c r="V865" s="1" t="s">
        <v>34</v>
      </c>
      <c r="W865" s="1" t="s">
        <v>34</v>
      </c>
      <c r="X865" t="s">
        <v>2740</v>
      </c>
      <c r="Y865" s="1">
        <v>7</v>
      </c>
    </row>
    <row r="866" spans="1:25" x14ac:dyDescent="0.3">
      <c r="A866" s="1" t="s">
        <v>1880</v>
      </c>
      <c r="B866" s="1" t="s">
        <v>111</v>
      </c>
      <c r="C866" s="1" t="s">
        <v>112</v>
      </c>
      <c r="D866" s="1" t="s">
        <v>97</v>
      </c>
      <c r="E866" s="1" t="s">
        <v>40</v>
      </c>
      <c r="F866" s="1" t="s">
        <v>54</v>
      </c>
      <c r="G866" s="2">
        <v>233.23</v>
      </c>
      <c r="H866" s="1">
        <v>11</v>
      </c>
      <c r="I866" s="1">
        <v>149</v>
      </c>
      <c r="J866" s="1">
        <v>125</v>
      </c>
      <c r="K866" s="1">
        <v>106</v>
      </c>
      <c r="L866" s="1">
        <v>50</v>
      </c>
      <c r="M866" s="1" t="s">
        <v>31</v>
      </c>
      <c r="N866" s="1" t="s">
        <v>60</v>
      </c>
      <c r="O866" t="s">
        <v>217</v>
      </c>
      <c r="P866" s="2">
        <v>163.26</v>
      </c>
      <c r="Q866" s="1" t="str">
        <f>IF(J334&gt;K334,"YES","NO")</f>
        <v>YES</v>
      </c>
      <c r="R866" s="2">
        <f>IF(Q334="YES",G334*0.9,G334)</f>
        <v>209.90699999999998</v>
      </c>
      <c r="S866" s="2">
        <f>J334*G334</f>
        <v>29153.75</v>
      </c>
      <c r="T866" s="1">
        <f ca="1">TODAY()-DATE(MID(O334,7,4),MID(O334,4,2),LEFT(O334,2))</f>
        <v>100</v>
      </c>
      <c r="U866" s="1" t="s">
        <v>34</v>
      </c>
      <c r="V866" s="1" t="s">
        <v>34</v>
      </c>
      <c r="W866" s="1" t="s">
        <v>34</v>
      </c>
      <c r="X866" t="s">
        <v>2516</v>
      </c>
      <c r="Y866" s="1">
        <v>7</v>
      </c>
    </row>
    <row r="867" spans="1:25" x14ac:dyDescent="0.3">
      <c r="A867" s="1" t="s">
        <v>1881</v>
      </c>
      <c r="B867" s="1" t="s">
        <v>126</v>
      </c>
      <c r="C867" s="1" t="s">
        <v>127</v>
      </c>
      <c r="D867" s="1" t="s">
        <v>85</v>
      </c>
      <c r="E867" s="1" t="s">
        <v>74</v>
      </c>
      <c r="F867" s="1" t="s">
        <v>30</v>
      </c>
      <c r="G867" s="2">
        <v>313.02999999999997</v>
      </c>
      <c r="H867" s="1">
        <v>3</v>
      </c>
      <c r="I867" s="1">
        <v>297</v>
      </c>
      <c r="J867" s="1">
        <v>260</v>
      </c>
      <c r="K867" s="1">
        <v>59</v>
      </c>
      <c r="L867" s="1">
        <v>111</v>
      </c>
      <c r="M867" s="1" t="s">
        <v>31</v>
      </c>
      <c r="N867" s="1" t="s">
        <v>32</v>
      </c>
      <c r="O867" t="s">
        <v>35</v>
      </c>
      <c r="P867" s="2">
        <v>219.12</v>
      </c>
      <c r="Q867" s="1" t="str">
        <f>IF(J683&gt;K683,"YES","NO")</f>
        <v>YES</v>
      </c>
      <c r="R867" s="2">
        <f>IF(Q683="YES",G683*0.9,G683)</f>
        <v>281.72699999999998</v>
      </c>
      <c r="S867" s="2">
        <f>J683*G683</f>
        <v>81387.799999999988</v>
      </c>
      <c r="T867" s="1">
        <f ca="1">TODAY()-DATE(MID(O683,7,4),MID(O683,4,2),LEFT(O683,2))</f>
        <v>85</v>
      </c>
      <c r="U867" s="1" t="s">
        <v>34</v>
      </c>
      <c r="V867" s="1" t="s">
        <v>34</v>
      </c>
      <c r="W867" s="1" t="s">
        <v>34</v>
      </c>
      <c r="X867" t="s">
        <v>2873</v>
      </c>
      <c r="Y867" s="1">
        <v>6.5</v>
      </c>
    </row>
    <row r="868" spans="1:25" x14ac:dyDescent="0.3">
      <c r="A868" s="1" t="s">
        <v>1882</v>
      </c>
      <c r="B868" s="1" t="s">
        <v>69</v>
      </c>
      <c r="C868" s="1" t="s">
        <v>70</v>
      </c>
      <c r="D868" s="1" t="s">
        <v>59</v>
      </c>
      <c r="E868" s="1" t="s">
        <v>29</v>
      </c>
      <c r="F868" s="1" t="s">
        <v>30</v>
      </c>
      <c r="G868" s="2">
        <v>251.43</v>
      </c>
      <c r="H868" s="1">
        <v>23</v>
      </c>
      <c r="I868" s="1">
        <v>189</v>
      </c>
      <c r="J868" s="1">
        <v>179</v>
      </c>
      <c r="K868" s="1">
        <v>92</v>
      </c>
      <c r="L868" s="1">
        <v>76</v>
      </c>
      <c r="M868" s="1" t="s">
        <v>31</v>
      </c>
      <c r="N868" s="1" t="s">
        <v>42</v>
      </c>
      <c r="O868" t="s">
        <v>195</v>
      </c>
      <c r="P868" s="2">
        <v>176</v>
      </c>
      <c r="Q868" s="1" t="str">
        <f>IF(J159&gt;K159,"YES","NO")</f>
        <v>YES</v>
      </c>
      <c r="R868" s="2">
        <f>IF(Q159="YES",G159*0.9,G159)</f>
        <v>226.28700000000001</v>
      </c>
      <c r="S868" s="2">
        <f>J159*G159</f>
        <v>45005.97</v>
      </c>
      <c r="T868" s="1">
        <f ca="1">TODAY()-DATE(MID(O159,7,4),MID(O159,4,2),LEFT(O159,2))</f>
        <v>63</v>
      </c>
      <c r="U868" s="1" t="s">
        <v>34</v>
      </c>
      <c r="V868" s="1" t="s">
        <v>34</v>
      </c>
      <c r="W868" s="1" t="s">
        <v>34</v>
      </c>
      <c r="X868" t="s">
        <v>2649</v>
      </c>
      <c r="Y868" s="1">
        <v>9.5</v>
      </c>
    </row>
    <row r="869" spans="1:25" x14ac:dyDescent="0.3">
      <c r="A869" s="1" t="s">
        <v>1883</v>
      </c>
      <c r="B869" s="1" t="s">
        <v>111</v>
      </c>
      <c r="C869" s="1" t="s">
        <v>112</v>
      </c>
      <c r="D869" s="1" t="s">
        <v>97</v>
      </c>
      <c r="E869" s="1" t="s">
        <v>74</v>
      </c>
      <c r="F869" s="1" t="s">
        <v>30</v>
      </c>
      <c r="G869" s="2">
        <v>495.59</v>
      </c>
      <c r="H869" s="1">
        <v>9</v>
      </c>
      <c r="I869" s="1">
        <v>253</v>
      </c>
      <c r="J869" s="1">
        <v>250</v>
      </c>
      <c r="K869" s="1">
        <v>76</v>
      </c>
      <c r="L869" s="1">
        <v>79</v>
      </c>
      <c r="M869" s="1" t="s">
        <v>31</v>
      </c>
      <c r="N869" s="1" t="s">
        <v>42</v>
      </c>
      <c r="O869" t="s">
        <v>207</v>
      </c>
      <c r="P869" s="2">
        <v>346.91</v>
      </c>
      <c r="Q869" s="1" t="str">
        <f>IF(J120&gt;K120,"YES","NO")</f>
        <v>YES</v>
      </c>
      <c r="R869" s="2">
        <f>IF(Q120="YES",G120*0.9,G120)</f>
        <v>446.03100000000001</v>
      </c>
      <c r="S869" s="2">
        <f>J120*G120</f>
        <v>123897.5</v>
      </c>
      <c r="T869" s="1">
        <f ca="1">TODAY()-DATE(MID(O120,7,4),MID(O120,4,2),LEFT(O120,2))</f>
        <v>98</v>
      </c>
      <c r="U869" s="1" t="s">
        <v>34</v>
      </c>
      <c r="V869" s="1" t="s">
        <v>34</v>
      </c>
      <c r="W869" s="1" t="s">
        <v>34</v>
      </c>
      <c r="X869" t="s">
        <v>2587</v>
      </c>
      <c r="Y869" s="1">
        <v>5</v>
      </c>
    </row>
    <row r="870" spans="1:25" x14ac:dyDescent="0.3">
      <c r="A870" s="1" t="s">
        <v>1884</v>
      </c>
      <c r="B870" s="1" t="s">
        <v>102</v>
      </c>
      <c r="C870" s="1" t="s">
        <v>103</v>
      </c>
      <c r="D870" s="1" t="s">
        <v>104</v>
      </c>
      <c r="E870" s="1" t="s">
        <v>74</v>
      </c>
      <c r="F870" s="1" t="s">
        <v>54</v>
      </c>
      <c r="G870" s="2">
        <v>218.43</v>
      </c>
      <c r="H870" s="1">
        <v>20</v>
      </c>
      <c r="I870" s="1">
        <v>290</v>
      </c>
      <c r="J870" s="1">
        <v>270</v>
      </c>
      <c r="K870" s="1">
        <v>81</v>
      </c>
      <c r="L870" s="1">
        <v>96</v>
      </c>
      <c r="M870" s="1" t="s">
        <v>49</v>
      </c>
      <c r="N870" s="1" t="s">
        <v>42</v>
      </c>
      <c r="O870" t="s">
        <v>98</v>
      </c>
      <c r="P870" s="2">
        <v>152.9</v>
      </c>
      <c r="Q870" s="1" t="str">
        <f>IF(J682&gt;K682,"YES","NO")</f>
        <v>YES</v>
      </c>
      <c r="R870" s="2">
        <f>IF(Q682="YES",G682*0.9,G682)</f>
        <v>196.58700000000002</v>
      </c>
      <c r="S870" s="2">
        <f>J682*G682</f>
        <v>58976.1</v>
      </c>
      <c r="T870" s="1">
        <f ca="1">TODAY()-DATE(MID(O682,7,4),MID(O682,4,2),LEFT(O682,2))</f>
        <v>96</v>
      </c>
      <c r="U870" s="1" t="s">
        <v>34</v>
      </c>
      <c r="V870" s="1" t="s">
        <v>34</v>
      </c>
      <c r="W870" s="1" t="s">
        <v>34</v>
      </c>
      <c r="X870" t="s">
        <v>2691</v>
      </c>
      <c r="Y870" s="1">
        <v>6</v>
      </c>
    </row>
    <row r="871" spans="1:25" x14ac:dyDescent="0.3">
      <c r="A871" s="1" t="s">
        <v>1885</v>
      </c>
      <c r="B871" s="1" t="s">
        <v>111</v>
      </c>
      <c r="C871" s="1" t="s">
        <v>112</v>
      </c>
      <c r="D871" s="1" t="s">
        <v>97</v>
      </c>
      <c r="E871" s="1" t="s">
        <v>74</v>
      </c>
      <c r="F871" s="1" t="s">
        <v>30</v>
      </c>
      <c r="G871" s="2">
        <v>52.21</v>
      </c>
      <c r="H871" s="1">
        <v>15</v>
      </c>
      <c r="I871" s="1">
        <v>114</v>
      </c>
      <c r="J871" s="1">
        <v>96</v>
      </c>
      <c r="K871" s="1">
        <v>115</v>
      </c>
      <c r="L871" s="1">
        <v>51</v>
      </c>
      <c r="M871" s="1" t="s">
        <v>49</v>
      </c>
      <c r="N871" s="1" t="s">
        <v>60</v>
      </c>
      <c r="O871" t="s">
        <v>289</v>
      </c>
      <c r="P871" s="2">
        <v>36.549999999999997</v>
      </c>
      <c r="Q871" s="1" t="str">
        <f>IF(J567&gt;K567,"YES","NO")</f>
        <v>NO</v>
      </c>
      <c r="R871" s="2">
        <f>IF(Q567="YES",G567*0.9,G567)</f>
        <v>52.21</v>
      </c>
      <c r="S871" s="2">
        <f>J567*G567</f>
        <v>5012.16</v>
      </c>
      <c r="T871" s="1">
        <f ca="1">TODAY()-DATE(MID(O567,7,4),MID(O567,4,2),LEFT(O567,2))</f>
        <v>92</v>
      </c>
      <c r="U871" s="1" t="s">
        <v>34</v>
      </c>
      <c r="V871" s="1" t="s">
        <v>34</v>
      </c>
      <c r="W871" s="1" t="s">
        <v>34</v>
      </c>
      <c r="X871" t="s">
        <v>2533</v>
      </c>
      <c r="Y871" s="1">
        <v>8.5</v>
      </c>
    </row>
    <row r="872" spans="1:25" x14ac:dyDescent="0.3">
      <c r="A872" s="1" t="s">
        <v>1886</v>
      </c>
      <c r="B872" s="1" t="s">
        <v>123</v>
      </c>
      <c r="C872" s="1" t="s">
        <v>124</v>
      </c>
      <c r="D872" s="1" t="s">
        <v>47</v>
      </c>
      <c r="E872" s="1" t="s">
        <v>74</v>
      </c>
      <c r="F872" s="1" t="s">
        <v>48</v>
      </c>
      <c r="G872" s="2">
        <v>486.44</v>
      </c>
      <c r="H872" s="1">
        <v>13</v>
      </c>
      <c r="I872" s="1">
        <v>238</v>
      </c>
      <c r="J872" s="1">
        <v>238</v>
      </c>
      <c r="K872" s="1">
        <v>118</v>
      </c>
      <c r="L872" s="1">
        <v>84</v>
      </c>
      <c r="M872" s="1" t="s">
        <v>41</v>
      </c>
      <c r="N872" s="1" t="s">
        <v>32</v>
      </c>
      <c r="O872" t="s">
        <v>220</v>
      </c>
      <c r="P872" s="2">
        <v>340.51</v>
      </c>
      <c r="Q872" s="1" t="str">
        <f>IF(J205&gt;K205,"YES","NO")</f>
        <v>YES</v>
      </c>
      <c r="R872" s="2">
        <f>IF(Q205="YES",G205*0.9,G205)</f>
        <v>437.79599999999999</v>
      </c>
      <c r="S872" s="2">
        <f>J205*G205</f>
        <v>115772.72</v>
      </c>
      <c r="T872" s="1">
        <f ca="1">TODAY()-DATE(MID(O205,7,4),MID(O205,4,2),LEFT(O205,2))</f>
        <v>106</v>
      </c>
      <c r="U872" s="1" t="s">
        <v>34</v>
      </c>
      <c r="V872" s="1" t="s">
        <v>34</v>
      </c>
      <c r="W872" s="1" t="s">
        <v>34</v>
      </c>
      <c r="X872" t="s">
        <v>2884</v>
      </c>
      <c r="Y872" s="1">
        <v>7.5</v>
      </c>
    </row>
    <row r="873" spans="1:25" x14ac:dyDescent="0.3">
      <c r="A873" s="1" t="s">
        <v>1887</v>
      </c>
      <c r="B873" s="1" t="s">
        <v>197</v>
      </c>
      <c r="C873" s="1" t="s">
        <v>198</v>
      </c>
      <c r="D873" s="1" t="s">
        <v>104</v>
      </c>
      <c r="E873" s="1" t="s">
        <v>40</v>
      </c>
      <c r="F873" s="1" t="s">
        <v>30</v>
      </c>
      <c r="G873" s="2">
        <v>298.14</v>
      </c>
      <c r="H873" s="1">
        <v>22</v>
      </c>
      <c r="I873" s="1">
        <v>255</v>
      </c>
      <c r="J873" s="1">
        <v>241</v>
      </c>
      <c r="K873" s="1">
        <v>99</v>
      </c>
      <c r="L873" s="1">
        <v>56</v>
      </c>
      <c r="M873" s="1" t="s">
        <v>49</v>
      </c>
      <c r="N873" s="1" t="s">
        <v>32</v>
      </c>
      <c r="O873" t="s">
        <v>333</v>
      </c>
      <c r="P873" s="2">
        <v>208.7</v>
      </c>
      <c r="Q873" s="1" t="str">
        <f>IF(J450&gt;K450,"YES","NO")</f>
        <v>YES</v>
      </c>
      <c r="R873" s="2">
        <f>IF(Q450="YES",G450*0.9,G450)</f>
        <v>268.32600000000002</v>
      </c>
      <c r="S873" s="2">
        <f>J450*G450</f>
        <v>71851.739999999991</v>
      </c>
      <c r="T873" s="1">
        <f ca="1">TODAY()-DATE(MID(O450,7,4),MID(O450,4,2),LEFT(O450,2))</f>
        <v>109</v>
      </c>
      <c r="U873" s="1" t="s">
        <v>34</v>
      </c>
      <c r="V873" s="1" t="s">
        <v>34</v>
      </c>
      <c r="W873" s="1" t="s">
        <v>34</v>
      </c>
      <c r="X873" t="s">
        <v>2885</v>
      </c>
      <c r="Y873" s="1">
        <v>5</v>
      </c>
    </row>
    <row r="874" spans="1:25" x14ac:dyDescent="0.3">
      <c r="A874" s="1" t="s">
        <v>1888</v>
      </c>
      <c r="B874" s="1" t="s">
        <v>118</v>
      </c>
      <c r="C874" s="1" t="s">
        <v>119</v>
      </c>
      <c r="D874" s="1" t="s">
        <v>97</v>
      </c>
      <c r="E874" s="1" t="s">
        <v>74</v>
      </c>
      <c r="F874" s="1" t="s">
        <v>30</v>
      </c>
      <c r="G874" s="2">
        <v>124.7</v>
      </c>
      <c r="H874" s="1">
        <v>23</v>
      </c>
      <c r="I874" s="1">
        <v>223</v>
      </c>
      <c r="J874" s="1">
        <v>221</v>
      </c>
      <c r="K874" s="1">
        <v>78</v>
      </c>
      <c r="L874" s="1">
        <v>77</v>
      </c>
      <c r="M874" s="1" t="s">
        <v>41</v>
      </c>
      <c r="N874" s="1" t="s">
        <v>60</v>
      </c>
      <c r="O874" t="s">
        <v>50</v>
      </c>
      <c r="P874" s="2">
        <v>87.29</v>
      </c>
      <c r="Q874" s="1" t="str">
        <f>IF(J25&gt;K25,"YES","NO")</f>
        <v>YES</v>
      </c>
      <c r="R874" s="2">
        <f>IF(Q25="YES",G25*0.9,G25)</f>
        <v>112.23</v>
      </c>
      <c r="S874" s="2">
        <f>J25*G25</f>
        <v>27558.7</v>
      </c>
      <c r="T874" s="1">
        <f ca="1">TODAY()-DATE(MID(O25,7,4),MID(O25,4,2),LEFT(O25,2))</f>
        <v>114</v>
      </c>
      <c r="U874" s="1" t="s">
        <v>34</v>
      </c>
      <c r="V874" s="1" t="s">
        <v>34</v>
      </c>
      <c r="W874" s="1" t="s">
        <v>34</v>
      </c>
      <c r="X874" t="s">
        <v>2778</v>
      </c>
      <c r="Y874" s="1">
        <v>7.5</v>
      </c>
    </row>
    <row r="875" spans="1:25" x14ac:dyDescent="0.3">
      <c r="A875" s="1" t="s">
        <v>1889</v>
      </c>
      <c r="B875" s="1" t="s">
        <v>45</v>
      </c>
      <c r="C875" s="1" t="s">
        <v>46</v>
      </c>
      <c r="D875" s="1" t="s">
        <v>47</v>
      </c>
      <c r="E875" s="1" t="s">
        <v>74</v>
      </c>
      <c r="F875" s="1" t="s">
        <v>54</v>
      </c>
      <c r="G875" s="2">
        <v>346.66</v>
      </c>
      <c r="H875" s="1">
        <v>10</v>
      </c>
      <c r="I875" s="1">
        <v>197</v>
      </c>
      <c r="J875" s="1">
        <v>187</v>
      </c>
      <c r="K875" s="1">
        <v>118</v>
      </c>
      <c r="L875" s="1">
        <v>82</v>
      </c>
      <c r="M875" s="1" t="s">
        <v>41</v>
      </c>
      <c r="N875" s="1" t="s">
        <v>60</v>
      </c>
      <c r="O875" t="s">
        <v>135</v>
      </c>
      <c r="P875" s="2">
        <v>242.66</v>
      </c>
      <c r="Q875" s="1" t="str">
        <f>IF(J30&gt;K30,"YES","NO")</f>
        <v>YES</v>
      </c>
      <c r="R875" s="2">
        <f>IF(Q30="YES",G30*0.9,G30)</f>
        <v>311.99400000000003</v>
      </c>
      <c r="S875" s="2">
        <f>J30*G30</f>
        <v>64825.420000000006</v>
      </c>
      <c r="T875" s="1">
        <f ca="1">TODAY()-DATE(MID(O30,7,4),MID(O30,4,2),LEFT(O30,2))</f>
        <v>71</v>
      </c>
      <c r="U875" s="1" t="s">
        <v>34</v>
      </c>
      <c r="V875" s="1" t="s">
        <v>34</v>
      </c>
      <c r="W875" s="1" t="s">
        <v>34</v>
      </c>
      <c r="X875" t="s">
        <v>2784</v>
      </c>
      <c r="Y875" s="1">
        <v>5</v>
      </c>
    </row>
    <row r="876" spans="1:25" x14ac:dyDescent="0.3">
      <c r="A876" s="1" t="s">
        <v>1890</v>
      </c>
      <c r="B876" s="1" t="s">
        <v>166</v>
      </c>
      <c r="C876" s="1" t="s">
        <v>167</v>
      </c>
      <c r="D876" s="1" t="s">
        <v>59</v>
      </c>
      <c r="E876" s="1" t="s">
        <v>40</v>
      </c>
      <c r="F876" s="1" t="s">
        <v>54</v>
      </c>
      <c r="G876" s="2">
        <v>331.04</v>
      </c>
      <c r="H876" s="1">
        <v>20</v>
      </c>
      <c r="I876" s="1">
        <v>198</v>
      </c>
      <c r="J876" s="1">
        <v>159</v>
      </c>
      <c r="K876" s="1">
        <v>68</v>
      </c>
      <c r="L876" s="1">
        <v>60</v>
      </c>
      <c r="M876" s="1" t="s">
        <v>31</v>
      </c>
      <c r="N876" s="1" t="s">
        <v>42</v>
      </c>
      <c r="O876" t="s">
        <v>473</v>
      </c>
      <c r="P876" s="2">
        <v>231.73</v>
      </c>
      <c r="Q876" s="1" t="str">
        <f>IF(J519&gt;K519,"YES","NO")</f>
        <v>YES</v>
      </c>
      <c r="R876" s="2">
        <f>IF(Q519="YES",G519*0.9,G519)</f>
        <v>297.93600000000004</v>
      </c>
      <c r="S876" s="2">
        <f>J519*G519</f>
        <v>52635.360000000001</v>
      </c>
      <c r="T876" s="1">
        <f ca="1">TODAY()-DATE(MID(O519,7,4),MID(O519,4,2),LEFT(O519,2))</f>
        <v>146</v>
      </c>
      <c r="U876" s="1" t="s">
        <v>34</v>
      </c>
      <c r="V876" s="1" t="s">
        <v>34</v>
      </c>
      <c r="W876" s="1" t="s">
        <v>34</v>
      </c>
      <c r="X876" t="s">
        <v>2523</v>
      </c>
      <c r="Y876" s="1">
        <v>9.5</v>
      </c>
    </row>
    <row r="877" spans="1:25" x14ac:dyDescent="0.3">
      <c r="A877" s="1" t="s">
        <v>1891</v>
      </c>
      <c r="B877" s="1" t="s">
        <v>83</v>
      </c>
      <c r="C877" s="1" t="s">
        <v>84</v>
      </c>
      <c r="D877" s="1" t="s">
        <v>85</v>
      </c>
      <c r="E877" s="1" t="s">
        <v>29</v>
      </c>
      <c r="F877" s="1" t="s">
        <v>30</v>
      </c>
      <c r="G877" s="2">
        <v>299.13</v>
      </c>
      <c r="H877" s="1">
        <v>10</v>
      </c>
      <c r="I877" s="1">
        <v>223</v>
      </c>
      <c r="J877" s="1">
        <v>192</v>
      </c>
      <c r="K877" s="1">
        <v>49</v>
      </c>
      <c r="L877" s="1">
        <v>134</v>
      </c>
      <c r="M877" s="1" t="s">
        <v>49</v>
      </c>
      <c r="N877" s="1" t="s">
        <v>42</v>
      </c>
      <c r="O877" t="s">
        <v>81</v>
      </c>
      <c r="P877" s="2">
        <v>209.39</v>
      </c>
      <c r="Q877" s="1" t="str">
        <f>IF(J705&gt;K705,"YES","NO")</f>
        <v>YES</v>
      </c>
      <c r="R877" s="2">
        <f>IF(Q705="YES",G705*0.9,G705)</f>
        <v>269.21699999999998</v>
      </c>
      <c r="S877" s="2">
        <f>J705*G705</f>
        <v>57432.959999999999</v>
      </c>
      <c r="T877" s="1">
        <f ca="1">TODAY()-DATE(MID(O705,7,4),MID(O705,4,2),LEFT(O705,2))</f>
        <v>81</v>
      </c>
      <c r="U877" s="1" t="s">
        <v>34</v>
      </c>
      <c r="V877" s="1" t="s">
        <v>34</v>
      </c>
      <c r="W877" s="1" t="s">
        <v>34</v>
      </c>
      <c r="X877" t="s">
        <v>2757</v>
      </c>
      <c r="Y877" s="1">
        <v>7.5</v>
      </c>
    </row>
    <row r="878" spans="1:25" x14ac:dyDescent="0.3">
      <c r="A878" s="1" t="s">
        <v>1892</v>
      </c>
      <c r="B878" s="1" t="s">
        <v>118</v>
      </c>
      <c r="C878" s="1" t="s">
        <v>119</v>
      </c>
      <c r="D878" s="1" t="s">
        <v>97</v>
      </c>
      <c r="E878" s="1" t="s">
        <v>40</v>
      </c>
      <c r="F878" s="1" t="s">
        <v>48</v>
      </c>
      <c r="G878" s="2">
        <v>399.95</v>
      </c>
      <c r="H878" s="1">
        <v>0</v>
      </c>
      <c r="I878" s="1">
        <v>233</v>
      </c>
      <c r="J878" s="1">
        <v>205</v>
      </c>
      <c r="K878" s="1">
        <v>42</v>
      </c>
      <c r="L878" s="1">
        <v>97</v>
      </c>
      <c r="M878" s="1" t="s">
        <v>31</v>
      </c>
      <c r="N878" s="1" t="s">
        <v>60</v>
      </c>
      <c r="O878" t="s">
        <v>361</v>
      </c>
      <c r="P878" s="2">
        <v>279.95999999999998</v>
      </c>
      <c r="Q878" s="1" t="str">
        <f>IF(J662&gt;K662,"YES","NO")</f>
        <v>YES</v>
      </c>
      <c r="R878" s="2">
        <f>IF(Q662="YES",G662*0.9,G662)</f>
        <v>359.95499999999998</v>
      </c>
      <c r="S878" s="2">
        <f>J662*G662</f>
        <v>81989.75</v>
      </c>
      <c r="T878" s="1">
        <f ca="1">TODAY()-DATE(MID(O662,7,4),MID(O662,4,2),LEFT(O662,2))</f>
        <v>99</v>
      </c>
      <c r="U878" s="1" t="s">
        <v>34</v>
      </c>
      <c r="V878" s="1" t="s">
        <v>34</v>
      </c>
      <c r="W878" s="1" t="s">
        <v>34</v>
      </c>
      <c r="X878" t="s">
        <v>2709</v>
      </c>
      <c r="Y878" s="1">
        <v>6</v>
      </c>
    </row>
    <row r="879" spans="1:25" x14ac:dyDescent="0.3">
      <c r="A879" s="1" t="s">
        <v>1893</v>
      </c>
      <c r="B879" s="1" t="s">
        <v>37</v>
      </c>
      <c r="C879" s="1" t="s">
        <v>38</v>
      </c>
      <c r="D879" s="1" t="s">
        <v>39</v>
      </c>
      <c r="E879" s="1" t="s">
        <v>74</v>
      </c>
      <c r="F879" s="1" t="s">
        <v>30</v>
      </c>
      <c r="G879" s="2">
        <v>291.08</v>
      </c>
      <c r="H879" s="1">
        <v>7</v>
      </c>
      <c r="I879" s="1">
        <v>207</v>
      </c>
      <c r="J879" s="1">
        <v>167</v>
      </c>
      <c r="K879" s="1">
        <v>117</v>
      </c>
      <c r="L879" s="1">
        <v>124</v>
      </c>
      <c r="M879" s="1" t="s">
        <v>49</v>
      </c>
      <c r="N879" s="1" t="s">
        <v>60</v>
      </c>
      <c r="O879" t="s">
        <v>67</v>
      </c>
      <c r="P879" s="2">
        <v>203.76</v>
      </c>
      <c r="Q879" s="1" t="str">
        <f>IF(J761&gt;K761,"YES","NO")</f>
        <v>YES</v>
      </c>
      <c r="R879" s="2">
        <f>IF(Q761="YES",G761*0.9,G761)</f>
        <v>261.97199999999998</v>
      </c>
      <c r="S879" s="2">
        <f>J761*G761</f>
        <v>48610.36</v>
      </c>
      <c r="T879" s="1">
        <f ca="1">TODAY()-DATE(MID(O761,7,4),MID(O761,4,2),LEFT(O761,2))</f>
        <v>97</v>
      </c>
      <c r="U879" s="1" t="s">
        <v>34</v>
      </c>
      <c r="V879" s="1" t="s">
        <v>34</v>
      </c>
      <c r="W879" s="1" t="s">
        <v>34</v>
      </c>
      <c r="X879" t="s">
        <v>2747</v>
      </c>
      <c r="Y879" s="1">
        <v>5.5</v>
      </c>
    </row>
    <row r="880" spans="1:25" x14ac:dyDescent="0.3">
      <c r="A880" s="1" t="s">
        <v>1894</v>
      </c>
      <c r="B880" s="1" t="s">
        <v>45</v>
      </c>
      <c r="C880" s="1" t="s">
        <v>46</v>
      </c>
      <c r="D880" s="1" t="s">
        <v>47</v>
      </c>
      <c r="E880" s="1" t="s">
        <v>40</v>
      </c>
      <c r="F880" s="1" t="s">
        <v>30</v>
      </c>
      <c r="G880" s="2">
        <v>363.19</v>
      </c>
      <c r="H880" s="1">
        <v>13</v>
      </c>
      <c r="I880" s="1">
        <v>172</v>
      </c>
      <c r="J880" s="1">
        <v>140</v>
      </c>
      <c r="K880" s="1">
        <v>90</v>
      </c>
      <c r="L880" s="1">
        <v>149</v>
      </c>
      <c r="M880" s="1" t="s">
        <v>31</v>
      </c>
      <c r="N880" s="1" t="s">
        <v>60</v>
      </c>
      <c r="O880" t="s">
        <v>81</v>
      </c>
      <c r="P880" s="2">
        <v>254.23</v>
      </c>
      <c r="Q880" s="1" t="str">
        <f>IF(J775&gt;K775,"YES","NO")</f>
        <v>YES</v>
      </c>
      <c r="R880" s="2">
        <f>IF(Q775="YES",G775*0.9,G775)</f>
        <v>326.87099999999998</v>
      </c>
      <c r="S880" s="2">
        <f>J775*G775</f>
        <v>50846.6</v>
      </c>
      <c r="T880" s="1">
        <f ca="1">TODAY()-DATE(MID(O775,7,4),MID(O775,4,2),LEFT(O775,2))</f>
        <v>81</v>
      </c>
      <c r="U880" s="1" t="s">
        <v>34</v>
      </c>
      <c r="V880" s="1" t="s">
        <v>34</v>
      </c>
      <c r="W880" s="1" t="s">
        <v>34</v>
      </c>
      <c r="X880" t="s">
        <v>2746</v>
      </c>
      <c r="Y880" s="1">
        <v>7.5</v>
      </c>
    </row>
    <row r="881" spans="1:25" x14ac:dyDescent="0.3">
      <c r="A881" s="1" t="s">
        <v>1895</v>
      </c>
      <c r="B881" s="1" t="s">
        <v>262</v>
      </c>
      <c r="C881" s="1" t="s">
        <v>263</v>
      </c>
      <c r="D881" s="1" t="s">
        <v>104</v>
      </c>
      <c r="E881" s="1" t="s">
        <v>74</v>
      </c>
      <c r="F881" s="1" t="s">
        <v>30</v>
      </c>
      <c r="G881" s="2">
        <v>237.79</v>
      </c>
      <c r="H881" s="1">
        <v>12</v>
      </c>
      <c r="I881" s="1">
        <v>213</v>
      </c>
      <c r="J881" s="1">
        <v>184</v>
      </c>
      <c r="K881" s="1">
        <v>47</v>
      </c>
      <c r="L881" s="1">
        <v>108</v>
      </c>
      <c r="M881" s="1" t="s">
        <v>49</v>
      </c>
      <c r="N881" s="1" t="s">
        <v>32</v>
      </c>
      <c r="O881" t="s">
        <v>264</v>
      </c>
      <c r="P881" s="2">
        <v>166.45</v>
      </c>
      <c r="Q881" s="1" t="str">
        <f>IF(J105&gt;K105,"YES","NO")</f>
        <v>YES</v>
      </c>
      <c r="R881" s="2">
        <f>IF(Q105="YES",G105*0.9,G105)</f>
        <v>214.011</v>
      </c>
      <c r="S881" s="2">
        <f>J105*G105</f>
        <v>43753.36</v>
      </c>
      <c r="T881" s="1">
        <f ca="1">TODAY()-DATE(MID(O105,7,4),MID(O105,4,2),LEFT(O105,2))</f>
        <v>84</v>
      </c>
      <c r="U881" s="1" t="s">
        <v>34</v>
      </c>
      <c r="V881" s="1" t="s">
        <v>34</v>
      </c>
      <c r="W881" s="1" t="s">
        <v>34</v>
      </c>
      <c r="X881" t="s">
        <v>2529</v>
      </c>
      <c r="Y881" s="1">
        <v>7.5</v>
      </c>
    </row>
    <row r="882" spans="1:25" x14ac:dyDescent="0.3">
      <c r="A882" s="1" t="s">
        <v>1896</v>
      </c>
      <c r="B882" s="1" t="s">
        <v>176</v>
      </c>
      <c r="C882" s="1" t="s">
        <v>177</v>
      </c>
      <c r="D882" s="1" t="s">
        <v>39</v>
      </c>
      <c r="E882" s="1" t="s">
        <v>29</v>
      </c>
      <c r="F882" s="1" t="s">
        <v>54</v>
      </c>
      <c r="G882" s="2">
        <v>216.92</v>
      </c>
      <c r="H882" s="1">
        <v>24</v>
      </c>
      <c r="I882" s="1">
        <v>268</v>
      </c>
      <c r="J882" s="1">
        <v>255</v>
      </c>
      <c r="K882" s="1">
        <v>94</v>
      </c>
      <c r="L882" s="1">
        <v>118</v>
      </c>
      <c r="M882" s="1" t="s">
        <v>31</v>
      </c>
      <c r="N882" s="1" t="s">
        <v>60</v>
      </c>
      <c r="O882" t="s">
        <v>311</v>
      </c>
      <c r="P882" s="2">
        <v>151.84</v>
      </c>
      <c r="Q882" s="1" t="str">
        <f>IF(J572&gt;K572,"YES","NO")</f>
        <v>YES</v>
      </c>
      <c r="R882" s="2">
        <f>IF(Q572="YES",G572*0.9,G572)</f>
        <v>195.22799999999998</v>
      </c>
      <c r="S882" s="2">
        <f>J572*G572</f>
        <v>55314.6</v>
      </c>
      <c r="T882" s="1">
        <f ca="1">TODAY()-DATE(MID(O572,7,4),MID(O572,4,2),LEFT(O572,2))</f>
        <v>80</v>
      </c>
      <c r="U882" s="1" t="s">
        <v>34</v>
      </c>
      <c r="V882" s="1" t="s">
        <v>34</v>
      </c>
      <c r="W882" s="1" t="s">
        <v>34</v>
      </c>
      <c r="X882" t="s">
        <v>2791</v>
      </c>
      <c r="Y882" s="1">
        <v>6</v>
      </c>
    </row>
    <row r="883" spans="1:25" x14ac:dyDescent="0.3">
      <c r="A883" s="1" t="s">
        <v>1897</v>
      </c>
      <c r="B883" s="1" t="s">
        <v>69</v>
      </c>
      <c r="C883" s="1" t="s">
        <v>70</v>
      </c>
      <c r="D883" s="1" t="s">
        <v>59</v>
      </c>
      <c r="E883" s="1" t="s">
        <v>74</v>
      </c>
      <c r="F883" s="1" t="s">
        <v>30</v>
      </c>
      <c r="G883" s="2">
        <v>277.22000000000003</v>
      </c>
      <c r="H883" s="1">
        <v>13</v>
      </c>
      <c r="I883" s="1">
        <v>100</v>
      </c>
      <c r="J883" s="1">
        <v>99</v>
      </c>
      <c r="K883" s="1">
        <v>98</v>
      </c>
      <c r="L883" s="1">
        <v>138</v>
      </c>
      <c r="M883" s="1" t="s">
        <v>31</v>
      </c>
      <c r="N883" s="1" t="s">
        <v>32</v>
      </c>
      <c r="O883" t="s">
        <v>289</v>
      </c>
      <c r="P883" s="2">
        <v>194.05</v>
      </c>
      <c r="Q883" s="1" t="str">
        <f>IF(J472&gt;K472,"YES","NO")</f>
        <v>YES</v>
      </c>
      <c r="R883" s="2">
        <f>IF(Q472="YES",G472*0.9,G472)</f>
        <v>249.49800000000002</v>
      </c>
      <c r="S883" s="2">
        <f>J472*G472</f>
        <v>27444.780000000002</v>
      </c>
      <c r="T883" s="1">
        <f ca="1">TODAY()-DATE(MID(O472,7,4),MID(O472,4,2),LEFT(O472,2))</f>
        <v>92</v>
      </c>
      <c r="U883" s="1" t="s">
        <v>34</v>
      </c>
      <c r="V883" s="1" t="s">
        <v>34</v>
      </c>
      <c r="W883" s="1" t="s">
        <v>34</v>
      </c>
      <c r="X883" t="s">
        <v>2579</v>
      </c>
      <c r="Y883" s="1">
        <v>6</v>
      </c>
    </row>
    <row r="884" spans="1:25" x14ac:dyDescent="0.3">
      <c r="A884" s="1" t="s">
        <v>1898</v>
      </c>
      <c r="B884" s="1" t="s">
        <v>172</v>
      </c>
      <c r="C884" s="1" t="s">
        <v>173</v>
      </c>
      <c r="D884" s="1" t="s">
        <v>132</v>
      </c>
      <c r="E884" s="1" t="s">
        <v>29</v>
      </c>
      <c r="F884" s="1" t="s">
        <v>54</v>
      </c>
      <c r="G884" s="2">
        <v>339.06</v>
      </c>
      <c r="H884" s="1">
        <v>9</v>
      </c>
      <c r="I884" s="1">
        <v>125</v>
      </c>
      <c r="J884" s="1">
        <v>121</v>
      </c>
      <c r="K884" s="1">
        <v>103</v>
      </c>
      <c r="L884" s="1">
        <v>122</v>
      </c>
      <c r="M884" s="1" t="s">
        <v>49</v>
      </c>
      <c r="N884" s="1" t="s">
        <v>60</v>
      </c>
      <c r="O884" t="s">
        <v>340</v>
      </c>
      <c r="P884" s="2">
        <v>237.34</v>
      </c>
      <c r="Q884" s="1" t="str">
        <f>IF(J175&gt;K175,"YES","NO")</f>
        <v>YES</v>
      </c>
      <c r="R884" s="2">
        <f>IF(Q175="YES",G175*0.9,G175)</f>
        <v>305.154</v>
      </c>
      <c r="S884" s="2">
        <f>J175*G175</f>
        <v>41026.26</v>
      </c>
      <c r="T884" s="1">
        <f ca="1">TODAY()-DATE(MID(O175,7,4),MID(O175,4,2),LEFT(O175,2))</f>
        <v>138</v>
      </c>
      <c r="U884" s="1" t="s">
        <v>34</v>
      </c>
      <c r="V884" s="1" t="s">
        <v>34</v>
      </c>
      <c r="W884" s="1" t="s">
        <v>34</v>
      </c>
      <c r="X884" t="s">
        <v>2849</v>
      </c>
      <c r="Y884" s="1">
        <v>7.5</v>
      </c>
    </row>
    <row r="885" spans="1:25" x14ac:dyDescent="0.3">
      <c r="A885" s="1" t="s">
        <v>1899</v>
      </c>
      <c r="B885" s="1" t="s">
        <v>83</v>
      </c>
      <c r="C885" s="1" t="s">
        <v>84</v>
      </c>
      <c r="D885" s="1" t="s">
        <v>85</v>
      </c>
      <c r="E885" s="1" t="s">
        <v>29</v>
      </c>
      <c r="F885" s="1" t="s">
        <v>30</v>
      </c>
      <c r="G885" s="2">
        <v>226.42</v>
      </c>
      <c r="H885" s="1">
        <v>4</v>
      </c>
      <c r="I885" s="1">
        <v>298</v>
      </c>
      <c r="J885" s="1">
        <v>280</v>
      </c>
      <c r="K885" s="1">
        <v>88</v>
      </c>
      <c r="L885" s="1">
        <v>95</v>
      </c>
      <c r="M885" s="1" t="s">
        <v>49</v>
      </c>
      <c r="N885" s="1" t="s">
        <v>60</v>
      </c>
      <c r="O885" t="s">
        <v>336</v>
      </c>
      <c r="P885" s="2">
        <v>158.49</v>
      </c>
      <c r="Q885" s="1" t="str">
        <f>IF(J176&gt;K176,"YES","NO")</f>
        <v>YES</v>
      </c>
      <c r="R885" s="2">
        <f>IF(Q176="YES",G176*0.9,G176)</f>
        <v>203.77799999999999</v>
      </c>
      <c r="S885" s="2">
        <f>J176*G176</f>
        <v>63397.599999999999</v>
      </c>
      <c r="T885" s="1">
        <f ca="1">TODAY()-DATE(MID(O176,7,4),MID(O176,4,2),LEFT(O176,2))</f>
        <v>131</v>
      </c>
      <c r="U885" s="1" t="s">
        <v>34</v>
      </c>
      <c r="V885" s="1" t="s">
        <v>34</v>
      </c>
      <c r="W885" s="1" t="s">
        <v>34</v>
      </c>
      <c r="X885" t="s">
        <v>2524</v>
      </c>
      <c r="Y885" s="1">
        <v>8</v>
      </c>
    </row>
    <row r="886" spans="1:25" x14ac:dyDescent="0.3">
      <c r="A886" s="1" t="s">
        <v>1900</v>
      </c>
      <c r="B886" s="1" t="s">
        <v>111</v>
      </c>
      <c r="C886" s="1" t="s">
        <v>112</v>
      </c>
      <c r="D886" s="1" t="s">
        <v>97</v>
      </c>
      <c r="E886" s="1" t="s">
        <v>74</v>
      </c>
      <c r="F886" s="1" t="s">
        <v>48</v>
      </c>
      <c r="G886" s="2">
        <v>438.33</v>
      </c>
      <c r="H886" s="1">
        <v>22</v>
      </c>
      <c r="I886" s="1">
        <v>164</v>
      </c>
      <c r="J886" s="1">
        <v>126</v>
      </c>
      <c r="K886" s="1">
        <v>94</v>
      </c>
      <c r="L886" s="1">
        <v>149</v>
      </c>
      <c r="M886" s="1" t="s">
        <v>49</v>
      </c>
      <c r="N886" s="1" t="s">
        <v>32</v>
      </c>
      <c r="O886" t="s">
        <v>333</v>
      </c>
      <c r="P886" s="2">
        <v>306.83</v>
      </c>
      <c r="Q886" s="1" t="str">
        <f>IF(J797&gt;K797,"YES","NO")</f>
        <v>YES</v>
      </c>
      <c r="R886" s="2">
        <f>IF(Q797="YES",G797*0.9,G797)</f>
        <v>394.49700000000001</v>
      </c>
      <c r="S886" s="2">
        <f>J797*G797</f>
        <v>55229.579999999994</v>
      </c>
      <c r="T886" s="1">
        <f ca="1">TODAY()-DATE(MID(O797,7,4),MID(O797,4,2),LEFT(O797,2))</f>
        <v>109</v>
      </c>
      <c r="U886" s="1" t="s">
        <v>34</v>
      </c>
      <c r="V886" s="1" t="s">
        <v>34</v>
      </c>
      <c r="W886" s="1" t="s">
        <v>34</v>
      </c>
      <c r="X886" t="s">
        <v>2789</v>
      </c>
      <c r="Y886" s="1">
        <v>8.5</v>
      </c>
    </row>
    <row r="887" spans="1:25" x14ac:dyDescent="0.3">
      <c r="A887" s="1" t="s">
        <v>1901</v>
      </c>
      <c r="B887" s="1" t="s">
        <v>77</v>
      </c>
      <c r="C887" s="1" t="s">
        <v>78</v>
      </c>
      <c r="D887" s="1" t="s">
        <v>47</v>
      </c>
      <c r="E887" s="1" t="s">
        <v>29</v>
      </c>
      <c r="F887" s="1" t="s">
        <v>30</v>
      </c>
      <c r="G887" s="2">
        <v>347.71</v>
      </c>
      <c r="H887" s="1">
        <v>3</v>
      </c>
      <c r="I887" s="1">
        <v>209</v>
      </c>
      <c r="J887" s="1">
        <v>195</v>
      </c>
      <c r="K887" s="1">
        <v>82</v>
      </c>
      <c r="L887" s="1">
        <v>125</v>
      </c>
      <c r="M887" s="1" t="s">
        <v>49</v>
      </c>
      <c r="N887" s="1" t="s">
        <v>60</v>
      </c>
      <c r="O887" t="s">
        <v>199</v>
      </c>
      <c r="P887" s="2">
        <v>243.4</v>
      </c>
      <c r="Q887" s="1" t="str">
        <f>IF(J616&gt;K616,"YES","NO")</f>
        <v>YES</v>
      </c>
      <c r="R887" s="2">
        <f>IF(Q616="YES",G616*0.9,G616)</f>
        <v>312.93899999999996</v>
      </c>
      <c r="S887" s="2">
        <f>J616*G616</f>
        <v>67803.45</v>
      </c>
      <c r="T887" s="1">
        <f ca="1">TODAY()-DATE(MID(O616,7,4),MID(O616,4,2),LEFT(O616,2))</f>
        <v>129</v>
      </c>
      <c r="U887" s="1" t="s">
        <v>34</v>
      </c>
      <c r="V887" s="1" t="s">
        <v>34</v>
      </c>
      <c r="W887" s="1" t="s">
        <v>34</v>
      </c>
      <c r="X887" t="s">
        <v>2870</v>
      </c>
      <c r="Y887" s="1">
        <v>8</v>
      </c>
    </row>
    <row r="888" spans="1:25" x14ac:dyDescent="0.3">
      <c r="A888" s="1" t="s">
        <v>1902</v>
      </c>
      <c r="B888" s="1" t="s">
        <v>299</v>
      </c>
      <c r="C888" s="1" t="s">
        <v>300</v>
      </c>
      <c r="D888" s="1" t="s">
        <v>39</v>
      </c>
      <c r="E888" s="1" t="s">
        <v>40</v>
      </c>
      <c r="F888" s="1" t="s">
        <v>48</v>
      </c>
      <c r="G888" s="2">
        <v>122.06</v>
      </c>
      <c r="H888" s="1">
        <v>5</v>
      </c>
      <c r="I888" s="1">
        <v>275</v>
      </c>
      <c r="J888" s="1">
        <v>263</v>
      </c>
      <c r="K888" s="1">
        <v>113</v>
      </c>
      <c r="L888" s="1">
        <v>142</v>
      </c>
      <c r="M888" s="1" t="s">
        <v>41</v>
      </c>
      <c r="N888" s="1" t="s">
        <v>32</v>
      </c>
      <c r="O888" t="s">
        <v>302</v>
      </c>
      <c r="P888" s="2">
        <v>85.44</v>
      </c>
      <c r="Q888" s="1" t="str">
        <f>IF(J296&gt;K296,"YES","NO")</f>
        <v>YES</v>
      </c>
      <c r="R888" s="2">
        <f>IF(Q296="YES",G296*0.9,G296)</f>
        <v>109.854</v>
      </c>
      <c r="S888" s="2">
        <f>J296*G296</f>
        <v>32101.78</v>
      </c>
      <c r="T888" s="1">
        <f ca="1">TODAY()-DATE(MID(O296,7,4),MID(O296,4,2),LEFT(O296,2))</f>
        <v>133</v>
      </c>
      <c r="U888" s="1" t="s">
        <v>34</v>
      </c>
      <c r="V888" s="1" t="s">
        <v>34</v>
      </c>
      <c r="W888" s="1" t="s">
        <v>34</v>
      </c>
      <c r="X888" t="s">
        <v>2812</v>
      </c>
      <c r="Y888" s="1">
        <v>8</v>
      </c>
    </row>
    <row r="889" spans="1:25" x14ac:dyDescent="0.3">
      <c r="A889" s="1" t="s">
        <v>1903</v>
      </c>
      <c r="B889" s="1" t="s">
        <v>166</v>
      </c>
      <c r="C889" s="1" t="s">
        <v>167</v>
      </c>
      <c r="D889" s="1" t="s">
        <v>59</v>
      </c>
      <c r="E889" s="1" t="s">
        <v>29</v>
      </c>
      <c r="F889" s="1" t="s">
        <v>54</v>
      </c>
      <c r="G889" s="2">
        <v>388.66</v>
      </c>
      <c r="H889" s="1">
        <v>25</v>
      </c>
      <c r="I889" s="1">
        <v>152</v>
      </c>
      <c r="J889" s="1">
        <v>120</v>
      </c>
      <c r="K889" s="1">
        <v>108</v>
      </c>
      <c r="L889" s="1">
        <v>148</v>
      </c>
      <c r="M889" s="1" t="s">
        <v>49</v>
      </c>
      <c r="N889" s="1" t="s">
        <v>60</v>
      </c>
      <c r="O889" t="s">
        <v>159</v>
      </c>
      <c r="P889" s="2">
        <v>272.06</v>
      </c>
      <c r="Q889" s="1" t="str">
        <f>IF(J708&gt;K708,"YES","NO")</f>
        <v>YES</v>
      </c>
      <c r="R889" s="2">
        <f>IF(Q708="YES",G708*0.9,G708)</f>
        <v>349.79400000000004</v>
      </c>
      <c r="S889" s="2">
        <f>J708*G708</f>
        <v>46639.200000000004</v>
      </c>
      <c r="T889" s="1">
        <f ca="1">TODAY()-DATE(MID(O708,7,4),MID(O708,4,2),LEFT(O708,2))</f>
        <v>134</v>
      </c>
      <c r="U889" s="1" t="s">
        <v>34</v>
      </c>
      <c r="V889" s="1" t="s">
        <v>34</v>
      </c>
      <c r="W889" s="1" t="s">
        <v>34</v>
      </c>
      <c r="X889" t="s">
        <v>2726</v>
      </c>
      <c r="Y889" s="1">
        <v>9</v>
      </c>
    </row>
    <row r="890" spans="1:25" x14ac:dyDescent="0.3">
      <c r="A890" s="1" t="s">
        <v>1904</v>
      </c>
      <c r="B890" s="1" t="s">
        <v>262</v>
      </c>
      <c r="C890" s="1" t="s">
        <v>263</v>
      </c>
      <c r="D890" s="1" t="s">
        <v>104</v>
      </c>
      <c r="E890" s="1" t="s">
        <v>40</v>
      </c>
      <c r="F890" s="1" t="s">
        <v>48</v>
      </c>
      <c r="G890" s="2">
        <v>411.14</v>
      </c>
      <c r="H890" s="1">
        <v>16</v>
      </c>
      <c r="I890" s="1">
        <v>112</v>
      </c>
      <c r="J890" s="1">
        <v>103</v>
      </c>
      <c r="K890" s="1">
        <v>43</v>
      </c>
      <c r="L890" s="1">
        <v>139</v>
      </c>
      <c r="M890" s="1" t="s">
        <v>31</v>
      </c>
      <c r="N890" s="1" t="s">
        <v>42</v>
      </c>
      <c r="O890" t="s">
        <v>65</v>
      </c>
      <c r="P890" s="2">
        <v>287.8</v>
      </c>
      <c r="Q890" s="1" t="str">
        <f>IF(J594&gt;K594,"YES","NO")</f>
        <v>YES</v>
      </c>
      <c r="R890" s="2">
        <f>IF(Q594="YES",G594*0.9,G594)</f>
        <v>370.02600000000001</v>
      </c>
      <c r="S890" s="2">
        <f>J594*G594</f>
        <v>42347.42</v>
      </c>
      <c r="T890" s="1">
        <f ca="1">TODAY()-DATE(MID(O594,7,4),MID(O594,4,2),LEFT(O594,2))</f>
        <v>142</v>
      </c>
      <c r="U890" s="1" t="s">
        <v>34</v>
      </c>
      <c r="V890" s="1" t="s">
        <v>34</v>
      </c>
      <c r="W890" s="1" t="s">
        <v>34</v>
      </c>
      <c r="X890" t="s">
        <v>2849</v>
      </c>
      <c r="Y890" s="1">
        <v>7</v>
      </c>
    </row>
    <row r="891" spans="1:25" x14ac:dyDescent="0.3">
      <c r="A891" s="1" t="s">
        <v>1905</v>
      </c>
      <c r="B891" s="1" t="s">
        <v>172</v>
      </c>
      <c r="C891" s="1" t="s">
        <v>173</v>
      </c>
      <c r="D891" s="1" t="s">
        <v>132</v>
      </c>
      <c r="E891" s="1" t="s">
        <v>40</v>
      </c>
      <c r="F891" s="1" t="s">
        <v>30</v>
      </c>
      <c r="G891" s="2">
        <v>443.79</v>
      </c>
      <c r="H891" s="1">
        <v>21</v>
      </c>
      <c r="I891" s="1">
        <v>162</v>
      </c>
      <c r="J891" s="1">
        <v>129</v>
      </c>
      <c r="K891" s="1">
        <v>53</v>
      </c>
      <c r="L891" s="1">
        <v>144</v>
      </c>
      <c r="M891" s="1" t="s">
        <v>41</v>
      </c>
      <c r="N891" s="1" t="s">
        <v>60</v>
      </c>
      <c r="O891" t="s">
        <v>220</v>
      </c>
      <c r="P891" s="2">
        <v>310.64999999999998</v>
      </c>
      <c r="Q891" s="1" t="str">
        <f>IF(J131&gt;K131,"YES","NO")</f>
        <v>YES</v>
      </c>
      <c r="R891" s="2">
        <f>IF(Q131="YES",G131*0.9,G131)</f>
        <v>399.411</v>
      </c>
      <c r="S891" s="2">
        <f>J131*G131</f>
        <v>57248.91</v>
      </c>
      <c r="T891" s="1">
        <f ca="1">TODAY()-DATE(MID(O131,7,4),MID(O131,4,2),LEFT(O131,2))</f>
        <v>106</v>
      </c>
      <c r="U891" s="1" t="s">
        <v>34</v>
      </c>
      <c r="V891" s="1" t="s">
        <v>34</v>
      </c>
      <c r="W891" s="1" t="s">
        <v>34</v>
      </c>
      <c r="X891" t="s">
        <v>2837</v>
      </c>
      <c r="Y891" s="1">
        <v>5.5</v>
      </c>
    </row>
    <row r="892" spans="1:25" x14ac:dyDescent="0.3">
      <c r="A892" s="1" t="s">
        <v>1906</v>
      </c>
      <c r="B892" s="1" t="s">
        <v>102</v>
      </c>
      <c r="C892" s="1" t="s">
        <v>103</v>
      </c>
      <c r="D892" s="1" t="s">
        <v>104</v>
      </c>
      <c r="E892" s="1" t="s">
        <v>29</v>
      </c>
      <c r="F892" s="1" t="s">
        <v>54</v>
      </c>
      <c r="G892" s="2">
        <v>494.53</v>
      </c>
      <c r="H892" s="1">
        <v>25</v>
      </c>
      <c r="I892" s="1">
        <v>143</v>
      </c>
      <c r="J892" s="1">
        <v>131</v>
      </c>
      <c r="K892" s="1">
        <v>73</v>
      </c>
      <c r="L892" s="1">
        <v>68</v>
      </c>
      <c r="M892" s="1" t="s">
        <v>41</v>
      </c>
      <c r="N892" s="1" t="s">
        <v>60</v>
      </c>
      <c r="O892" t="s">
        <v>33</v>
      </c>
      <c r="P892" s="2">
        <v>346.17</v>
      </c>
      <c r="Q892" s="1" t="str">
        <f>IF(J733&gt;K733,"YES","NO")</f>
        <v>YES</v>
      </c>
      <c r="R892" s="2">
        <f>IF(Q733="YES",G733*0.9,G733)</f>
        <v>445.077</v>
      </c>
      <c r="S892" s="2">
        <f>J733*G733</f>
        <v>64783.429999999993</v>
      </c>
      <c r="T892" s="1">
        <f ca="1">TODAY()-DATE(MID(O733,7,4),MID(O733,4,2),LEFT(O733,2))</f>
        <v>141</v>
      </c>
      <c r="U892" s="1" t="s">
        <v>34</v>
      </c>
      <c r="V892" s="1" t="s">
        <v>34</v>
      </c>
      <c r="W892" s="1" t="s">
        <v>34</v>
      </c>
      <c r="X892" t="s">
        <v>2757</v>
      </c>
      <c r="Y892" s="1">
        <v>6.5</v>
      </c>
    </row>
    <row r="893" spans="1:25" x14ac:dyDescent="0.3">
      <c r="A893" s="1" t="s">
        <v>1907</v>
      </c>
      <c r="B893" s="1" t="s">
        <v>130</v>
      </c>
      <c r="C893" s="1" t="s">
        <v>131</v>
      </c>
      <c r="D893" s="1" t="s">
        <v>132</v>
      </c>
      <c r="E893" s="1" t="s">
        <v>74</v>
      </c>
      <c r="F893" s="1" t="s">
        <v>54</v>
      </c>
      <c r="G893" s="2">
        <v>74.33</v>
      </c>
      <c r="H893" s="1">
        <v>23</v>
      </c>
      <c r="I893" s="1">
        <v>144</v>
      </c>
      <c r="J893" s="1">
        <v>107</v>
      </c>
      <c r="K893" s="1">
        <v>99</v>
      </c>
      <c r="L893" s="1">
        <v>77</v>
      </c>
      <c r="M893" s="1" t="s">
        <v>41</v>
      </c>
      <c r="N893" s="1" t="s">
        <v>42</v>
      </c>
      <c r="O893" t="s">
        <v>105</v>
      </c>
      <c r="P893" s="2">
        <v>52.03</v>
      </c>
      <c r="Q893" s="1" t="str">
        <f>IF(J745&gt;K745,"YES","NO")</f>
        <v>YES</v>
      </c>
      <c r="R893" s="2">
        <f>IF(Q745="YES",G745*0.9,G745)</f>
        <v>66.897000000000006</v>
      </c>
      <c r="S893" s="2">
        <f>J745*G745</f>
        <v>7953.3099999999995</v>
      </c>
      <c r="T893" s="1">
        <f ca="1">TODAY()-DATE(MID(O745,7,4),MID(O745,4,2),LEFT(O745,2))</f>
        <v>144</v>
      </c>
      <c r="U893" s="1" t="s">
        <v>34</v>
      </c>
      <c r="V893" s="1" t="s">
        <v>34</v>
      </c>
      <c r="W893" s="1" t="s">
        <v>34</v>
      </c>
      <c r="X893" t="s">
        <v>2768</v>
      </c>
      <c r="Y893" s="1">
        <v>7.5</v>
      </c>
    </row>
    <row r="894" spans="1:25" x14ac:dyDescent="0.3">
      <c r="A894" s="1" t="s">
        <v>1908</v>
      </c>
      <c r="B894" s="1" t="s">
        <v>197</v>
      </c>
      <c r="C894" s="1" t="s">
        <v>198</v>
      </c>
      <c r="D894" s="1" t="s">
        <v>104</v>
      </c>
      <c r="E894" s="1" t="s">
        <v>40</v>
      </c>
      <c r="F894" s="1" t="s">
        <v>54</v>
      </c>
      <c r="G894" s="2">
        <v>496.17</v>
      </c>
      <c r="H894" s="1">
        <v>5</v>
      </c>
      <c r="I894" s="1">
        <v>287</v>
      </c>
      <c r="J894" s="1">
        <v>261</v>
      </c>
      <c r="K894" s="1">
        <v>61</v>
      </c>
      <c r="L894" s="1">
        <v>102</v>
      </c>
      <c r="M894" s="1" t="s">
        <v>41</v>
      </c>
      <c r="N894" s="1" t="s">
        <v>42</v>
      </c>
      <c r="O894" t="s">
        <v>289</v>
      </c>
      <c r="P894" s="2">
        <v>347.32</v>
      </c>
      <c r="Q894" s="1" t="str">
        <f>IF(J719&gt;K719,"YES","NO")</f>
        <v>YES</v>
      </c>
      <c r="R894" s="2">
        <f>IF(Q719="YES",G719*0.9,G719)</f>
        <v>446.553</v>
      </c>
      <c r="S894" s="2">
        <f>J719*G719</f>
        <v>129500.37000000001</v>
      </c>
      <c r="T894" s="1">
        <f ca="1">TODAY()-DATE(MID(O719,7,4),MID(O719,4,2),LEFT(O719,2))</f>
        <v>92</v>
      </c>
      <c r="U894" s="1" t="s">
        <v>34</v>
      </c>
      <c r="V894" s="1" t="s">
        <v>34</v>
      </c>
      <c r="W894" s="1" t="s">
        <v>34</v>
      </c>
      <c r="X894" t="s">
        <v>2881</v>
      </c>
      <c r="Y894" s="1">
        <v>9.5</v>
      </c>
    </row>
    <row r="895" spans="1:25" x14ac:dyDescent="0.3">
      <c r="A895" s="1" t="s">
        <v>1909</v>
      </c>
      <c r="B895" s="1" t="s">
        <v>262</v>
      </c>
      <c r="C895" s="1" t="s">
        <v>263</v>
      </c>
      <c r="D895" s="1" t="s">
        <v>104</v>
      </c>
      <c r="E895" s="1" t="s">
        <v>40</v>
      </c>
      <c r="F895" s="1" t="s">
        <v>54</v>
      </c>
      <c r="G895" s="2">
        <v>399.76</v>
      </c>
      <c r="H895" s="1">
        <v>14</v>
      </c>
      <c r="I895" s="1">
        <v>290</v>
      </c>
      <c r="J895" s="1">
        <v>253</v>
      </c>
      <c r="K895" s="1">
        <v>86</v>
      </c>
      <c r="L895" s="1">
        <v>150</v>
      </c>
      <c r="M895" s="1" t="s">
        <v>41</v>
      </c>
      <c r="N895" s="1" t="s">
        <v>60</v>
      </c>
      <c r="O895" t="s">
        <v>88</v>
      </c>
      <c r="P895" s="2">
        <v>279.83</v>
      </c>
      <c r="Q895" s="1" t="str">
        <f>IF(J535&gt;K535,"YES","NO")</f>
        <v>YES</v>
      </c>
      <c r="R895" s="2">
        <f>IF(Q535="YES",G535*0.9,G535)</f>
        <v>359.78399999999999</v>
      </c>
      <c r="S895" s="2">
        <f>J535*G535</f>
        <v>101139.28</v>
      </c>
      <c r="T895" s="1">
        <f ca="1">TODAY()-DATE(MID(O535,7,4),MID(O535,4,2),LEFT(O535,2))</f>
        <v>124</v>
      </c>
      <c r="U895" s="1" t="s">
        <v>34</v>
      </c>
      <c r="V895" s="1" t="s">
        <v>34</v>
      </c>
      <c r="W895" s="1" t="s">
        <v>34</v>
      </c>
      <c r="X895" t="s">
        <v>2766</v>
      </c>
      <c r="Y895" s="1">
        <v>7.5</v>
      </c>
    </row>
    <row r="896" spans="1:25" x14ac:dyDescent="0.3">
      <c r="A896" s="1" t="s">
        <v>1910</v>
      </c>
      <c r="B896" s="1" t="s">
        <v>130</v>
      </c>
      <c r="C896" s="1" t="s">
        <v>131</v>
      </c>
      <c r="D896" s="1" t="s">
        <v>132</v>
      </c>
      <c r="E896" s="1" t="s">
        <v>29</v>
      </c>
      <c r="F896" s="1" t="s">
        <v>30</v>
      </c>
      <c r="G896" s="2">
        <v>144.72999999999999</v>
      </c>
      <c r="H896" s="1">
        <v>15</v>
      </c>
      <c r="I896" s="1">
        <v>144</v>
      </c>
      <c r="J896" s="1">
        <v>121</v>
      </c>
      <c r="K896" s="1">
        <v>101</v>
      </c>
      <c r="L896" s="1">
        <v>75</v>
      </c>
      <c r="M896" s="1" t="s">
        <v>31</v>
      </c>
      <c r="N896" s="1" t="s">
        <v>42</v>
      </c>
      <c r="O896" t="s">
        <v>141</v>
      </c>
      <c r="P896" s="2">
        <v>101.31</v>
      </c>
      <c r="Q896" s="1" t="str">
        <f>IF(J33&gt;K33,"YES","NO")</f>
        <v>YES</v>
      </c>
      <c r="R896" s="2">
        <f>IF(Q33="YES",G33*0.9,G33)</f>
        <v>130.25700000000001</v>
      </c>
      <c r="S896" s="2">
        <f>J33*G33</f>
        <v>17512.329999999998</v>
      </c>
      <c r="T896" s="1">
        <f ca="1">TODAY()-DATE(MID(O33,7,4),MID(O33,4,2),LEFT(O33,2))</f>
        <v>118</v>
      </c>
      <c r="U896" s="1" t="s">
        <v>34</v>
      </c>
      <c r="V896" s="1" t="s">
        <v>34</v>
      </c>
      <c r="W896" s="1" t="s">
        <v>34</v>
      </c>
      <c r="X896" t="s">
        <v>2886</v>
      </c>
      <c r="Y896" s="1">
        <v>6.5</v>
      </c>
    </row>
    <row r="897" spans="1:25" x14ac:dyDescent="0.3">
      <c r="A897" s="1" t="s">
        <v>1911</v>
      </c>
      <c r="B897" s="1" t="s">
        <v>130</v>
      </c>
      <c r="C897" s="1" t="s">
        <v>131</v>
      </c>
      <c r="D897" s="1" t="s">
        <v>132</v>
      </c>
      <c r="E897" s="1" t="s">
        <v>74</v>
      </c>
      <c r="F897" s="1" t="s">
        <v>48</v>
      </c>
      <c r="G897" s="2">
        <v>368.05</v>
      </c>
      <c r="H897" s="1">
        <v>8</v>
      </c>
      <c r="I897" s="1">
        <v>294</v>
      </c>
      <c r="J897" s="1">
        <v>259</v>
      </c>
      <c r="K897" s="1">
        <v>60</v>
      </c>
      <c r="L897" s="1">
        <v>115</v>
      </c>
      <c r="M897" s="1" t="s">
        <v>49</v>
      </c>
      <c r="N897" s="1" t="s">
        <v>32</v>
      </c>
      <c r="O897" t="s">
        <v>61</v>
      </c>
      <c r="P897" s="2">
        <v>257.63</v>
      </c>
      <c r="Q897" s="1" t="str">
        <f>IF(J410&gt;K410,"YES","NO")</f>
        <v>YES</v>
      </c>
      <c r="R897" s="2">
        <f>IF(Q410="YES",G410*0.9,G410)</f>
        <v>331.245</v>
      </c>
      <c r="S897" s="2">
        <f>J410*G410</f>
        <v>95324.95</v>
      </c>
      <c r="T897" s="1">
        <f ca="1">TODAY()-DATE(MID(O410,7,4),MID(O410,4,2),LEFT(O410,2))</f>
        <v>73</v>
      </c>
      <c r="U897" s="1" t="s">
        <v>34</v>
      </c>
      <c r="V897" s="1" t="s">
        <v>34</v>
      </c>
      <c r="W897" s="1" t="s">
        <v>34</v>
      </c>
      <c r="X897" t="s">
        <v>2818</v>
      </c>
      <c r="Y897" s="1">
        <v>5</v>
      </c>
    </row>
    <row r="898" spans="1:25" x14ac:dyDescent="0.3">
      <c r="A898" s="1" t="s">
        <v>1912</v>
      </c>
      <c r="B898" s="1" t="s">
        <v>176</v>
      </c>
      <c r="C898" s="1" t="s">
        <v>177</v>
      </c>
      <c r="D898" s="1" t="s">
        <v>39</v>
      </c>
      <c r="E898" s="1" t="s">
        <v>40</v>
      </c>
      <c r="F898" s="1" t="s">
        <v>48</v>
      </c>
      <c r="G898" s="2">
        <v>144.83000000000001</v>
      </c>
      <c r="H898" s="1">
        <v>0</v>
      </c>
      <c r="I898" s="1">
        <v>199</v>
      </c>
      <c r="J898" s="1">
        <v>165</v>
      </c>
      <c r="K898" s="1">
        <v>104</v>
      </c>
      <c r="L898" s="1">
        <v>137</v>
      </c>
      <c r="M898" s="1" t="s">
        <v>31</v>
      </c>
      <c r="N898" s="1" t="s">
        <v>60</v>
      </c>
      <c r="O898" t="s">
        <v>178</v>
      </c>
      <c r="P898" s="2">
        <v>101.38</v>
      </c>
      <c r="Q898" s="1" t="str">
        <f>IF(J52&gt;K52,"YES","NO")</f>
        <v>YES</v>
      </c>
      <c r="R898" s="2">
        <f>IF(Q52="YES",G52*0.9,G52)</f>
        <v>130.34700000000001</v>
      </c>
      <c r="S898" s="2">
        <f>J52*G52</f>
        <v>23896.95</v>
      </c>
      <c r="T898" s="1">
        <f ca="1">TODAY()-DATE(MID(O52,7,4),MID(O52,4,2),LEFT(O52,2))</f>
        <v>90</v>
      </c>
      <c r="U898" s="1" t="s">
        <v>34</v>
      </c>
      <c r="V898" s="1" t="s">
        <v>34</v>
      </c>
      <c r="W898" s="1" t="s">
        <v>34</v>
      </c>
      <c r="X898" t="s">
        <v>2760</v>
      </c>
      <c r="Y898" s="1">
        <v>6</v>
      </c>
    </row>
    <row r="899" spans="1:25" x14ac:dyDescent="0.3">
      <c r="A899" s="1" t="s">
        <v>1913</v>
      </c>
      <c r="B899" s="1" t="s">
        <v>72</v>
      </c>
      <c r="C899" s="1" t="s">
        <v>73</v>
      </c>
      <c r="D899" s="1" t="s">
        <v>47</v>
      </c>
      <c r="E899" s="1" t="s">
        <v>29</v>
      </c>
      <c r="F899" s="1" t="s">
        <v>30</v>
      </c>
      <c r="G899" s="2">
        <v>224.49</v>
      </c>
      <c r="H899" s="1">
        <v>19</v>
      </c>
      <c r="I899" s="1">
        <v>292</v>
      </c>
      <c r="J899" s="1">
        <v>284</v>
      </c>
      <c r="K899" s="1">
        <v>94</v>
      </c>
      <c r="L899" s="1">
        <v>51</v>
      </c>
      <c r="M899" s="1" t="s">
        <v>31</v>
      </c>
      <c r="N899" s="1" t="s">
        <v>60</v>
      </c>
      <c r="O899" t="s">
        <v>260</v>
      </c>
      <c r="P899" s="2">
        <v>157.13999999999999</v>
      </c>
      <c r="Q899" s="1" t="str">
        <f>IF(J568&gt;K568,"YES","NO")</f>
        <v>YES</v>
      </c>
      <c r="R899" s="2">
        <f>IF(Q568="YES",G568*0.9,G568)</f>
        <v>202.04100000000003</v>
      </c>
      <c r="S899" s="2">
        <f>J568*G568</f>
        <v>63755.16</v>
      </c>
      <c r="T899" s="1">
        <f ca="1">TODAY()-DATE(MID(O568,7,4),MID(O568,4,2),LEFT(O568,2))</f>
        <v>70</v>
      </c>
      <c r="U899" s="1" t="s">
        <v>34</v>
      </c>
      <c r="V899" s="1" t="s">
        <v>34</v>
      </c>
      <c r="W899" s="1" t="s">
        <v>34</v>
      </c>
      <c r="X899" t="s">
        <v>2727</v>
      </c>
      <c r="Y899" s="1">
        <v>9</v>
      </c>
    </row>
    <row r="900" spans="1:25" x14ac:dyDescent="0.3">
      <c r="A900" s="1" t="s">
        <v>1914</v>
      </c>
      <c r="B900" s="1" t="s">
        <v>166</v>
      </c>
      <c r="C900" s="1" t="s">
        <v>167</v>
      </c>
      <c r="D900" s="1" t="s">
        <v>59</v>
      </c>
      <c r="E900" s="1" t="s">
        <v>74</v>
      </c>
      <c r="F900" s="1" t="s">
        <v>48</v>
      </c>
      <c r="G900" s="2">
        <v>107.5</v>
      </c>
      <c r="H900" s="1">
        <v>19</v>
      </c>
      <c r="I900" s="1">
        <v>282</v>
      </c>
      <c r="J900" s="1">
        <v>282</v>
      </c>
      <c r="K900" s="1">
        <v>115</v>
      </c>
      <c r="L900" s="1">
        <v>50</v>
      </c>
      <c r="M900" s="1" t="s">
        <v>49</v>
      </c>
      <c r="N900" s="1" t="s">
        <v>60</v>
      </c>
      <c r="O900" t="s">
        <v>185</v>
      </c>
      <c r="P900" s="2">
        <v>75.25</v>
      </c>
      <c r="Q900" s="1" t="str">
        <f>IF(J600&gt;K600,"YES","NO")</f>
        <v>YES</v>
      </c>
      <c r="R900" s="2">
        <f>IF(Q600="YES",G600*0.9,G600)</f>
        <v>96.75</v>
      </c>
      <c r="S900" s="2">
        <f>J600*G600</f>
        <v>30315</v>
      </c>
      <c r="T900" s="1">
        <f ca="1">TODAY()-DATE(MID(O600,7,4),MID(O600,4,2),LEFT(O600,2))</f>
        <v>104</v>
      </c>
      <c r="U900" s="1" t="s">
        <v>34</v>
      </c>
      <c r="V900" s="1" t="s">
        <v>34</v>
      </c>
      <c r="W900" s="1" t="s">
        <v>34</v>
      </c>
      <c r="X900" t="s">
        <v>2665</v>
      </c>
      <c r="Y900" s="1">
        <v>5</v>
      </c>
    </row>
    <row r="901" spans="1:25" x14ac:dyDescent="0.3">
      <c r="A901" s="1" t="s">
        <v>1915</v>
      </c>
      <c r="B901" s="1" t="s">
        <v>262</v>
      </c>
      <c r="C901" s="1" t="s">
        <v>263</v>
      </c>
      <c r="D901" s="1" t="s">
        <v>104</v>
      </c>
      <c r="E901" s="1" t="s">
        <v>40</v>
      </c>
      <c r="F901" s="1" t="s">
        <v>30</v>
      </c>
      <c r="G901" s="2">
        <v>132.77000000000001</v>
      </c>
      <c r="H901" s="1">
        <v>8</v>
      </c>
      <c r="I901" s="1">
        <v>218</v>
      </c>
      <c r="J901" s="1">
        <v>183</v>
      </c>
      <c r="K901" s="1">
        <v>86</v>
      </c>
      <c r="L901" s="1">
        <v>75</v>
      </c>
      <c r="M901" s="1" t="s">
        <v>41</v>
      </c>
      <c r="N901" s="1" t="s">
        <v>60</v>
      </c>
      <c r="O901" t="s">
        <v>178</v>
      </c>
      <c r="P901" s="2">
        <v>92.94</v>
      </c>
      <c r="Q901" s="1" t="str">
        <f>IF(J543&gt;K543,"YES","NO")</f>
        <v>YES</v>
      </c>
      <c r="R901" s="2">
        <f>IF(Q543="YES",G543*0.9,G543)</f>
        <v>119.49300000000001</v>
      </c>
      <c r="S901" s="2">
        <f>J543*G543</f>
        <v>24296.910000000003</v>
      </c>
      <c r="T901" s="1">
        <f ca="1">TODAY()-DATE(MID(O543,7,4),MID(O543,4,2),LEFT(O543,2))</f>
        <v>90</v>
      </c>
      <c r="U901" s="1" t="s">
        <v>34</v>
      </c>
      <c r="V901" s="1" t="s">
        <v>34</v>
      </c>
      <c r="W901" s="1" t="s">
        <v>34</v>
      </c>
      <c r="X901" t="s">
        <v>2599</v>
      </c>
      <c r="Y901" s="1">
        <v>6.5</v>
      </c>
    </row>
    <row r="902" spans="1:25" x14ac:dyDescent="0.3">
      <c r="A902" s="1" t="s">
        <v>1916</v>
      </c>
      <c r="B902" s="1" t="s">
        <v>37</v>
      </c>
      <c r="C902" s="1" t="s">
        <v>38</v>
      </c>
      <c r="D902" s="1" t="s">
        <v>39</v>
      </c>
      <c r="E902" s="1" t="s">
        <v>74</v>
      </c>
      <c r="F902" s="1" t="s">
        <v>54</v>
      </c>
      <c r="G902" s="2">
        <v>412.95</v>
      </c>
      <c r="H902" s="1">
        <v>11</v>
      </c>
      <c r="I902" s="1">
        <v>230</v>
      </c>
      <c r="J902" s="1">
        <v>192</v>
      </c>
      <c r="K902" s="1">
        <v>49</v>
      </c>
      <c r="L902" s="1">
        <v>71</v>
      </c>
      <c r="M902" s="1" t="s">
        <v>49</v>
      </c>
      <c r="N902" s="1" t="s">
        <v>60</v>
      </c>
      <c r="O902" t="s">
        <v>153</v>
      </c>
      <c r="P902" s="2">
        <v>289.06</v>
      </c>
      <c r="Q902" s="1" t="str">
        <f>IF(J40&gt;K40,"YES","NO")</f>
        <v>YES</v>
      </c>
      <c r="R902" s="2">
        <f>IF(Q40="YES",G40*0.9,G40)</f>
        <v>371.65499999999997</v>
      </c>
      <c r="S902" s="2">
        <f>J40*G40</f>
        <v>79286.399999999994</v>
      </c>
      <c r="T902" s="1">
        <f ca="1">TODAY()-DATE(MID(O40,7,4),MID(O40,4,2),LEFT(O40,2))</f>
        <v>135</v>
      </c>
      <c r="U902" s="1" t="s">
        <v>34</v>
      </c>
      <c r="V902" s="1" t="s">
        <v>34</v>
      </c>
      <c r="W902" s="1" t="s">
        <v>34</v>
      </c>
      <c r="X902" t="s">
        <v>2773</v>
      </c>
      <c r="Y902" s="1">
        <v>5</v>
      </c>
    </row>
    <row r="903" spans="1:25" x14ac:dyDescent="0.3">
      <c r="A903" s="1" t="s">
        <v>1917</v>
      </c>
      <c r="B903" s="1" t="s">
        <v>126</v>
      </c>
      <c r="C903" s="1" t="s">
        <v>127</v>
      </c>
      <c r="D903" s="1" t="s">
        <v>85</v>
      </c>
      <c r="E903" s="1" t="s">
        <v>29</v>
      </c>
      <c r="F903" s="1" t="s">
        <v>48</v>
      </c>
      <c r="G903" s="2">
        <v>310.43</v>
      </c>
      <c r="H903" s="1">
        <v>7</v>
      </c>
      <c r="I903" s="1">
        <v>157</v>
      </c>
      <c r="J903" s="1">
        <v>157</v>
      </c>
      <c r="K903" s="1">
        <v>77</v>
      </c>
      <c r="L903" s="1">
        <v>88</v>
      </c>
      <c r="M903" s="1" t="s">
        <v>31</v>
      </c>
      <c r="N903" s="1" t="s">
        <v>32</v>
      </c>
      <c r="O903" t="s">
        <v>340</v>
      </c>
      <c r="P903" s="2">
        <v>217.3</v>
      </c>
      <c r="Q903" s="1" t="str">
        <f>IF(J376&gt;K376,"YES","NO")</f>
        <v>YES</v>
      </c>
      <c r="R903" s="2">
        <f>IF(Q376="YES",G376*0.9,G376)</f>
        <v>279.387</v>
      </c>
      <c r="S903" s="2">
        <f>J376*G376</f>
        <v>48737.51</v>
      </c>
      <c r="T903" s="1">
        <f ca="1">TODAY()-DATE(MID(O376,7,4),MID(O376,4,2),LEFT(O376,2))</f>
        <v>138</v>
      </c>
      <c r="U903" s="1" t="s">
        <v>34</v>
      </c>
      <c r="V903" s="1" t="s">
        <v>34</v>
      </c>
      <c r="W903" s="1" t="s">
        <v>34</v>
      </c>
      <c r="X903" t="s">
        <v>2887</v>
      </c>
      <c r="Y903" s="1">
        <v>8</v>
      </c>
    </row>
    <row r="904" spans="1:25" x14ac:dyDescent="0.3">
      <c r="A904" s="1" t="s">
        <v>1918</v>
      </c>
      <c r="B904" s="1" t="s">
        <v>126</v>
      </c>
      <c r="C904" s="1" t="s">
        <v>127</v>
      </c>
      <c r="D904" s="1" t="s">
        <v>85</v>
      </c>
      <c r="E904" s="1" t="s">
        <v>74</v>
      </c>
      <c r="F904" s="1" t="s">
        <v>30</v>
      </c>
      <c r="G904" s="2">
        <v>186.59</v>
      </c>
      <c r="H904" s="1">
        <v>2</v>
      </c>
      <c r="I904" s="1">
        <v>167</v>
      </c>
      <c r="J904" s="1">
        <v>141</v>
      </c>
      <c r="K904" s="1">
        <v>100</v>
      </c>
      <c r="L904" s="1">
        <v>67</v>
      </c>
      <c r="M904" s="1" t="s">
        <v>31</v>
      </c>
      <c r="N904" s="1" t="s">
        <v>42</v>
      </c>
      <c r="O904" t="s">
        <v>220</v>
      </c>
      <c r="P904" s="2">
        <v>130.61000000000001</v>
      </c>
      <c r="Q904" s="1" t="str">
        <f>IF(J539&gt;K539,"YES","NO")</f>
        <v>YES</v>
      </c>
      <c r="R904" s="2">
        <f>IF(Q539="YES",G539*0.9,G539)</f>
        <v>167.93100000000001</v>
      </c>
      <c r="S904" s="2">
        <f>J539*G539</f>
        <v>26309.19</v>
      </c>
      <c r="T904" s="1">
        <f ca="1">TODAY()-DATE(MID(O539,7,4),MID(O539,4,2),LEFT(O539,2))</f>
        <v>106</v>
      </c>
      <c r="U904" s="1" t="s">
        <v>34</v>
      </c>
      <c r="V904" s="1" t="s">
        <v>34</v>
      </c>
      <c r="W904" s="1" t="s">
        <v>34</v>
      </c>
      <c r="X904" t="s">
        <v>2814</v>
      </c>
      <c r="Y904" s="1">
        <v>9.5</v>
      </c>
    </row>
    <row r="905" spans="1:25" x14ac:dyDescent="0.3">
      <c r="A905" s="1" t="s">
        <v>1919</v>
      </c>
      <c r="B905" s="1" t="s">
        <v>197</v>
      </c>
      <c r="C905" s="1" t="s">
        <v>198</v>
      </c>
      <c r="D905" s="1" t="s">
        <v>104</v>
      </c>
      <c r="E905" s="1" t="s">
        <v>29</v>
      </c>
      <c r="F905" s="1" t="s">
        <v>54</v>
      </c>
      <c r="G905" s="2">
        <v>319.41000000000003</v>
      </c>
      <c r="H905" s="1">
        <v>11</v>
      </c>
      <c r="I905" s="1">
        <v>235</v>
      </c>
      <c r="J905" s="1">
        <v>196</v>
      </c>
      <c r="K905" s="1">
        <v>70</v>
      </c>
      <c r="L905" s="1">
        <v>91</v>
      </c>
      <c r="M905" s="1" t="s">
        <v>41</v>
      </c>
      <c r="N905" s="1" t="s">
        <v>60</v>
      </c>
      <c r="O905" t="s">
        <v>242</v>
      </c>
      <c r="P905" s="2">
        <v>223.59</v>
      </c>
      <c r="Q905" s="1" t="str">
        <f>IF(J725&gt;K725,"YES","NO")</f>
        <v>YES</v>
      </c>
      <c r="R905" s="2">
        <f>IF(Q725="YES",G725*0.9,G725)</f>
        <v>287.46900000000005</v>
      </c>
      <c r="S905" s="2">
        <f>J725*G725</f>
        <v>62604.360000000008</v>
      </c>
      <c r="T905" s="1">
        <f ca="1">TODAY()-DATE(MID(O725,7,4),MID(O725,4,2),LEFT(O725,2))</f>
        <v>105</v>
      </c>
      <c r="U905" s="1" t="s">
        <v>34</v>
      </c>
      <c r="V905" s="1" t="s">
        <v>34</v>
      </c>
      <c r="W905" s="1" t="s">
        <v>34</v>
      </c>
      <c r="X905" t="s">
        <v>2569</v>
      </c>
      <c r="Y905" s="1">
        <v>7.5</v>
      </c>
    </row>
    <row r="906" spans="1:25" x14ac:dyDescent="0.3">
      <c r="A906" s="1" t="s">
        <v>1920</v>
      </c>
      <c r="B906" s="1" t="s">
        <v>95</v>
      </c>
      <c r="C906" s="1" t="s">
        <v>96</v>
      </c>
      <c r="D906" s="1" t="s">
        <v>97</v>
      </c>
      <c r="E906" s="1" t="s">
        <v>29</v>
      </c>
      <c r="F906" s="1" t="s">
        <v>54</v>
      </c>
      <c r="G906" s="2">
        <v>81.73</v>
      </c>
      <c r="H906" s="1">
        <v>19</v>
      </c>
      <c r="I906" s="1">
        <v>287</v>
      </c>
      <c r="J906" s="1">
        <v>251</v>
      </c>
      <c r="K906" s="1">
        <v>74</v>
      </c>
      <c r="L906" s="1">
        <v>98</v>
      </c>
      <c r="M906" s="1" t="s">
        <v>49</v>
      </c>
      <c r="N906" s="1" t="s">
        <v>32</v>
      </c>
      <c r="O906" t="s">
        <v>185</v>
      </c>
      <c r="P906" s="2">
        <v>57.21</v>
      </c>
      <c r="Q906" s="1" t="str">
        <f>IF(J56&gt;K56,"YES","NO")</f>
        <v>YES</v>
      </c>
      <c r="R906" s="2">
        <f>IF(Q56="YES",G56*0.9,G56)</f>
        <v>73.557000000000002</v>
      </c>
      <c r="S906" s="2">
        <f>J56*G56</f>
        <v>20514.23</v>
      </c>
      <c r="T906" s="1">
        <f ca="1">TODAY()-DATE(MID(O56,7,4),MID(O56,4,2),LEFT(O56,2))</f>
        <v>104</v>
      </c>
      <c r="U906" s="1" t="s">
        <v>34</v>
      </c>
      <c r="V906" s="1" t="s">
        <v>34</v>
      </c>
      <c r="W906" s="1" t="s">
        <v>34</v>
      </c>
      <c r="X906" t="s">
        <v>2585</v>
      </c>
      <c r="Y906" s="1">
        <v>8</v>
      </c>
    </row>
    <row r="907" spans="1:25" x14ac:dyDescent="0.3">
      <c r="A907" s="1" t="s">
        <v>1921</v>
      </c>
      <c r="B907" s="1" t="s">
        <v>237</v>
      </c>
      <c r="C907" s="1" t="s">
        <v>238</v>
      </c>
      <c r="D907" s="1" t="s">
        <v>85</v>
      </c>
      <c r="E907" s="1" t="s">
        <v>74</v>
      </c>
      <c r="F907" s="1" t="s">
        <v>48</v>
      </c>
      <c r="G907" s="2">
        <v>256.26</v>
      </c>
      <c r="H907" s="1">
        <v>7</v>
      </c>
      <c r="I907" s="1">
        <v>218</v>
      </c>
      <c r="J907" s="1">
        <v>200</v>
      </c>
      <c r="K907" s="1">
        <v>105</v>
      </c>
      <c r="L907" s="1">
        <v>65</v>
      </c>
      <c r="M907" s="1" t="s">
        <v>31</v>
      </c>
      <c r="N907" s="1" t="s">
        <v>32</v>
      </c>
      <c r="O907" t="s">
        <v>311</v>
      </c>
      <c r="P907" s="2">
        <v>179.38</v>
      </c>
      <c r="Q907" s="1" t="str">
        <f>IF(J445&gt;K445,"YES","NO")</f>
        <v>YES</v>
      </c>
      <c r="R907" s="2">
        <f>IF(Q445="YES",G445*0.9,G445)</f>
        <v>230.63399999999999</v>
      </c>
      <c r="S907" s="2">
        <f>J445*G445</f>
        <v>51252</v>
      </c>
      <c r="T907" s="1">
        <f ca="1">TODAY()-DATE(MID(O445,7,4),MID(O445,4,2),LEFT(O445,2))</f>
        <v>80</v>
      </c>
      <c r="U907" s="1" t="s">
        <v>34</v>
      </c>
      <c r="V907" s="1" t="s">
        <v>34</v>
      </c>
      <c r="W907" s="1" t="s">
        <v>34</v>
      </c>
      <c r="X907" t="s">
        <v>2630</v>
      </c>
      <c r="Y907" s="1">
        <v>7.5</v>
      </c>
    </row>
    <row r="908" spans="1:25" x14ac:dyDescent="0.3">
      <c r="A908" s="1" t="s">
        <v>1922</v>
      </c>
      <c r="B908" s="1" t="s">
        <v>192</v>
      </c>
      <c r="C908" s="1" t="s">
        <v>193</v>
      </c>
      <c r="D908" s="1" t="s">
        <v>85</v>
      </c>
      <c r="E908" s="1" t="s">
        <v>40</v>
      </c>
      <c r="F908" s="1" t="s">
        <v>30</v>
      </c>
      <c r="G908" s="2">
        <v>455.15</v>
      </c>
      <c r="H908" s="1">
        <v>11</v>
      </c>
      <c r="I908" s="1">
        <v>272</v>
      </c>
      <c r="J908" s="1">
        <v>268</v>
      </c>
      <c r="K908" s="1">
        <v>58</v>
      </c>
      <c r="L908" s="1">
        <v>59</v>
      </c>
      <c r="M908" s="1" t="s">
        <v>31</v>
      </c>
      <c r="N908" s="1" t="s">
        <v>42</v>
      </c>
      <c r="O908" t="s">
        <v>227</v>
      </c>
      <c r="P908" s="2">
        <v>318.60000000000002</v>
      </c>
      <c r="Q908" s="1" t="str">
        <f>IF(J267&gt;K267,"YES","NO")</f>
        <v>YES</v>
      </c>
      <c r="R908" s="2">
        <f>IF(Q267="YES",G267*0.9,G267)</f>
        <v>409.63499999999999</v>
      </c>
      <c r="S908" s="2">
        <f>J267*G267</f>
        <v>121980.2</v>
      </c>
      <c r="T908" s="1">
        <f ca="1">TODAY()-DATE(MID(O267,7,4),MID(O267,4,2),LEFT(O267,2))</f>
        <v>132</v>
      </c>
      <c r="U908" s="1" t="s">
        <v>34</v>
      </c>
      <c r="V908" s="1" t="s">
        <v>34</v>
      </c>
      <c r="W908" s="1" t="s">
        <v>34</v>
      </c>
      <c r="X908" t="s">
        <v>2697</v>
      </c>
      <c r="Y908" s="1">
        <v>8.5</v>
      </c>
    </row>
    <row r="909" spans="1:25" x14ac:dyDescent="0.3">
      <c r="A909" s="1" t="s">
        <v>1923</v>
      </c>
      <c r="B909" s="1" t="s">
        <v>57</v>
      </c>
      <c r="C909" s="1" t="s">
        <v>58</v>
      </c>
      <c r="D909" s="1" t="s">
        <v>59</v>
      </c>
      <c r="E909" s="1" t="s">
        <v>74</v>
      </c>
      <c r="F909" s="1" t="s">
        <v>54</v>
      </c>
      <c r="G909" s="2">
        <v>475.64</v>
      </c>
      <c r="H909" s="1">
        <v>4</v>
      </c>
      <c r="I909" s="1">
        <v>222</v>
      </c>
      <c r="J909" s="1">
        <v>217</v>
      </c>
      <c r="K909" s="1">
        <v>111</v>
      </c>
      <c r="L909" s="1">
        <v>103</v>
      </c>
      <c r="M909" s="1" t="s">
        <v>31</v>
      </c>
      <c r="N909" s="1" t="s">
        <v>42</v>
      </c>
      <c r="O909" t="s">
        <v>145</v>
      </c>
      <c r="P909" s="2">
        <v>332.95</v>
      </c>
      <c r="Q909" s="1" t="str">
        <f>IF(J168&gt;K168,"YES","NO")</f>
        <v>YES</v>
      </c>
      <c r="R909" s="2">
        <f>IF(Q168="YES",G168*0.9,G168)</f>
        <v>428.07600000000002</v>
      </c>
      <c r="S909" s="2">
        <f>J168*G168</f>
        <v>103213.87999999999</v>
      </c>
      <c r="T909" s="1">
        <f ca="1">TODAY()-DATE(MID(O168,7,4),MID(O168,4,2),LEFT(O168,2))</f>
        <v>68</v>
      </c>
      <c r="U909" s="1" t="s">
        <v>34</v>
      </c>
      <c r="V909" s="1" t="s">
        <v>34</v>
      </c>
      <c r="W909" s="1" t="s">
        <v>34</v>
      </c>
      <c r="X909" t="s">
        <v>2851</v>
      </c>
      <c r="Y909" s="1">
        <v>9</v>
      </c>
    </row>
    <row r="910" spans="1:25" x14ac:dyDescent="0.3">
      <c r="A910" s="1" t="s">
        <v>1924</v>
      </c>
      <c r="B910" s="1" t="s">
        <v>107</v>
      </c>
      <c r="C910" s="1" t="s">
        <v>108</v>
      </c>
      <c r="D910" s="1" t="s">
        <v>39</v>
      </c>
      <c r="E910" s="1" t="s">
        <v>74</v>
      </c>
      <c r="F910" s="1" t="s">
        <v>54</v>
      </c>
      <c r="G910" s="2">
        <v>401.73</v>
      </c>
      <c r="H910" s="1">
        <v>11</v>
      </c>
      <c r="I910" s="1">
        <v>203</v>
      </c>
      <c r="J910" s="1">
        <v>180</v>
      </c>
      <c r="K910" s="1">
        <v>82</v>
      </c>
      <c r="L910" s="1">
        <v>116</v>
      </c>
      <c r="M910" s="1" t="s">
        <v>41</v>
      </c>
      <c r="N910" s="1" t="s">
        <v>42</v>
      </c>
      <c r="O910" t="s">
        <v>105</v>
      </c>
      <c r="P910" s="2">
        <v>281.20999999999998</v>
      </c>
      <c r="Q910" s="1" t="str">
        <f>IF(J433&gt;K433,"YES","NO")</f>
        <v>YES</v>
      </c>
      <c r="R910" s="2">
        <f>IF(Q433="YES",G433*0.9,G433)</f>
        <v>361.55700000000002</v>
      </c>
      <c r="S910" s="2">
        <f>J433*G433</f>
        <v>72311.400000000009</v>
      </c>
      <c r="T910" s="1">
        <f ca="1">TODAY()-DATE(MID(O433,7,4),MID(O433,4,2),LEFT(O433,2))</f>
        <v>144</v>
      </c>
      <c r="U910" s="1" t="s">
        <v>34</v>
      </c>
      <c r="V910" s="1" t="s">
        <v>34</v>
      </c>
      <c r="W910" s="1" t="s">
        <v>34</v>
      </c>
      <c r="X910" t="s">
        <v>2669</v>
      </c>
      <c r="Y910" s="1">
        <v>6.5</v>
      </c>
    </row>
    <row r="911" spans="1:25" x14ac:dyDescent="0.3">
      <c r="A911" s="1" t="s">
        <v>1925</v>
      </c>
      <c r="B911" s="1" t="s">
        <v>111</v>
      </c>
      <c r="C911" s="1" t="s">
        <v>112</v>
      </c>
      <c r="D911" s="1" t="s">
        <v>97</v>
      </c>
      <c r="E911" s="1" t="s">
        <v>40</v>
      </c>
      <c r="F911" s="1" t="s">
        <v>48</v>
      </c>
      <c r="G911" s="2">
        <v>269.20999999999998</v>
      </c>
      <c r="H911" s="1">
        <v>24</v>
      </c>
      <c r="I911" s="1">
        <v>261</v>
      </c>
      <c r="J911" s="1">
        <v>248</v>
      </c>
      <c r="K911" s="1">
        <v>47</v>
      </c>
      <c r="L911" s="1">
        <v>79</v>
      </c>
      <c r="M911" s="1" t="s">
        <v>41</v>
      </c>
      <c r="N911" s="1" t="s">
        <v>60</v>
      </c>
      <c r="O911" t="s">
        <v>212</v>
      </c>
      <c r="P911" s="2">
        <v>188.45</v>
      </c>
      <c r="Q911" s="1" t="str">
        <f>IF(J385&gt;K385,"YES","NO")</f>
        <v>YES</v>
      </c>
      <c r="R911" s="2">
        <f>IF(Q385="YES",G385*0.9,G385)</f>
        <v>242.28899999999999</v>
      </c>
      <c r="S911" s="2">
        <f>J385*G385</f>
        <v>66764.08</v>
      </c>
      <c r="T911" s="1">
        <f ca="1">TODAY()-DATE(MID(O385,7,4),MID(O385,4,2),LEFT(O385,2))</f>
        <v>78</v>
      </c>
      <c r="U911" s="1" t="s">
        <v>34</v>
      </c>
      <c r="V911" s="1" t="s">
        <v>34</v>
      </c>
      <c r="W911" s="1" t="s">
        <v>34</v>
      </c>
      <c r="X911" t="s">
        <v>2770</v>
      </c>
      <c r="Y911" s="1">
        <v>7.5</v>
      </c>
    </row>
    <row r="912" spans="1:25" x14ac:dyDescent="0.3">
      <c r="A912" s="1" t="s">
        <v>1926</v>
      </c>
      <c r="B912" s="1" t="s">
        <v>45</v>
      </c>
      <c r="C912" s="1" t="s">
        <v>46</v>
      </c>
      <c r="D912" s="1" t="s">
        <v>47</v>
      </c>
      <c r="E912" s="1" t="s">
        <v>29</v>
      </c>
      <c r="F912" s="1" t="s">
        <v>48</v>
      </c>
      <c r="G912" s="2">
        <v>416.67</v>
      </c>
      <c r="H912" s="1">
        <v>19</v>
      </c>
      <c r="I912" s="1">
        <v>90</v>
      </c>
      <c r="J912" s="1">
        <v>78</v>
      </c>
      <c r="K912" s="1">
        <v>72</v>
      </c>
      <c r="L912" s="1">
        <v>97</v>
      </c>
      <c r="M912" s="1" t="s">
        <v>31</v>
      </c>
      <c r="N912" s="1" t="s">
        <v>32</v>
      </c>
      <c r="O912" t="s">
        <v>100</v>
      </c>
      <c r="P912" s="2">
        <v>291.67</v>
      </c>
      <c r="Q912" s="1" t="str">
        <f>IF(J317&gt;K317,"YES","NO")</f>
        <v>YES</v>
      </c>
      <c r="R912" s="2">
        <f>IF(Q317="YES",G317*0.9,G317)</f>
        <v>375.00300000000004</v>
      </c>
      <c r="S912" s="2">
        <f>J317*G317</f>
        <v>32500.260000000002</v>
      </c>
      <c r="T912" s="1">
        <f ca="1">TODAY()-DATE(MID(O317,7,4),MID(O317,4,2),LEFT(O317,2))</f>
        <v>137</v>
      </c>
      <c r="U912" s="1" t="s">
        <v>34</v>
      </c>
      <c r="V912" s="1" t="s">
        <v>34</v>
      </c>
      <c r="W912" s="1" t="s">
        <v>34</v>
      </c>
      <c r="X912" t="s">
        <v>2753</v>
      </c>
      <c r="Y912" s="1">
        <v>8.5</v>
      </c>
    </row>
    <row r="913" spans="1:25" x14ac:dyDescent="0.3">
      <c r="A913" s="1" t="s">
        <v>1927</v>
      </c>
      <c r="B913" s="1" t="s">
        <v>72</v>
      </c>
      <c r="C913" s="1" t="s">
        <v>73</v>
      </c>
      <c r="D913" s="1" t="s">
        <v>47</v>
      </c>
      <c r="E913" s="1" t="s">
        <v>40</v>
      </c>
      <c r="F913" s="1" t="s">
        <v>54</v>
      </c>
      <c r="G913" s="2">
        <v>262.27999999999997</v>
      </c>
      <c r="H913" s="1">
        <v>17</v>
      </c>
      <c r="I913" s="1">
        <v>284</v>
      </c>
      <c r="J913" s="1">
        <v>272</v>
      </c>
      <c r="K913" s="1">
        <v>110</v>
      </c>
      <c r="L913" s="1">
        <v>86</v>
      </c>
      <c r="M913" s="1" t="s">
        <v>41</v>
      </c>
      <c r="N913" s="1" t="s">
        <v>60</v>
      </c>
      <c r="O913" t="s">
        <v>280</v>
      </c>
      <c r="P913" s="2">
        <v>183.6</v>
      </c>
      <c r="Q913" s="1" t="str">
        <f>IF(J774&gt;K774,"YES","NO")</f>
        <v>YES</v>
      </c>
      <c r="R913" s="2">
        <f>IF(Q774="YES",G774*0.9,G774)</f>
        <v>236.05199999999999</v>
      </c>
      <c r="S913" s="2">
        <f>J774*G774</f>
        <v>71340.159999999989</v>
      </c>
      <c r="T913" s="1">
        <f ca="1">TODAY()-DATE(MID(O774,7,4),MID(O774,4,2),LEFT(O774,2))</f>
        <v>108</v>
      </c>
      <c r="U913" s="1" t="s">
        <v>34</v>
      </c>
      <c r="V913" s="1" t="s">
        <v>34</v>
      </c>
      <c r="W913" s="1" t="s">
        <v>34</v>
      </c>
      <c r="X913" t="s">
        <v>2873</v>
      </c>
      <c r="Y913" s="1">
        <v>7</v>
      </c>
    </row>
    <row r="914" spans="1:25" x14ac:dyDescent="0.3">
      <c r="A914" s="1" t="s">
        <v>1928</v>
      </c>
      <c r="B914" s="1" t="s">
        <v>72</v>
      </c>
      <c r="C914" s="1" t="s">
        <v>73</v>
      </c>
      <c r="D914" s="1" t="s">
        <v>47</v>
      </c>
      <c r="E914" s="1" t="s">
        <v>29</v>
      </c>
      <c r="F914" s="1" t="s">
        <v>48</v>
      </c>
      <c r="G914" s="2">
        <v>292.01</v>
      </c>
      <c r="H914" s="1">
        <v>24</v>
      </c>
      <c r="I914" s="1">
        <v>258</v>
      </c>
      <c r="J914" s="1">
        <v>242</v>
      </c>
      <c r="K914" s="1">
        <v>104</v>
      </c>
      <c r="L914" s="1">
        <v>93</v>
      </c>
      <c r="M914" s="1" t="s">
        <v>49</v>
      </c>
      <c r="N914" s="1" t="s">
        <v>32</v>
      </c>
      <c r="O914" t="s">
        <v>205</v>
      </c>
      <c r="P914" s="2">
        <v>204.41</v>
      </c>
      <c r="Q914" s="1" t="str">
        <f>IF(J201&gt;K201,"YES","NO")</f>
        <v>YES</v>
      </c>
      <c r="R914" s="2">
        <f>IF(Q201="YES",G201*0.9,G201)</f>
        <v>262.80900000000003</v>
      </c>
      <c r="S914" s="2">
        <f>J201*G201</f>
        <v>70666.42</v>
      </c>
      <c r="T914" s="1">
        <f ca="1">TODAY()-DATE(MID(O201,7,4),MID(O201,4,2),LEFT(O201,2))</f>
        <v>74</v>
      </c>
      <c r="U914" s="1" t="s">
        <v>34</v>
      </c>
      <c r="V914" s="1" t="s">
        <v>34</v>
      </c>
      <c r="W914" s="1" t="s">
        <v>34</v>
      </c>
      <c r="X914" t="s">
        <v>2609</v>
      </c>
      <c r="Y914" s="1">
        <v>5.5</v>
      </c>
    </row>
    <row r="915" spans="1:25" x14ac:dyDescent="0.3">
      <c r="A915" s="1" t="s">
        <v>1929</v>
      </c>
      <c r="B915" s="1" t="s">
        <v>126</v>
      </c>
      <c r="C915" s="1" t="s">
        <v>127</v>
      </c>
      <c r="D915" s="1" t="s">
        <v>85</v>
      </c>
      <c r="E915" s="1" t="s">
        <v>74</v>
      </c>
      <c r="F915" s="1" t="s">
        <v>48</v>
      </c>
      <c r="G915" s="2">
        <v>224.6</v>
      </c>
      <c r="H915" s="1">
        <v>20</v>
      </c>
      <c r="I915" s="1">
        <v>187</v>
      </c>
      <c r="J915" s="1">
        <v>165</v>
      </c>
      <c r="K915" s="1">
        <v>55</v>
      </c>
      <c r="L915" s="1">
        <v>85</v>
      </c>
      <c r="M915" s="1" t="s">
        <v>31</v>
      </c>
      <c r="N915" s="1" t="s">
        <v>42</v>
      </c>
      <c r="O915" t="s">
        <v>309</v>
      </c>
      <c r="P915" s="2">
        <v>157.22</v>
      </c>
      <c r="Q915" s="1" t="str">
        <f>IF(J702&gt;K702,"YES","NO")</f>
        <v>YES</v>
      </c>
      <c r="R915" s="2">
        <f>IF(Q702="YES",G702*0.9,G702)</f>
        <v>202.14</v>
      </c>
      <c r="S915" s="2">
        <f>J702*G702</f>
        <v>37059</v>
      </c>
      <c r="T915" s="1">
        <f ca="1">TODAY()-DATE(MID(O702,7,4),MID(O702,4,2),LEFT(O702,2))</f>
        <v>67</v>
      </c>
      <c r="U915" s="1" t="s">
        <v>34</v>
      </c>
      <c r="V915" s="1" t="s">
        <v>34</v>
      </c>
      <c r="W915" s="1" t="s">
        <v>34</v>
      </c>
      <c r="X915" t="s">
        <v>2799</v>
      </c>
      <c r="Y915" s="1">
        <v>6</v>
      </c>
    </row>
    <row r="916" spans="1:25" x14ac:dyDescent="0.3">
      <c r="A916" s="1" t="s">
        <v>1930</v>
      </c>
      <c r="B916" s="1" t="s">
        <v>172</v>
      </c>
      <c r="C916" s="1" t="s">
        <v>173</v>
      </c>
      <c r="D916" s="1" t="s">
        <v>132</v>
      </c>
      <c r="E916" s="1" t="s">
        <v>29</v>
      </c>
      <c r="F916" s="1" t="s">
        <v>30</v>
      </c>
      <c r="G916" s="2">
        <v>317.14999999999998</v>
      </c>
      <c r="H916" s="1">
        <v>11</v>
      </c>
      <c r="I916" s="1">
        <v>222</v>
      </c>
      <c r="J916" s="1">
        <v>207</v>
      </c>
      <c r="K916" s="1">
        <v>118</v>
      </c>
      <c r="L916" s="1">
        <v>124</v>
      </c>
      <c r="M916" s="1" t="s">
        <v>41</v>
      </c>
      <c r="N916" s="1" t="s">
        <v>32</v>
      </c>
      <c r="O916" t="s">
        <v>220</v>
      </c>
      <c r="P916" s="2">
        <v>222</v>
      </c>
      <c r="Q916" s="1" t="str">
        <f>IF(J541&gt;K541,"YES","NO")</f>
        <v>YES</v>
      </c>
      <c r="R916" s="2">
        <f>IF(Q541="YES",G541*0.9,G541)</f>
        <v>285.435</v>
      </c>
      <c r="S916" s="2">
        <f>J541*G541</f>
        <v>65650.049999999988</v>
      </c>
      <c r="T916" s="1">
        <f ca="1">TODAY()-DATE(MID(O541,7,4),MID(O541,4,2),LEFT(O541,2))</f>
        <v>106</v>
      </c>
      <c r="U916" s="1" t="s">
        <v>34</v>
      </c>
      <c r="V916" s="1" t="s">
        <v>34</v>
      </c>
      <c r="W916" s="1" t="s">
        <v>34</v>
      </c>
      <c r="X916" t="s">
        <v>2888</v>
      </c>
      <c r="Y916" s="1">
        <v>5.5</v>
      </c>
    </row>
    <row r="917" spans="1:25" x14ac:dyDescent="0.3">
      <c r="A917" s="1" t="s">
        <v>1931</v>
      </c>
      <c r="B917" s="1" t="s">
        <v>123</v>
      </c>
      <c r="C917" s="1" t="s">
        <v>124</v>
      </c>
      <c r="D917" s="1" t="s">
        <v>47</v>
      </c>
      <c r="E917" s="1" t="s">
        <v>29</v>
      </c>
      <c r="F917" s="1" t="s">
        <v>54</v>
      </c>
      <c r="G917" s="2">
        <v>474.91</v>
      </c>
      <c r="H917" s="1">
        <v>21</v>
      </c>
      <c r="I917" s="1">
        <v>169</v>
      </c>
      <c r="J917" s="1">
        <v>166</v>
      </c>
      <c r="K917" s="1">
        <v>108</v>
      </c>
      <c r="L917" s="1">
        <v>87</v>
      </c>
      <c r="M917" s="1" t="s">
        <v>49</v>
      </c>
      <c r="N917" s="1" t="s">
        <v>32</v>
      </c>
      <c r="O917" t="s">
        <v>195</v>
      </c>
      <c r="P917" s="2">
        <v>332.44</v>
      </c>
      <c r="Q917" s="1" t="str">
        <f>IF(J60&gt;K60,"YES","NO")</f>
        <v>YES</v>
      </c>
      <c r="R917" s="2">
        <f>IF(Q60="YES",G60*0.9,G60)</f>
        <v>427.41900000000004</v>
      </c>
      <c r="S917" s="2">
        <f>J60*G60</f>
        <v>78835.06</v>
      </c>
      <c r="T917" s="1">
        <f ca="1">TODAY()-DATE(MID(O60,7,4),MID(O60,4,2),LEFT(O60,2))</f>
        <v>63</v>
      </c>
      <c r="U917" s="1" t="s">
        <v>34</v>
      </c>
      <c r="V917" s="1" t="s">
        <v>34</v>
      </c>
      <c r="W917" s="1" t="s">
        <v>34</v>
      </c>
      <c r="X917" t="s">
        <v>2744</v>
      </c>
      <c r="Y917" s="1">
        <v>5</v>
      </c>
    </row>
    <row r="918" spans="1:25" x14ac:dyDescent="0.3">
      <c r="A918" s="1" t="s">
        <v>1932</v>
      </c>
      <c r="B918" s="1" t="s">
        <v>262</v>
      </c>
      <c r="C918" s="1" t="s">
        <v>263</v>
      </c>
      <c r="D918" s="1" t="s">
        <v>104</v>
      </c>
      <c r="E918" s="1" t="s">
        <v>74</v>
      </c>
      <c r="F918" s="1" t="s">
        <v>30</v>
      </c>
      <c r="G918" s="2">
        <v>197.54</v>
      </c>
      <c r="H918" s="1">
        <v>25</v>
      </c>
      <c r="I918" s="1">
        <v>158</v>
      </c>
      <c r="J918" s="1">
        <v>122</v>
      </c>
      <c r="K918" s="1">
        <v>65</v>
      </c>
      <c r="L918" s="1">
        <v>102</v>
      </c>
      <c r="M918" s="1" t="s">
        <v>41</v>
      </c>
      <c r="N918" s="1" t="s">
        <v>42</v>
      </c>
      <c r="O918" t="s">
        <v>257</v>
      </c>
      <c r="P918" s="2">
        <v>138.28</v>
      </c>
      <c r="Q918" s="1" t="str">
        <f>IF(J604&gt;K604,"YES","NO")</f>
        <v>YES</v>
      </c>
      <c r="R918" s="2">
        <f>IF(Q604="YES",G604*0.9,G604)</f>
        <v>177.786</v>
      </c>
      <c r="S918" s="2">
        <f>J604*G604</f>
        <v>24099.879999999997</v>
      </c>
      <c r="T918" s="1">
        <f ca="1">TODAY()-DATE(MID(O604,7,4),MID(O604,4,2),LEFT(O604,2))</f>
        <v>113</v>
      </c>
      <c r="U918" s="1" t="s">
        <v>34</v>
      </c>
      <c r="V918" s="1" t="s">
        <v>34</v>
      </c>
      <c r="W918" s="1" t="s">
        <v>34</v>
      </c>
      <c r="X918" t="s">
        <v>2754</v>
      </c>
      <c r="Y918" s="1">
        <v>7</v>
      </c>
    </row>
    <row r="919" spans="1:25" x14ac:dyDescent="0.3">
      <c r="A919" s="1" t="s">
        <v>1933</v>
      </c>
      <c r="B919" s="1" t="s">
        <v>262</v>
      </c>
      <c r="C919" s="1" t="s">
        <v>263</v>
      </c>
      <c r="D919" s="1" t="s">
        <v>104</v>
      </c>
      <c r="E919" s="1" t="s">
        <v>29</v>
      </c>
      <c r="F919" s="1" t="s">
        <v>30</v>
      </c>
      <c r="G919" s="2">
        <v>63.33</v>
      </c>
      <c r="H919" s="1">
        <v>4</v>
      </c>
      <c r="I919" s="1">
        <v>123</v>
      </c>
      <c r="J919" s="1">
        <v>115</v>
      </c>
      <c r="K919" s="1">
        <v>61</v>
      </c>
      <c r="L919" s="1">
        <v>105</v>
      </c>
      <c r="M919" s="1" t="s">
        <v>31</v>
      </c>
      <c r="N919" s="1" t="s">
        <v>60</v>
      </c>
      <c r="O919" t="s">
        <v>109</v>
      </c>
      <c r="P919" s="2">
        <v>44.33</v>
      </c>
      <c r="Q919" s="1" t="str">
        <f>IF(J153&gt;K153,"YES","NO")</f>
        <v>YES</v>
      </c>
      <c r="R919" s="2">
        <f>IF(Q153="YES",G153*0.9,G153)</f>
        <v>56.997</v>
      </c>
      <c r="S919" s="2">
        <f>J153*G153</f>
        <v>7282.95</v>
      </c>
      <c r="T919" s="1">
        <f ca="1">TODAY()-DATE(MID(O153,7,4),MID(O153,4,2),LEFT(O153,2))</f>
        <v>89</v>
      </c>
      <c r="U919" s="1" t="s">
        <v>34</v>
      </c>
      <c r="V919" s="1" t="s">
        <v>34</v>
      </c>
      <c r="W919" s="1" t="s">
        <v>34</v>
      </c>
      <c r="X919" t="s">
        <v>2565</v>
      </c>
      <c r="Y919" s="1">
        <v>6.5</v>
      </c>
    </row>
    <row r="920" spans="1:25" x14ac:dyDescent="0.3">
      <c r="A920" s="1" t="s">
        <v>1934</v>
      </c>
      <c r="B920" s="1" t="s">
        <v>52</v>
      </c>
      <c r="C920" s="1" t="s">
        <v>53</v>
      </c>
      <c r="D920" s="1" t="s">
        <v>47</v>
      </c>
      <c r="E920" s="1" t="s">
        <v>40</v>
      </c>
      <c r="F920" s="1" t="s">
        <v>54</v>
      </c>
      <c r="G920" s="2">
        <v>313.89</v>
      </c>
      <c r="H920" s="1">
        <v>4</v>
      </c>
      <c r="I920" s="1">
        <v>226</v>
      </c>
      <c r="J920" s="1">
        <v>198</v>
      </c>
      <c r="K920" s="1">
        <v>105</v>
      </c>
      <c r="L920" s="1">
        <v>135</v>
      </c>
      <c r="M920" s="1" t="s">
        <v>49</v>
      </c>
      <c r="N920" s="1" t="s">
        <v>42</v>
      </c>
      <c r="O920" t="s">
        <v>133</v>
      </c>
      <c r="P920" s="2">
        <v>219.72</v>
      </c>
      <c r="Q920" s="1" t="str">
        <f>IF(J268&gt;K268,"YES","NO")</f>
        <v>YES</v>
      </c>
      <c r="R920" s="2">
        <f>IF(Q268="YES",G268*0.9,G268)</f>
        <v>282.50099999999998</v>
      </c>
      <c r="S920" s="2">
        <f>J268*G268</f>
        <v>62150.219999999994</v>
      </c>
      <c r="T920" s="1">
        <f ca="1">TODAY()-DATE(MID(O268,7,4),MID(O268,4,2),LEFT(O268,2))</f>
        <v>76</v>
      </c>
      <c r="U920" s="1" t="s">
        <v>34</v>
      </c>
      <c r="V920" s="1" t="s">
        <v>34</v>
      </c>
      <c r="W920" s="1" t="s">
        <v>34</v>
      </c>
      <c r="X920" t="s">
        <v>2839</v>
      </c>
      <c r="Y920" s="1">
        <v>9</v>
      </c>
    </row>
    <row r="921" spans="1:25" x14ac:dyDescent="0.3">
      <c r="A921" s="1" t="s">
        <v>1935</v>
      </c>
      <c r="B921" s="1" t="s">
        <v>95</v>
      </c>
      <c r="C921" s="1" t="s">
        <v>96</v>
      </c>
      <c r="D921" s="1" t="s">
        <v>97</v>
      </c>
      <c r="E921" s="1" t="s">
        <v>40</v>
      </c>
      <c r="F921" s="1" t="s">
        <v>48</v>
      </c>
      <c r="G921" s="2">
        <v>379.24</v>
      </c>
      <c r="H921" s="1">
        <v>0</v>
      </c>
      <c r="I921" s="1">
        <v>233</v>
      </c>
      <c r="J921" s="1">
        <v>228</v>
      </c>
      <c r="K921" s="1">
        <v>83</v>
      </c>
      <c r="L921" s="1">
        <v>72</v>
      </c>
      <c r="M921" s="1" t="s">
        <v>49</v>
      </c>
      <c r="N921" s="1" t="s">
        <v>60</v>
      </c>
      <c r="O921" t="s">
        <v>212</v>
      </c>
      <c r="P921" s="2">
        <v>265.47000000000003</v>
      </c>
      <c r="Q921" s="1" t="str">
        <f>IF(J261&gt;K261,"YES","NO")</f>
        <v>YES</v>
      </c>
      <c r="R921" s="2">
        <f>IF(Q261="YES",G261*0.9,G261)</f>
        <v>341.31600000000003</v>
      </c>
      <c r="S921" s="2">
        <f>J261*G261</f>
        <v>86466.72</v>
      </c>
      <c r="T921" s="1">
        <f ca="1">TODAY()-DATE(MID(O261,7,4),MID(O261,4,2),LEFT(O261,2))</f>
        <v>78</v>
      </c>
      <c r="U921" s="1" t="s">
        <v>34</v>
      </c>
      <c r="V921" s="1" t="s">
        <v>34</v>
      </c>
      <c r="W921" s="1" t="s">
        <v>34</v>
      </c>
      <c r="X921" t="s">
        <v>2561</v>
      </c>
      <c r="Y921" s="1">
        <v>5.5</v>
      </c>
    </row>
    <row r="922" spans="1:25" x14ac:dyDescent="0.3">
      <c r="A922" s="1" t="s">
        <v>1936</v>
      </c>
      <c r="B922" s="1" t="s">
        <v>77</v>
      </c>
      <c r="C922" s="1" t="s">
        <v>78</v>
      </c>
      <c r="D922" s="1" t="s">
        <v>47</v>
      </c>
      <c r="E922" s="1" t="s">
        <v>40</v>
      </c>
      <c r="F922" s="1" t="s">
        <v>54</v>
      </c>
      <c r="G922" s="2">
        <v>236.63</v>
      </c>
      <c r="H922" s="1">
        <v>24</v>
      </c>
      <c r="I922" s="1">
        <v>198</v>
      </c>
      <c r="J922" s="1">
        <v>174</v>
      </c>
      <c r="K922" s="1">
        <v>63</v>
      </c>
      <c r="L922" s="1">
        <v>86</v>
      </c>
      <c r="M922" s="1" t="s">
        <v>31</v>
      </c>
      <c r="N922" s="1" t="s">
        <v>60</v>
      </c>
      <c r="O922" t="s">
        <v>109</v>
      </c>
      <c r="P922" s="2">
        <v>165.64</v>
      </c>
      <c r="Q922" s="1" t="str">
        <f>IF(J655&gt;K655,"YES","NO")</f>
        <v>YES</v>
      </c>
      <c r="R922" s="2">
        <f>IF(Q655="YES",G655*0.9,G655)</f>
        <v>212.96700000000001</v>
      </c>
      <c r="S922" s="2">
        <f>J655*G655</f>
        <v>41173.620000000003</v>
      </c>
      <c r="T922" s="1">
        <f ca="1">TODAY()-DATE(MID(O655,7,4),MID(O655,4,2),LEFT(O655,2))</f>
        <v>89</v>
      </c>
      <c r="U922" s="1" t="s">
        <v>34</v>
      </c>
      <c r="V922" s="1" t="s">
        <v>34</v>
      </c>
      <c r="W922" s="1" t="s">
        <v>34</v>
      </c>
      <c r="X922" t="s">
        <v>2661</v>
      </c>
      <c r="Y922" s="1">
        <v>7.5</v>
      </c>
    </row>
    <row r="923" spans="1:25" x14ac:dyDescent="0.3">
      <c r="A923" s="1" t="s">
        <v>1937</v>
      </c>
      <c r="B923" s="1" t="s">
        <v>197</v>
      </c>
      <c r="C923" s="1" t="s">
        <v>198</v>
      </c>
      <c r="D923" s="1" t="s">
        <v>104</v>
      </c>
      <c r="E923" s="1" t="s">
        <v>40</v>
      </c>
      <c r="F923" s="1" t="s">
        <v>30</v>
      </c>
      <c r="G923" s="2">
        <v>48.35</v>
      </c>
      <c r="H923" s="1">
        <v>4</v>
      </c>
      <c r="I923" s="1">
        <v>104</v>
      </c>
      <c r="J923" s="1">
        <v>104</v>
      </c>
      <c r="K923" s="1">
        <v>67</v>
      </c>
      <c r="L923" s="1">
        <v>53</v>
      </c>
      <c r="M923" s="1" t="s">
        <v>41</v>
      </c>
      <c r="N923" s="1" t="s">
        <v>60</v>
      </c>
      <c r="O923" t="s">
        <v>35</v>
      </c>
      <c r="P923" s="2">
        <v>33.840000000000003</v>
      </c>
      <c r="Q923" s="1" t="str">
        <f>IF(J248&gt;K248,"YES","NO")</f>
        <v>YES</v>
      </c>
      <c r="R923" s="2">
        <f>IF(Q248="YES",G248*0.9,G248)</f>
        <v>43.515000000000001</v>
      </c>
      <c r="S923" s="2">
        <f>J248*G248</f>
        <v>5028.4000000000005</v>
      </c>
      <c r="T923" s="1">
        <f ca="1">TODAY()-DATE(MID(O248,7,4),MID(O248,4,2),LEFT(O248,2))</f>
        <v>85</v>
      </c>
      <c r="U923" s="1" t="s">
        <v>34</v>
      </c>
      <c r="V923" s="1" t="s">
        <v>34</v>
      </c>
      <c r="W923" s="1" t="s">
        <v>34</v>
      </c>
      <c r="X923" t="s">
        <v>2879</v>
      </c>
      <c r="Y923" s="1">
        <v>9</v>
      </c>
    </row>
    <row r="924" spans="1:25" x14ac:dyDescent="0.3">
      <c r="A924" s="1" t="s">
        <v>1938</v>
      </c>
      <c r="B924" s="1" t="s">
        <v>111</v>
      </c>
      <c r="C924" s="1" t="s">
        <v>112</v>
      </c>
      <c r="D924" s="1" t="s">
        <v>97</v>
      </c>
      <c r="E924" s="1" t="s">
        <v>74</v>
      </c>
      <c r="F924" s="1" t="s">
        <v>48</v>
      </c>
      <c r="G924" s="2">
        <v>330.07</v>
      </c>
      <c r="H924" s="1">
        <v>23</v>
      </c>
      <c r="I924" s="1">
        <v>182</v>
      </c>
      <c r="J924" s="1">
        <v>165</v>
      </c>
      <c r="K924" s="1">
        <v>50</v>
      </c>
      <c r="L924" s="1">
        <v>59</v>
      </c>
      <c r="M924" s="1" t="s">
        <v>41</v>
      </c>
      <c r="N924" s="1" t="s">
        <v>42</v>
      </c>
      <c r="O924" t="s">
        <v>302</v>
      </c>
      <c r="P924" s="2">
        <v>231.05</v>
      </c>
      <c r="Q924" s="1" t="str">
        <f>IF(J275&gt;K275,"YES","NO")</f>
        <v>YES</v>
      </c>
      <c r="R924" s="2">
        <f>IF(Q275="YES",G275*0.9,G275)</f>
        <v>297.06299999999999</v>
      </c>
      <c r="S924" s="2">
        <f>J275*G275</f>
        <v>54461.549999999996</v>
      </c>
      <c r="T924" s="1">
        <f ca="1">TODAY()-DATE(MID(O275,7,4),MID(O275,4,2),LEFT(O275,2))</f>
        <v>133</v>
      </c>
      <c r="U924" s="1" t="s">
        <v>34</v>
      </c>
      <c r="V924" s="1" t="s">
        <v>34</v>
      </c>
      <c r="W924" s="1" t="s">
        <v>34</v>
      </c>
      <c r="X924" t="s">
        <v>2623</v>
      </c>
      <c r="Y924" s="1">
        <v>7.5</v>
      </c>
    </row>
    <row r="925" spans="1:25" x14ac:dyDescent="0.3">
      <c r="A925" s="1" t="s">
        <v>1939</v>
      </c>
      <c r="B925" s="1" t="s">
        <v>189</v>
      </c>
      <c r="C925" s="1" t="s">
        <v>190</v>
      </c>
      <c r="D925" s="1" t="s">
        <v>59</v>
      </c>
      <c r="E925" s="1" t="s">
        <v>74</v>
      </c>
      <c r="F925" s="1" t="s">
        <v>30</v>
      </c>
      <c r="G925" s="2">
        <v>275.60000000000002</v>
      </c>
      <c r="H925" s="1">
        <v>12</v>
      </c>
      <c r="I925" s="1">
        <v>223</v>
      </c>
      <c r="J925" s="1">
        <v>218</v>
      </c>
      <c r="K925" s="1">
        <v>88</v>
      </c>
      <c r="L925" s="1">
        <v>125</v>
      </c>
      <c r="M925" s="1" t="s">
        <v>41</v>
      </c>
      <c r="N925" s="1" t="s">
        <v>42</v>
      </c>
      <c r="O925" t="s">
        <v>209</v>
      </c>
      <c r="P925" s="2">
        <v>192.92</v>
      </c>
      <c r="Q925" s="1" t="str">
        <f>IF(J67&gt;K67,"YES","NO")</f>
        <v>YES</v>
      </c>
      <c r="R925" s="2">
        <f>IF(Q67="YES",G67*0.9,G67)</f>
        <v>248.04000000000002</v>
      </c>
      <c r="S925" s="2">
        <f>J67*G67</f>
        <v>60080.800000000003</v>
      </c>
      <c r="T925" s="1">
        <f ca="1">TODAY()-DATE(MID(O67,7,4),MID(O67,4,2),LEFT(O67,2))</f>
        <v>127</v>
      </c>
      <c r="U925" s="1" t="s">
        <v>34</v>
      </c>
      <c r="V925" s="1" t="s">
        <v>34</v>
      </c>
      <c r="W925" s="1" t="s">
        <v>34</v>
      </c>
      <c r="X925" t="s">
        <v>2791</v>
      </c>
      <c r="Y925" s="1">
        <v>8.5</v>
      </c>
    </row>
    <row r="926" spans="1:25" x14ac:dyDescent="0.3">
      <c r="A926" s="1" t="s">
        <v>1940</v>
      </c>
      <c r="B926" s="1" t="s">
        <v>123</v>
      </c>
      <c r="C926" s="1" t="s">
        <v>124</v>
      </c>
      <c r="D926" s="1" t="s">
        <v>47</v>
      </c>
      <c r="E926" s="1" t="s">
        <v>74</v>
      </c>
      <c r="F926" s="1" t="s">
        <v>30</v>
      </c>
      <c r="G926" s="2">
        <v>143.32</v>
      </c>
      <c r="H926" s="1">
        <v>10</v>
      </c>
      <c r="I926" s="1">
        <v>81</v>
      </c>
      <c r="J926" s="1">
        <v>70</v>
      </c>
      <c r="K926" s="1">
        <v>119</v>
      </c>
      <c r="L926" s="1">
        <v>98</v>
      </c>
      <c r="M926" s="1" t="s">
        <v>49</v>
      </c>
      <c r="N926" s="1" t="s">
        <v>60</v>
      </c>
      <c r="O926" t="s">
        <v>113</v>
      </c>
      <c r="P926" s="2">
        <v>100.32</v>
      </c>
      <c r="Q926" s="1" t="str">
        <f>IF(J35&gt;K35,"YES","NO")</f>
        <v>NO</v>
      </c>
      <c r="R926" s="2">
        <f>IF(Q35="YES",G35*0.9,G35)</f>
        <v>143.32</v>
      </c>
      <c r="S926" s="2">
        <f>J35*G35</f>
        <v>10032.4</v>
      </c>
      <c r="T926" s="1">
        <f ca="1">TODAY()-DATE(MID(O35,7,4),MID(O35,4,2),LEFT(O35,2))</f>
        <v>82</v>
      </c>
      <c r="U926" s="1" t="s">
        <v>34</v>
      </c>
      <c r="V926" s="1" t="s">
        <v>34</v>
      </c>
      <c r="W926" s="1" t="s">
        <v>34</v>
      </c>
      <c r="X926" t="s">
        <v>2667</v>
      </c>
      <c r="Y926" s="1">
        <v>7.5</v>
      </c>
    </row>
    <row r="927" spans="1:25" x14ac:dyDescent="0.3">
      <c r="A927" s="1" t="s">
        <v>1941</v>
      </c>
      <c r="B927" s="1" t="s">
        <v>77</v>
      </c>
      <c r="C927" s="1" t="s">
        <v>78</v>
      </c>
      <c r="D927" s="1" t="s">
        <v>47</v>
      </c>
      <c r="E927" s="1" t="s">
        <v>40</v>
      </c>
      <c r="F927" s="1" t="s">
        <v>54</v>
      </c>
      <c r="G927" s="2">
        <v>323.18</v>
      </c>
      <c r="H927" s="1">
        <v>1</v>
      </c>
      <c r="I927" s="1">
        <v>236</v>
      </c>
      <c r="J927" s="1">
        <v>201</v>
      </c>
      <c r="K927" s="1">
        <v>57</v>
      </c>
      <c r="L927" s="1">
        <v>147</v>
      </c>
      <c r="M927" s="1" t="s">
        <v>41</v>
      </c>
      <c r="N927" s="1" t="s">
        <v>42</v>
      </c>
      <c r="O927" t="s">
        <v>145</v>
      </c>
      <c r="P927" s="2">
        <v>226.23</v>
      </c>
      <c r="Q927" s="1" t="str">
        <f>IF(J224&gt;K224,"YES","NO")</f>
        <v>YES</v>
      </c>
      <c r="R927" s="2">
        <f>IF(Q224="YES",G224*0.9,G224)</f>
        <v>290.86200000000002</v>
      </c>
      <c r="S927" s="2">
        <f>J224*G224</f>
        <v>64959.18</v>
      </c>
      <c r="T927" s="1">
        <f ca="1">TODAY()-DATE(MID(O224,7,4),MID(O224,4,2),LEFT(O224,2))</f>
        <v>68</v>
      </c>
      <c r="U927" s="1" t="s">
        <v>34</v>
      </c>
      <c r="V927" s="1" t="s">
        <v>34</v>
      </c>
      <c r="W927" s="1" t="s">
        <v>34</v>
      </c>
      <c r="X927" t="s">
        <v>2749</v>
      </c>
      <c r="Y927" s="1">
        <v>7</v>
      </c>
    </row>
    <row r="928" spans="1:25" x14ac:dyDescent="0.3">
      <c r="A928" s="1" t="s">
        <v>1942</v>
      </c>
      <c r="B928" s="1" t="s">
        <v>126</v>
      </c>
      <c r="C928" s="1" t="s">
        <v>127</v>
      </c>
      <c r="D928" s="1" t="s">
        <v>85</v>
      </c>
      <c r="E928" s="1" t="s">
        <v>40</v>
      </c>
      <c r="F928" s="1" t="s">
        <v>48</v>
      </c>
      <c r="G928" s="2">
        <v>420.84</v>
      </c>
      <c r="H928" s="1">
        <v>0</v>
      </c>
      <c r="I928" s="1">
        <v>296</v>
      </c>
      <c r="J928" s="1">
        <v>257</v>
      </c>
      <c r="K928" s="1">
        <v>86</v>
      </c>
      <c r="L928" s="1">
        <v>98</v>
      </c>
      <c r="M928" s="1" t="s">
        <v>49</v>
      </c>
      <c r="N928" s="1" t="s">
        <v>32</v>
      </c>
      <c r="O928" t="s">
        <v>133</v>
      </c>
      <c r="P928" s="2">
        <v>294.58999999999997</v>
      </c>
      <c r="Q928" s="1" t="str">
        <f>IF(J324&gt;K324,"YES","NO")</f>
        <v>YES</v>
      </c>
      <c r="R928" s="2">
        <f>IF(Q324="YES",G324*0.9,G324)</f>
        <v>378.75599999999997</v>
      </c>
      <c r="S928" s="2">
        <f>J324*G324</f>
        <v>108155.87999999999</v>
      </c>
      <c r="T928" s="1">
        <f ca="1">TODAY()-DATE(MID(O324,7,4),MID(O324,4,2),LEFT(O324,2))</f>
        <v>76</v>
      </c>
      <c r="U928" s="1" t="s">
        <v>34</v>
      </c>
      <c r="V928" s="1" t="s">
        <v>34</v>
      </c>
      <c r="W928" s="1" t="s">
        <v>34</v>
      </c>
      <c r="X928" t="s">
        <v>2718</v>
      </c>
      <c r="Y928" s="1">
        <v>7</v>
      </c>
    </row>
    <row r="929" spans="1:25" x14ac:dyDescent="0.3">
      <c r="A929" s="1" t="s">
        <v>1943</v>
      </c>
      <c r="B929" s="1" t="s">
        <v>52</v>
      </c>
      <c r="C929" s="1" t="s">
        <v>53</v>
      </c>
      <c r="D929" s="1" t="s">
        <v>47</v>
      </c>
      <c r="E929" s="1" t="s">
        <v>29</v>
      </c>
      <c r="F929" s="1" t="s">
        <v>54</v>
      </c>
      <c r="G929" s="2">
        <v>147.25</v>
      </c>
      <c r="H929" s="1">
        <v>7</v>
      </c>
      <c r="I929" s="1">
        <v>103</v>
      </c>
      <c r="J929" s="1">
        <v>66</v>
      </c>
      <c r="K929" s="1">
        <v>44</v>
      </c>
      <c r="L929" s="1">
        <v>97</v>
      </c>
      <c r="M929" s="1" t="s">
        <v>49</v>
      </c>
      <c r="N929" s="1" t="s">
        <v>32</v>
      </c>
      <c r="O929" t="s">
        <v>384</v>
      </c>
      <c r="P929" s="2">
        <v>103.07</v>
      </c>
      <c r="Q929" s="1" t="str">
        <f>IF(J628&gt;K628,"YES","NO")</f>
        <v>YES</v>
      </c>
      <c r="R929" s="2">
        <f>IF(Q628="YES",G628*0.9,G628)</f>
        <v>132.52500000000001</v>
      </c>
      <c r="S929" s="2">
        <f>J628*G628</f>
        <v>9718.5</v>
      </c>
      <c r="T929" s="1">
        <f ca="1">TODAY()-DATE(MID(O628,7,4),MID(O628,4,2),LEFT(O628,2))</f>
        <v>147</v>
      </c>
      <c r="U929" s="1" t="s">
        <v>34</v>
      </c>
      <c r="V929" s="1" t="s">
        <v>34</v>
      </c>
      <c r="W929" s="1" t="s">
        <v>34</v>
      </c>
      <c r="X929" t="s">
        <v>2629</v>
      </c>
      <c r="Y929" s="1">
        <v>9</v>
      </c>
    </row>
    <row r="930" spans="1:25" x14ac:dyDescent="0.3">
      <c r="A930" s="1" t="s">
        <v>1944</v>
      </c>
      <c r="B930" s="1" t="s">
        <v>176</v>
      </c>
      <c r="C930" s="1" t="s">
        <v>177</v>
      </c>
      <c r="D930" s="1" t="s">
        <v>39</v>
      </c>
      <c r="E930" s="1" t="s">
        <v>29</v>
      </c>
      <c r="F930" s="1" t="s">
        <v>54</v>
      </c>
      <c r="G930" s="2">
        <v>442</v>
      </c>
      <c r="H930" s="1">
        <v>1</v>
      </c>
      <c r="I930" s="1">
        <v>81</v>
      </c>
      <c r="J930" s="1">
        <v>52</v>
      </c>
      <c r="K930" s="1">
        <v>85</v>
      </c>
      <c r="L930" s="1">
        <v>82</v>
      </c>
      <c r="M930" s="1" t="s">
        <v>49</v>
      </c>
      <c r="N930" s="1" t="s">
        <v>42</v>
      </c>
      <c r="O930" t="s">
        <v>333</v>
      </c>
      <c r="P930" s="2">
        <v>309.39999999999998</v>
      </c>
      <c r="Q930" s="1" t="str">
        <f>IF(J674&gt;K674,"YES","NO")</f>
        <v>NO</v>
      </c>
      <c r="R930" s="2">
        <f>IF(Q674="YES",G674*0.9,G674)</f>
        <v>442</v>
      </c>
      <c r="S930" s="2">
        <f>J674*G674</f>
        <v>22984</v>
      </c>
      <c r="T930" s="1">
        <f ca="1">TODAY()-DATE(MID(O674,7,4),MID(O674,4,2),LEFT(O674,2))</f>
        <v>109</v>
      </c>
      <c r="U930" s="1" t="s">
        <v>34</v>
      </c>
      <c r="V930" s="1" t="s">
        <v>34</v>
      </c>
      <c r="W930" s="1" t="s">
        <v>34</v>
      </c>
      <c r="X930" t="s">
        <v>2737</v>
      </c>
      <c r="Y930" s="1">
        <v>7</v>
      </c>
    </row>
    <row r="931" spans="1:25" x14ac:dyDescent="0.3">
      <c r="A931" s="1" t="s">
        <v>1945</v>
      </c>
      <c r="B931" s="1" t="s">
        <v>126</v>
      </c>
      <c r="C931" s="1" t="s">
        <v>127</v>
      </c>
      <c r="D931" s="1" t="s">
        <v>85</v>
      </c>
      <c r="E931" s="1" t="s">
        <v>40</v>
      </c>
      <c r="F931" s="1" t="s">
        <v>30</v>
      </c>
      <c r="G931" s="2">
        <v>147.47999999999999</v>
      </c>
      <c r="H931" s="1">
        <v>11</v>
      </c>
      <c r="I931" s="1">
        <v>135</v>
      </c>
      <c r="J931" s="1">
        <v>115</v>
      </c>
      <c r="K931" s="1">
        <v>85</v>
      </c>
      <c r="L931" s="1">
        <v>81</v>
      </c>
      <c r="M931" s="1" t="s">
        <v>49</v>
      </c>
      <c r="N931" s="1" t="s">
        <v>60</v>
      </c>
      <c r="O931" t="s">
        <v>336</v>
      </c>
      <c r="P931" s="2">
        <v>103.24</v>
      </c>
      <c r="Q931" s="1" t="str">
        <f>IF(J220&gt;K220,"YES","NO")</f>
        <v>YES</v>
      </c>
      <c r="R931" s="2">
        <f>IF(Q220="YES",G220*0.9,G220)</f>
        <v>132.732</v>
      </c>
      <c r="S931" s="2">
        <f>J220*G220</f>
        <v>16960.199999999997</v>
      </c>
      <c r="T931" s="1">
        <f ca="1">TODAY()-DATE(MID(O220,7,4),MID(O220,4,2),LEFT(O220,2))</f>
        <v>131</v>
      </c>
      <c r="U931" s="1" t="s">
        <v>34</v>
      </c>
      <c r="V931" s="1" t="s">
        <v>34</v>
      </c>
      <c r="W931" s="1" t="s">
        <v>34</v>
      </c>
      <c r="X931" t="s">
        <v>2648</v>
      </c>
      <c r="Y931" s="1">
        <v>5</v>
      </c>
    </row>
    <row r="932" spans="1:25" x14ac:dyDescent="0.3">
      <c r="A932" s="1" t="s">
        <v>1946</v>
      </c>
      <c r="B932" s="1" t="s">
        <v>143</v>
      </c>
      <c r="C932" s="1" t="s">
        <v>144</v>
      </c>
      <c r="D932" s="1" t="s">
        <v>47</v>
      </c>
      <c r="E932" s="1" t="s">
        <v>29</v>
      </c>
      <c r="F932" s="1" t="s">
        <v>30</v>
      </c>
      <c r="G932" s="2">
        <v>205.91</v>
      </c>
      <c r="H932" s="1">
        <v>11</v>
      </c>
      <c r="I932" s="1">
        <v>107</v>
      </c>
      <c r="J932" s="1">
        <v>92</v>
      </c>
      <c r="K932" s="1">
        <v>48</v>
      </c>
      <c r="L932" s="1">
        <v>121</v>
      </c>
      <c r="M932" s="1" t="s">
        <v>31</v>
      </c>
      <c r="N932" s="1" t="s">
        <v>32</v>
      </c>
      <c r="O932" t="s">
        <v>178</v>
      </c>
      <c r="P932" s="2">
        <v>144.13999999999999</v>
      </c>
      <c r="Q932" s="1" t="str">
        <f>IF(J82&gt;K82,"YES","NO")</f>
        <v>YES</v>
      </c>
      <c r="R932" s="2">
        <f>IF(Q82="YES",G82*0.9,G82)</f>
        <v>185.31899999999999</v>
      </c>
      <c r="S932" s="2">
        <f>J82*G82</f>
        <v>18943.72</v>
      </c>
      <c r="T932" s="1">
        <f ca="1">TODAY()-DATE(MID(O82,7,4),MID(O82,4,2),LEFT(O82,2))</f>
        <v>90</v>
      </c>
      <c r="U932" s="1" t="s">
        <v>34</v>
      </c>
      <c r="V932" s="1" t="s">
        <v>34</v>
      </c>
      <c r="W932" s="1" t="s">
        <v>34</v>
      </c>
      <c r="X932" t="s">
        <v>2647</v>
      </c>
      <c r="Y932" s="1">
        <v>6</v>
      </c>
    </row>
    <row r="933" spans="1:25" x14ac:dyDescent="0.3">
      <c r="A933" s="1" t="s">
        <v>1947</v>
      </c>
      <c r="B933" s="1" t="s">
        <v>172</v>
      </c>
      <c r="C933" s="1" t="s">
        <v>173</v>
      </c>
      <c r="D933" s="1" t="s">
        <v>132</v>
      </c>
      <c r="E933" s="1" t="s">
        <v>40</v>
      </c>
      <c r="F933" s="1" t="s">
        <v>30</v>
      </c>
      <c r="G933" s="2">
        <v>212.7</v>
      </c>
      <c r="H933" s="1">
        <v>22</v>
      </c>
      <c r="I933" s="1">
        <v>104</v>
      </c>
      <c r="J933" s="1">
        <v>103</v>
      </c>
      <c r="K933" s="1">
        <v>49</v>
      </c>
      <c r="L933" s="1">
        <v>140</v>
      </c>
      <c r="M933" s="1" t="s">
        <v>49</v>
      </c>
      <c r="N933" s="1" t="s">
        <v>42</v>
      </c>
      <c r="O933" t="s">
        <v>209</v>
      </c>
      <c r="P933" s="2">
        <v>148.88999999999999</v>
      </c>
      <c r="Q933" s="1" t="str">
        <f>IF(J514&gt;K514,"YES","NO")</f>
        <v>YES</v>
      </c>
      <c r="R933" s="2">
        <f>IF(Q514="YES",G514*0.9,G514)</f>
        <v>191.43</v>
      </c>
      <c r="S933" s="2">
        <f>J514*G514</f>
        <v>21908.1</v>
      </c>
      <c r="T933" s="1">
        <f ca="1">TODAY()-DATE(MID(O514,7,4),MID(O514,4,2),LEFT(O514,2))</f>
        <v>127</v>
      </c>
      <c r="U933" s="1" t="s">
        <v>34</v>
      </c>
      <c r="V933" s="1" t="s">
        <v>34</v>
      </c>
      <c r="W933" s="1" t="s">
        <v>34</v>
      </c>
      <c r="X933" t="s">
        <v>2613</v>
      </c>
      <c r="Y933" s="1">
        <v>7</v>
      </c>
    </row>
    <row r="934" spans="1:25" x14ac:dyDescent="0.3">
      <c r="A934" s="1" t="s">
        <v>1948</v>
      </c>
      <c r="B934" s="1" t="s">
        <v>26</v>
      </c>
      <c r="C934" s="1" t="s">
        <v>27</v>
      </c>
      <c r="D934" s="1" t="s">
        <v>28</v>
      </c>
      <c r="E934" s="1" t="s">
        <v>29</v>
      </c>
      <c r="F934" s="1" t="s">
        <v>30</v>
      </c>
      <c r="G934" s="2">
        <v>349.41</v>
      </c>
      <c r="H934" s="1">
        <v>25</v>
      </c>
      <c r="I934" s="1">
        <v>81</v>
      </c>
      <c r="J934" s="1">
        <v>49</v>
      </c>
      <c r="K934" s="1">
        <v>101</v>
      </c>
      <c r="L934" s="1">
        <v>86</v>
      </c>
      <c r="M934" s="1" t="s">
        <v>41</v>
      </c>
      <c r="N934" s="1" t="s">
        <v>60</v>
      </c>
      <c r="O934" t="s">
        <v>187</v>
      </c>
      <c r="P934" s="2">
        <v>244.59</v>
      </c>
      <c r="Q934" s="1" t="str">
        <f>IF(J602&gt;K602,"YES","NO")</f>
        <v>NO</v>
      </c>
      <c r="R934" s="2">
        <f>IF(Q602="YES",G602*0.9,G602)</f>
        <v>349.41</v>
      </c>
      <c r="S934" s="2">
        <f>J602*G602</f>
        <v>17121.09</v>
      </c>
      <c r="T934" s="1">
        <f ca="1">TODAY()-DATE(MID(O602,7,4),MID(O602,4,2),LEFT(O602,2))</f>
        <v>148</v>
      </c>
      <c r="U934" s="1" t="s">
        <v>34</v>
      </c>
      <c r="V934" s="1" t="s">
        <v>34</v>
      </c>
      <c r="W934" s="1" t="s">
        <v>34</v>
      </c>
      <c r="X934" t="s">
        <v>2665</v>
      </c>
      <c r="Y934" s="1">
        <v>6</v>
      </c>
    </row>
    <row r="935" spans="1:25" x14ac:dyDescent="0.3">
      <c r="A935" s="1" t="s">
        <v>1949</v>
      </c>
      <c r="B935" s="1" t="s">
        <v>77</v>
      </c>
      <c r="C935" s="1" t="s">
        <v>78</v>
      </c>
      <c r="D935" s="1" t="s">
        <v>47</v>
      </c>
      <c r="E935" s="1" t="s">
        <v>74</v>
      </c>
      <c r="F935" s="1" t="s">
        <v>48</v>
      </c>
      <c r="G935" s="2">
        <v>280.89999999999998</v>
      </c>
      <c r="H935" s="1">
        <v>1</v>
      </c>
      <c r="I935" s="1">
        <v>277</v>
      </c>
      <c r="J935" s="1">
        <v>269</v>
      </c>
      <c r="K935" s="1">
        <v>116</v>
      </c>
      <c r="L935" s="1">
        <v>111</v>
      </c>
      <c r="M935" s="1" t="s">
        <v>49</v>
      </c>
      <c r="N935" s="1" t="s">
        <v>60</v>
      </c>
      <c r="O935" t="s">
        <v>384</v>
      </c>
      <c r="P935" s="2">
        <v>196.63</v>
      </c>
      <c r="Q935" s="1" t="str">
        <f>IF(J206&gt;K206,"YES","NO")</f>
        <v>YES</v>
      </c>
      <c r="R935" s="2">
        <f>IF(Q206="YES",G206*0.9,G206)</f>
        <v>252.80999999999997</v>
      </c>
      <c r="S935" s="2">
        <f>J206*G206</f>
        <v>75562.099999999991</v>
      </c>
      <c r="T935" s="1">
        <f ca="1">TODAY()-DATE(MID(O206,7,4),MID(O206,4,2),LEFT(O206,2))</f>
        <v>147</v>
      </c>
      <c r="U935" s="1" t="s">
        <v>34</v>
      </c>
      <c r="V935" s="1" t="s">
        <v>34</v>
      </c>
      <c r="W935" s="1" t="s">
        <v>34</v>
      </c>
      <c r="X935" t="s">
        <v>2618</v>
      </c>
      <c r="Y935" s="1">
        <v>8</v>
      </c>
    </row>
    <row r="936" spans="1:25" x14ac:dyDescent="0.3">
      <c r="A936" s="1" t="s">
        <v>1950</v>
      </c>
      <c r="B936" s="1" t="s">
        <v>197</v>
      </c>
      <c r="C936" s="1" t="s">
        <v>198</v>
      </c>
      <c r="D936" s="1" t="s">
        <v>104</v>
      </c>
      <c r="E936" s="1" t="s">
        <v>74</v>
      </c>
      <c r="F936" s="1" t="s">
        <v>30</v>
      </c>
      <c r="G936" s="2">
        <v>409.68</v>
      </c>
      <c r="H936" s="1">
        <v>5</v>
      </c>
      <c r="I936" s="1">
        <v>101</v>
      </c>
      <c r="J936" s="1">
        <v>96</v>
      </c>
      <c r="K936" s="1">
        <v>43</v>
      </c>
      <c r="L936" s="1">
        <v>142</v>
      </c>
      <c r="M936" s="1" t="s">
        <v>41</v>
      </c>
      <c r="N936" s="1" t="s">
        <v>42</v>
      </c>
      <c r="O936" t="s">
        <v>260</v>
      </c>
      <c r="P936" s="2">
        <v>286.77999999999997</v>
      </c>
      <c r="Q936" s="1" t="str">
        <f>IF(J711&gt;K711,"YES","NO")</f>
        <v>YES</v>
      </c>
      <c r="R936" s="2">
        <f>IF(Q711="YES",G711*0.9,G711)</f>
        <v>368.71199999999999</v>
      </c>
      <c r="S936" s="2">
        <f>J711*G711</f>
        <v>39329.279999999999</v>
      </c>
      <c r="T936" s="1">
        <f ca="1">TODAY()-DATE(MID(O711,7,4),MID(O711,4,2),LEFT(O711,2))</f>
        <v>70</v>
      </c>
      <c r="U936" s="1" t="s">
        <v>34</v>
      </c>
      <c r="V936" s="1" t="s">
        <v>34</v>
      </c>
      <c r="W936" s="1" t="s">
        <v>34</v>
      </c>
      <c r="X936" t="s">
        <v>2681</v>
      </c>
      <c r="Y936" s="1">
        <v>5.5</v>
      </c>
    </row>
    <row r="937" spans="1:25" x14ac:dyDescent="0.3">
      <c r="A937" s="1" t="s">
        <v>1951</v>
      </c>
      <c r="B937" s="1" t="s">
        <v>299</v>
      </c>
      <c r="C937" s="1" t="s">
        <v>300</v>
      </c>
      <c r="D937" s="1" t="s">
        <v>39</v>
      </c>
      <c r="E937" s="1" t="s">
        <v>40</v>
      </c>
      <c r="F937" s="1" t="s">
        <v>54</v>
      </c>
      <c r="G937" s="2">
        <v>106.33</v>
      </c>
      <c r="H937" s="1">
        <v>16</v>
      </c>
      <c r="I937" s="1">
        <v>152</v>
      </c>
      <c r="J937" s="1">
        <v>149</v>
      </c>
      <c r="K937" s="1">
        <v>98</v>
      </c>
      <c r="L937" s="1">
        <v>98</v>
      </c>
      <c r="M937" s="1" t="s">
        <v>41</v>
      </c>
      <c r="N937" s="1" t="s">
        <v>42</v>
      </c>
      <c r="O937" t="s">
        <v>217</v>
      </c>
      <c r="P937" s="2">
        <v>74.430000000000007</v>
      </c>
      <c r="Q937" s="1" t="str">
        <f>IF(J132&gt;K132,"YES","NO")</f>
        <v>YES</v>
      </c>
      <c r="R937" s="2">
        <f>IF(Q132="YES",G132*0.9,G132)</f>
        <v>95.697000000000003</v>
      </c>
      <c r="S937" s="2">
        <f>J132*G132</f>
        <v>15843.17</v>
      </c>
      <c r="T937" s="1">
        <f ca="1">TODAY()-DATE(MID(O132,7,4),MID(O132,4,2),LEFT(O132,2))</f>
        <v>100</v>
      </c>
      <c r="U937" s="1" t="s">
        <v>34</v>
      </c>
      <c r="V937" s="1" t="s">
        <v>34</v>
      </c>
      <c r="W937" s="1" t="s">
        <v>34</v>
      </c>
      <c r="X937" t="s">
        <v>2889</v>
      </c>
      <c r="Y937" s="1">
        <v>6</v>
      </c>
    </row>
    <row r="938" spans="1:25" x14ac:dyDescent="0.3">
      <c r="A938" s="1" t="s">
        <v>1952</v>
      </c>
      <c r="B938" s="1" t="s">
        <v>143</v>
      </c>
      <c r="C938" s="1" t="s">
        <v>144</v>
      </c>
      <c r="D938" s="1" t="s">
        <v>47</v>
      </c>
      <c r="E938" s="1" t="s">
        <v>74</v>
      </c>
      <c r="F938" s="1" t="s">
        <v>54</v>
      </c>
      <c r="G938" s="2">
        <v>389.6</v>
      </c>
      <c r="H938" s="1">
        <v>8</v>
      </c>
      <c r="I938" s="1">
        <v>287</v>
      </c>
      <c r="J938" s="1">
        <v>273</v>
      </c>
      <c r="K938" s="1">
        <v>76</v>
      </c>
      <c r="L938" s="1">
        <v>116</v>
      </c>
      <c r="M938" s="1" t="s">
        <v>49</v>
      </c>
      <c r="N938" s="1" t="s">
        <v>42</v>
      </c>
      <c r="O938" t="s">
        <v>395</v>
      </c>
      <c r="P938" s="2">
        <v>272.72000000000003</v>
      </c>
      <c r="Q938" s="1" t="str">
        <f>IF(J467&gt;K467,"YES","NO")</f>
        <v>YES</v>
      </c>
      <c r="R938" s="2">
        <f>IF(Q467="YES",G467*0.9,G467)</f>
        <v>350.64000000000004</v>
      </c>
      <c r="S938" s="2">
        <f>J467*G467</f>
        <v>106360.8</v>
      </c>
      <c r="T938" s="1">
        <f ca="1">TODAY()-DATE(MID(O467,7,4),MID(O467,4,2),LEFT(O467,2))</f>
        <v>101</v>
      </c>
      <c r="U938" s="1" t="s">
        <v>34</v>
      </c>
      <c r="V938" s="1" t="s">
        <v>34</v>
      </c>
      <c r="W938" s="1" t="s">
        <v>34</v>
      </c>
      <c r="X938" t="s">
        <v>2528</v>
      </c>
      <c r="Y938" s="1">
        <v>8.5</v>
      </c>
    </row>
    <row r="939" spans="1:25" x14ac:dyDescent="0.3">
      <c r="A939" s="1" t="s">
        <v>1953</v>
      </c>
      <c r="B939" s="1" t="s">
        <v>172</v>
      </c>
      <c r="C939" s="1" t="s">
        <v>173</v>
      </c>
      <c r="D939" s="1" t="s">
        <v>132</v>
      </c>
      <c r="E939" s="1" t="s">
        <v>40</v>
      </c>
      <c r="F939" s="1" t="s">
        <v>54</v>
      </c>
      <c r="G939" s="2">
        <v>313.81</v>
      </c>
      <c r="H939" s="1">
        <v>22</v>
      </c>
      <c r="I939" s="1">
        <v>111</v>
      </c>
      <c r="J939" s="1">
        <v>74</v>
      </c>
      <c r="K939" s="1">
        <v>87</v>
      </c>
      <c r="L939" s="1">
        <v>63</v>
      </c>
      <c r="M939" s="1" t="s">
        <v>49</v>
      </c>
      <c r="N939" s="1" t="s">
        <v>42</v>
      </c>
      <c r="O939" t="s">
        <v>224</v>
      </c>
      <c r="P939" s="2">
        <v>219.67</v>
      </c>
      <c r="Q939" s="1" t="str">
        <f>IF(J713&gt;K713,"YES","NO")</f>
        <v>NO</v>
      </c>
      <c r="R939" s="2">
        <f>IF(Q713="YES",G713*0.9,G713)</f>
        <v>313.81</v>
      </c>
      <c r="S939" s="2">
        <f>J713*G713</f>
        <v>23221.94</v>
      </c>
      <c r="T939" s="1">
        <f ca="1">TODAY()-DATE(MID(O713,7,4),MID(O713,4,2),LEFT(O713,2))</f>
        <v>140</v>
      </c>
      <c r="U939" s="1" t="s">
        <v>34</v>
      </c>
      <c r="V939" s="1" t="s">
        <v>34</v>
      </c>
      <c r="W939" s="1" t="s">
        <v>34</v>
      </c>
      <c r="X939" t="s">
        <v>2699</v>
      </c>
      <c r="Y939" s="1">
        <v>6.5</v>
      </c>
    </row>
    <row r="940" spans="1:25" x14ac:dyDescent="0.3">
      <c r="A940" s="1" t="s">
        <v>1954</v>
      </c>
      <c r="B940" s="1" t="s">
        <v>52</v>
      </c>
      <c r="C940" s="1" t="s">
        <v>53</v>
      </c>
      <c r="D940" s="1" t="s">
        <v>47</v>
      </c>
      <c r="E940" s="1" t="s">
        <v>29</v>
      </c>
      <c r="F940" s="1" t="s">
        <v>30</v>
      </c>
      <c r="G940" s="2">
        <v>299.77</v>
      </c>
      <c r="H940" s="1">
        <v>13</v>
      </c>
      <c r="I940" s="1">
        <v>183</v>
      </c>
      <c r="J940" s="1">
        <v>147</v>
      </c>
      <c r="K940" s="1">
        <v>116</v>
      </c>
      <c r="L940" s="1">
        <v>123</v>
      </c>
      <c r="M940" s="1" t="s">
        <v>41</v>
      </c>
      <c r="N940" s="1" t="s">
        <v>32</v>
      </c>
      <c r="O940" t="s">
        <v>81</v>
      </c>
      <c r="P940" s="2">
        <v>209.84</v>
      </c>
      <c r="Q940" s="1" t="str">
        <f>IF(J498&gt;K498,"YES","NO")</f>
        <v>YES</v>
      </c>
      <c r="R940" s="2">
        <f>IF(Q498="YES",G498*0.9,G498)</f>
        <v>269.79300000000001</v>
      </c>
      <c r="S940" s="2">
        <f>J498*G498</f>
        <v>44066.189999999995</v>
      </c>
      <c r="T940" s="1">
        <f ca="1">TODAY()-DATE(MID(O498,7,4),MID(O498,4,2),LEFT(O498,2))</f>
        <v>81</v>
      </c>
      <c r="U940" s="1" t="s">
        <v>34</v>
      </c>
      <c r="V940" s="1" t="s">
        <v>34</v>
      </c>
      <c r="W940" s="1" t="s">
        <v>34</v>
      </c>
      <c r="X940" t="s">
        <v>2752</v>
      </c>
      <c r="Y940" s="1">
        <v>9</v>
      </c>
    </row>
    <row r="941" spans="1:25" x14ac:dyDescent="0.3">
      <c r="A941" s="1" t="s">
        <v>1955</v>
      </c>
      <c r="B941" s="1" t="s">
        <v>126</v>
      </c>
      <c r="C941" s="1" t="s">
        <v>127</v>
      </c>
      <c r="D941" s="1" t="s">
        <v>85</v>
      </c>
      <c r="E941" s="1" t="s">
        <v>40</v>
      </c>
      <c r="F941" s="1" t="s">
        <v>54</v>
      </c>
      <c r="G941" s="2">
        <v>41.42</v>
      </c>
      <c r="H941" s="1">
        <v>22</v>
      </c>
      <c r="I941" s="1">
        <v>230</v>
      </c>
      <c r="J941" s="1">
        <v>216</v>
      </c>
      <c r="K941" s="1">
        <v>55</v>
      </c>
      <c r="L941" s="1">
        <v>127</v>
      </c>
      <c r="M941" s="1" t="s">
        <v>31</v>
      </c>
      <c r="N941" s="1" t="s">
        <v>60</v>
      </c>
      <c r="O941" t="s">
        <v>150</v>
      </c>
      <c r="P941" s="2">
        <v>28.99</v>
      </c>
      <c r="Q941" s="1" t="str">
        <f>IF(J675&gt;K675,"YES","NO")</f>
        <v>YES</v>
      </c>
      <c r="R941" s="2">
        <f>IF(Q675="YES",G675*0.9,G675)</f>
        <v>37.278000000000006</v>
      </c>
      <c r="S941" s="2">
        <f>J675*G675</f>
        <v>8946.7200000000012</v>
      </c>
      <c r="T941" s="1">
        <f ca="1">TODAY()-DATE(MID(O675,7,4),MID(O675,4,2),LEFT(O675,2))</f>
        <v>116</v>
      </c>
      <c r="U941" s="1" t="s">
        <v>34</v>
      </c>
      <c r="V941" s="1" t="s">
        <v>34</v>
      </c>
      <c r="W941" s="1" t="s">
        <v>34</v>
      </c>
      <c r="X941" t="s">
        <v>2664</v>
      </c>
      <c r="Y941" s="1">
        <v>7.5</v>
      </c>
    </row>
    <row r="942" spans="1:25" x14ac:dyDescent="0.3">
      <c r="A942" s="1" t="s">
        <v>1956</v>
      </c>
      <c r="B942" s="1" t="s">
        <v>143</v>
      </c>
      <c r="C942" s="1" t="s">
        <v>144</v>
      </c>
      <c r="D942" s="1" t="s">
        <v>47</v>
      </c>
      <c r="E942" s="1" t="s">
        <v>40</v>
      </c>
      <c r="F942" s="1" t="s">
        <v>48</v>
      </c>
      <c r="G942" s="2">
        <v>149.32</v>
      </c>
      <c r="H942" s="1">
        <v>7</v>
      </c>
      <c r="I942" s="1">
        <v>131</v>
      </c>
      <c r="J942" s="1">
        <v>102</v>
      </c>
      <c r="K942" s="1">
        <v>97</v>
      </c>
      <c r="L942" s="1">
        <v>94</v>
      </c>
      <c r="M942" s="1" t="s">
        <v>41</v>
      </c>
      <c r="N942" s="1" t="s">
        <v>42</v>
      </c>
      <c r="O942" t="s">
        <v>212</v>
      </c>
      <c r="P942" s="2">
        <v>104.52</v>
      </c>
      <c r="Q942" s="1" t="str">
        <f>IF(J69&gt;K69,"YES","NO")</f>
        <v>YES</v>
      </c>
      <c r="R942" s="2">
        <f>IF(Q69="YES",G69*0.9,G69)</f>
        <v>134.38800000000001</v>
      </c>
      <c r="S942" s="2">
        <f>J69*G69</f>
        <v>15230.64</v>
      </c>
      <c r="T942" s="1">
        <f ca="1">TODAY()-DATE(MID(O69,7,4),MID(O69,4,2),LEFT(O69,2))</f>
        <v>78</v>
      </c>
      <c r="U942" s="1" t="s">
        <v>34</v>
      </c>
      <c r="V942" s="1" t="s">
        <v>34</v>
      </c>
      <c r="W942" s="1" t="s">
        <v>34</v>
      </c>
      <c r="X942" t="s">
        <v>2890</v>
      </c>
      <c r="Y942" s="1">
        <v>9.5</v>
      </c>
    </row>
    <row r="943" spans="1:25" x14ac:dyDescent="0.3">
      <c r="A943" s="1" t="s">
        <v>1957</v>
      </c>
      <c r="B943" s="1" t="s">
        <v>77</v>
      </c>
      <c r="C943" s="1" t="s">
        <v>78</v>
      </c>
      <c r="D943" s="1" t="s">
        <v>47</v>
      </c>
      <c r="E943" s="1" t="s">
        <v>74</v>
      </c>
      <c r="F943" s="1" t="s">
        <v>54</v>
      </c>
      <c r="G943" s="2">
        <v>360.73</v>
      </c>
      <c r="H943" s="1">
        <v>12</v>
      </c>
      <c r="I943" s="1">
        <v>286</v>
      </c>
      <c r="J943" s="1">
        <v>258</v>
      </c>
      <c r="K943" s="1">
        <v>89</v>
      </c>
      <c r="L943" s="1">
        <v>58</v>
      </c>
      <c r="M943" s="1" t="s">
        <v>31</v>
      </c>
      <c r="N943" s="1" t="s">
        <v>42</v>
      </c>
      <c r="O943" t="s">
        <v>302</v>
      </c>
      <c r="P943" s="2">
        <v>252.51</v>
      </c>
      <c r="Q943" s="1" t="str">
        <f>IF(J146&gt;K146,"YES","NO")</f>
        <v>YES</v>
      </c>
      <c r="R943" s="2">
        <f>IF(Q146="YES",G146*0.9,G146)</f>
        <v>324.65700000000004</v>
      </c>
      <c r="S943" s="2">
        <f>J146*G146</f>
        <v>93068.340000000011</v>
      </c>
      <c r="T943" s="1">
        <f ca="1">TODAY()-DATE(MID(O146,7,4),MID(O146,4,2),LEFT(O146,2))</f>
        <v>133</v>
      </c>
      <c r="U943" s="1" t="s">
        <v>34</v>
      </c>
      <c r="V943" s="1" t="s">
        <v>34</v>
      </c>
      <c r="W943" s="1" t="s">
        <v>34</v>
      </c>
      <c r="X943" t="s">
        <v>2519</v>
      </c>
      <c r="Y943" s="1">
        <v>8</v>
      </c>
    </row>
    <row r="944" spans="1:25" x14ac:dyDescent="0.3">
      <c r="A944" s="1" t="s">
        <v>1958</v>
      </c>
      <c r="B944" s="1" t="s">
        <v>189</v>
      </c>
      <c r="C944" s="1" t="s">
        <v>190</v>
      </c>
      <c r="D944" s="1" t="s">
        <v>59</v>
      </c>
      <c r="E944" s="1" t="s">
        <v>74</v>
      </c>
      <c r="F944" s="1" t="s">
        <v>48</v>
      </c>
      <c r="G944" s="2">
        <v>438.7</v>
      </c>
      <c r="H944" s="1">
        <v>3</v>
      </c>
      <c r="I944" s="1">
        <v>296</v>
      </c>
      <c r="J944" s="1">
        <v>282</v>
      </c>
      <c r="K944" s="1">
        <v>58</v>
      </c>
      <c r="L944" s="1">
        <v>129</v>
      </c>
      <c r="M944" s="1" t="s">
        <v>41</v>
      </c>
      <c r="N944" s="1" t="s">
        <v>32</v>
      </c>
      <c r="O944" t="s">
        <v>292</v>
      </c>
      <c r="P944" s="2">
        <v>307.08999999999997</v>
      </c>
      <c r="Q944" s="1" t="str">
        <f>IF(J126&gt;K126,"YES","NO")</f>
        <v>YES</v>
      </c>
      <c r="R944" s="2">
        <f>IF(Q126="YES",G126*0.9,G126)</f>
        <v>394.83</v>
      </c>
      <c r="S944" s="2">
        <f>J126*G126</f>
        <v>123713.4</v>
      </c>
      <c r="T944" s="1">
        <f ca="1">TODAY()-DATE(MID(O126,7,4),MID(O126,4,2),LEFT(O126,2))</f>
        <v>83</v>
      </c>
      <c r="U944" s="1" t="s">
        <v>34</v>
      </c>
      <c r="V944" s="1" t="s">
        <v>34</v>
      </c>
      <c r="W944" s="1" t="s">
        <v>34</v>
      </c>
      <c r="X944" t="s">
        <v>2725</v>
      </c>
      <c r="Y944" s="1">
        <v>8</v>
      </c>
    </row>
    <row r="945" spans="1:25" x14ac:dyDescent="0.3">
      <c r="A945" s="1" t="s">
        <v>1959</v>
      </c>
      <c r="B945" s="1" t="s">
        <v>130</v>
      </c>
      <c r="C945" s="1" t="s">
        <v>131</v>
      </c>
      <c r="D945" s="1" t="s">
        <v>132</v>
      </c>
      <c r="E945" s="1" t="s">
        <v>40</v>
      </c>
      <c r="F945" s="1" t="s">
        <v>48</v>
      </c>
      <c r="G945" s="2">
        <v>157.84</v>
      </c>
      <c r="H945" s="1">
        <v>19</v>
      </c>
      <c r="I945" s="1">
        <v>105</v>
      </c>
      <c r="J945" s="1">
        <v>90</v>
      </c>
      <c r="K945" s="1">
        <v>108</v>
      </c>
      <c r="L945" s="1">
        <v>142</v>
      </c>
      <c r="M945" s="1" t="s">
        <v>41</v>
      </c>
      <c r="N945" s="1" t="s">
        <v>32</v>
      </c>
      <c r="O945" t="s">
        <v>287</v>
      </c>
      <c r="P945" s="2">
        <v>110.49</v>
      </c>
      <c r="Q945" s="1" t="str">
        <f>IF(J737&gt;K737,"YES","NO")</f>
        <v>NO</v>
      </c>
      <c r="R945" s="2">
        <f>IF(Q737="YES",G737*0.9,G737)</f>
        <v>157.84</v>
      </c>
      <c r="S945" s="2">
        <f>J737*G737</f>
        <v>14205.6</v>
      </c>
      <c r="T945" s="1">
        <f ca="1">TODAY()-DATE(MID(O737,7,4),MID(O737,4,2),LEFT(O737,2))</f>
        <v>143</v>
      </c>
      <c r="U945" s="1" t="s">
        <v>34</v>
      </c>
      <c r="V945" s="1" t="s">
        <v>34</v>
      </c>
      <c r="W945" s="1" t="s">
        <v>34</v>
      </c>
      <c r="X945" t="s">
        <v>2776</v>
      </c>
      <c r="Y945" s="1">
        <v>8.5</v>
      </c>
    </row>
    <row r="946" spans="1:25" x14ac:dyDescent="0.3">
      <c r="A946" s="1" t="s">
        <v>1960</v>
      </c>
      <c r="B946" s="1" t="s">
        <v>69</v>
      </c>
      <c r="C946" s="1" t="s">
        <v>70</v>
      </c>
      <c r="D946" s="1" t="s">
        <v>59</v>
      </c>
      <c r="E946" s="1" t="s">
        <v>40</v>
      </c>
      <c r="F946" s="1" t="s">
        <v>48</v>
      </c>
      <c r="G946" s="2">
        <v>348.39</v>
      </c>
      <c r="H946" s="1">
        <v>3</v>
      </c>
      <c r="I946" s="1">
        <v>144</v>
      </c>
      <c r="J946" s="1">
        <v>131</v>
      </c>
      <c r="K946" s="1">
        <v>88</v>
      </c>
      <c r="L946" s="1">
        <v>104</v>
      </c>
      <c r="M946" s="1" t="s">
        <v>41</v>
      </c>
      <c r="N946" s="1" t="s">
        <v>60</v>
      </c>
      <c r="O946" t="s">
        <v>390</v>
      </c>
      <c r="P946" s="2">
        <v>243.87</v>
      </c>
      <c r="Q946" s="1" t="str">
        <f>IF(J746&gt;K746,"YES","NO")</f>
        <v>YES</v>
      </c>
      <c r="R946" s="2">
        <f>IF(Q746="YES",G746*0.9,G746)</f>
        <v>313.55099999999999</v>
      </c>
      <c r="S946" s="2">
        <f>J746*G746</f>
        <v>45639.09</v>
      </c>
      <c r="T946" s="1">
        <f ca="1">TODAY()-DATE(MID(O746,7,4),MID(O746,4,2),LEFT(O746,2))</f>
        <v>120</v>
      </c>
      <c r="U946" s="1" t="s">
        <v>34</v>
      </c>
      <c r="V946" s="1" t="s">
        <v>34</v>
      </c>
      <c r="W946" s="1" t="s">
        <v>34</v>
      </c>
      <c r="X946" t="s">
        <v>2714</v>
      </c>
      <c r="Y946" s="1">
        <v>8</v>
      </c>
    </row>
    <row r="947" spans="1:25" x14ac:dyDescent="0.3">
      <c r="A947" s="1" t="s">
        <v>1961</v>
      </c>
      <c r="B947" s="1" t="s">
        <v>69</v>
      </c>
      <c r="C947" s="1" t="s">
        <v>70</v>
      </c>
      <c r="D947" s="1" t="s">
        <v>59</v>
      </c>
      <c r="E947" s="1" t="s">
        <v>40</v>
      </c>
      <c r="F947" s="1" t="s">
        <v>54</v>
      </c>
      <c r="G947" s="2">
        <v>452.83</v>
      </c>
      <c r="H947" s="1">
        <v>2</v>
      </c>
      <c r="I947" s="1">
        <v>103</v>
      </c>
      <c r="J947" s="1">
        <v>103</v>
      </c>
      <c r="K947" s="1">
        <v>62</v>
      </c>
      <c r="L947" s="1">
        <v>135</v>
      </c>
      <c r="M947" s="1" t="s">
        <v>31</v>
      </c>
      <c r="N947" s="1" t="s">
        <v>32</v>
      </c>
      <c r="O947" t="s">
        <v>361</v>
      </c>
      <c r="P947" s="2">
        <v>316.98</v>
      </c>
      <c r="Q947" s="1" t="str">
        <f>IF(J295&gt;K295,"YES","NO")</f>
        <v>YES</v>
      </c>
      <c r="R947" s="2">
        <f>IF(Q295="YES",G295*0.9,G295)</f>
        <v>407.54699999999997</v>
      </c>
      <c r="S947" s="2">
        <f>J295*G295</f>
        <v>46641.49</v>
      </c>
      <c r="T947" s="1">
        <f ca="1">TODAY()-DATE(MID(O295,7,4),MID(O295,4,2),LEFT(O295,2))</f>
        <v>99</v>
      </c>
      <c r="U947" s="1" t="s">
        <v>34</v>
      </c>
      <c r="V947" s="1" t="s">
        <v>34</v>
      </c>
      <c r="W947" s="1" t="s">
        <v>34</v>
      </c>
      <c r="X947" t="s">
        <v>2692</v>
      </c>
      <c r="Y947" s="1">
        <v>7.5</v>
      </c>
    </row>
    <row r="948" spans="1:25" x14ac:dyDescent="0.3">
      <c r="A948" s="1" t="s">
        <v>1962</v>
      </c>
      <c r="B948" s="1" t="s">
        <v>45</v>
      </c>
      <c r="C948" s="1" t="s">
        <v>46</v>
      </c>
      <c r="D948" s="1" t="s">
        <v>47</v>
      </c>
      <c r="E948" s="1" t="s">
        <v>74</v>
      </c>
      <c r="F948" s="1" t="s">
        <v>48</v>
      </c>
      <c r="G948" s="2">
        <v>248.06</v>
      </c>
      <c r="H948" s="1">
        <v>15</v>
      </c>
      <c r="I948" s="1">
        <v>114</v>
      </c>
      <c r="J948" s="1">
        <v>75</v>
      </c>
      <c r="K948" s="1">
        <v>73</v>
      </c>
      <c r="L948" s="1">
        <v>101</v>
      </c>
      <c r="M948" s="1" t="s">
        <v>31</v>
      </c>
      <c r="N948" s="1" t="s">
        <v>32</v>
      </c>
      <c r="O948" t="s">
        <v>35</v>
      </c>
      <c r="P948" s="2">
        <v>173.64</v>
      </c>
      <c r="Q948" s="1" t="str">
        <f>IF(J358&gt;K358,"YES","NO")</f>
        <v>YES</v>
      </c>
      <c r="R948" s="2">
        <f>IF(Q358="YES",G358*0.9,G358)</f>
        <v>223.25400000000002</v>
      </c>
      <c r="S948" s="2">
        <f>J358*G358</f>
        <v>18604.5</v>
      </c>
      <c r="T948" s="1">
        <f ca="1">TODAY()-DATE(MID(O358,7,4),MID(O358,4,2),LEFT(O358,2))</f>
        <v>85</v>
      </c>
      <c r="U948" s="1" t="s">
        <v>34</v>
      </c>
      <c r="V948" s="1" t="s">
        <v>34</v>
      </c>
      <c r="W948" s="1" t="s">
        <v>34</v>
      </c>
      <c r="X948" t="s">
        <v>2600</v>
      </c>
      <c r="Y948" s="1">
        <v>9</v>
      </c>
    </row>
    <row r="949" spans="1:25" x14ac:dyDescent="0.3">
      <c r="A949" s="1" t="s">
        <v>1963</v>
      </c>
      <c r="B949" s="1" t="s">
        <v>192</v>
      </c>
      <c r="C949" s="1" t="s">
        <v>193</v>
      </c>
      <c r="D949" s="1" t="s">
        <v>85</v>
      </c>
      <c r="E949" s="1" t="s">
        <v>40</v>
      </c>
      <c r="F949" s="1" t="s">
        <v>54</v>
      </c>
      <c r="G949" s="2">
        <v>217.68</v>
      </c>
      <c r="H949" s="1">
        <v>22</v>
      </c>
      <c r="I949" s="1">
        <v>197</v>
      </c>
      <c r="J949" s="1">
        <v>161</v>
      </c>
      <c r="K949" s="1">
        <v>76</v>
      </c>
      <c r="L949" s="1">
        <v>77</v>
      </c>
      <c r="M949" s="1" t="s">
        <v>31</v>
      </c>
      <c r="N949" s="1" t="s">
        <v>32</v>
      </c>
      <c r="O949" t="s">
        <v>473</v>
      </c>
      <c r="P949" s="2">
        <v>152.38</v>
      </c>
      <c r="Q949" s="1" t="str">
        <f>IF(J453&gt;K453,"YES","NO")</f>
        <v>YES</v>
      </c>
      <c r="R949" s="2">
        <f>IF(Q453="YES",G453*0.9,G453)</f>
        <v>195.91200000000001</v>
      </c>
      <c r="S949" s="2">
        <f>J453*G453</f>
        <v>35046.480000000003</v>
      </c>
      <c r="T949" s="1">
        <f ca="1">TODAY()-DATE(MID(O453,7,4),MID(O453,4,2),LEFT(O453,2))</f>
        <v>146</v>
      </c>
      <c r="U949" s="1" t="s">
        <v>34</v>
      </c>
      <c r="V949" s="1" t="s">
        <v>34</v>
      </c>
      <c r="W949" s="1" t="s">
        <v>34</v>
      </c>
      <c r="X949" t="s">
        <v>2726</v>
      </c>
      <c r="Y949" s="1">
        <v>6.5</v>
      </c>
    </row>
    <row r="950" spans="1:25" x14ac:dyDescent="0.3">
      <c r="A950" s="1" t="s">
        <v>1964</v>
      </c>
      <c r="B950" s="1" t="s">
        <v>189</v>
      </c>
      <c r="C950" s="1" t="s">
        <v>190</v>
      </c>
      <c r="D950" s="1" t="s">
        <v>59</v>
      </c>
      <c r="E950" s="1" t="s">
        <v>74</v>
      </c>
      <c r="F950" s="1" t="s">
        <v>30</v>
      </c>
      <c r="G950" s="2">
        <v>275.60000000000002</v>
      </c>
      <c r="H950" s="1">
        <v>12</v>
      </c>
      <c r="I950" s="1">
        <v>223</v>
      </c>
      <c r="J950" s="1">
        <v>218</v>
      </c>
      <c r="K950" s="1">
        <v>88</v>
      </c>
      <c r="L950" s="1">
        <v>125</v>
      </c>
      <c r="M950" s="1" t="s">
        <v>41</v>
      </c>
      <c r="N950" s="1" t="s">
        <v>42</v>
      </c>
      <c r="O950" t="s">
        <v>209</v>
      </c>
      <c r="P950" s="2">
        <v>192.92</v>
      </c>
      <c r="Q950" s="1" t="str">
        <f>IF(J67&gt;K67,"YES","NO")</f>
        <v>YES</v>
      </c>
      <c r="R950" s="2">
        <f>IF(Q67="YES",G67*0.9,G67)</f>
        <v>248.04000000000002</v>
      </c>
      <c r="S950" s="2">
        <f>J67*G67</f>
        <v>60080.800000000003</v>
      </c>
      <c r="T950" s="1">
        <f ca="1">TODAY()-DATE(MID(O67,7,4),MID(O67,4,2),LEFT(O67,2))</f>
        <v>127</v>
      </c>
      <c r="U950" s="1" t="s">
        <v>34</v>
      </c>
      <c r="V950" s="1" t="s">
        <v>34</v>
      </c>
      <c r="W950" s="1" t="s">
        <v>34</v>
      </c>
      <c r="X950" t="s">
        <v>2698</v>
      </c>
      <c r="Y950" s="1">
        <v>8.5</v>
      </c>
    </row>
    <row r="951" spans="1:25" x14ac:dyDescent="0.3">
      <c r="A951" s="1" t="s">
        <v>1965</v>
      </c>
      <c r="B951" s="1" t="s">
        <v>130</v>
      </c>
      <c r="C951" s="1" t="s">
        <v>131</v>
      </c>
      <c r="D951" s="1" t="s">
        <v>132</v>
      </c>
      <c r="E951" s="1" t="s">
        <v>74</v>
      </c>
      <c r="F951" s="1" t="s">
        <v>54</v>
      </c>
      <c r="G951" s="2">
        <v>115.64</v>
      </c>
      <c r="H951" s="1">
        <v>12</v>
      </c>
      <c r="I951" s="1">
        <v>194</v>
      </c>
      <c r="J951" s="1">
        <v>180</v>
      </c>
      <c r="K951" s="1">
        <v>62</v>
      </c>
      <c r="L951" s="1">
        <v>79</v>
      </c>
      <c r="M951" s="1" t="s">
        <v>49</v>
      </c>
      <c r="N951" s="1" t="s">
        <v>32</v>
      </c>
      <c r="O951" t="s">
        <v>272</v>
      </c>
      <c r="P951" s="2">
        <v>80.95</v>
      </c>
      <c r="Q951" s="1" t="str">
        <f>IF(J249&gt;K249,"YES","NO")</f>
        <v>YES</v>
      </c>
      <c r="R951" s="2">
        <f>IF(Q249="YES",G249*0.9,G249)</f>
        <v>104.07600000000001</v>
      </c>
      <c r="S951" s="2">
        <f>J249*G249</f>
        <v>20815.2</v>
      </c>
      <c r="T951" s="1">
        <f ca="1">TODAY()-DATE(MID(O249,7,4),MID(O249,4,2),LEFT(O249,2))</f>
        <v>72</v>
      </c>
      <c r="U951" s="1" t="s">
        <v>34</v>
      </c>
      <c r="V951" s="1" t="s">
        <v>34</v>
      </c>
      <c r="W951" s="1" t="s">
        <v>34</v>
      </c>
      <c r="X951" t="s">
        <v>2861</v>
      </c>
      <c r="Y951" s="1">
        <v>9.5</v>
      </c>
    </row>
    <row r="952" spans="1:25" x14ac:dyDescent="0.3">
      <c r="A952" s="1" t="s">
        <v>1966</v>
      </c>
      <c r="B952" s="1" t="s">
        <v>77</v>
      </c>
      <c r="C952" s="1" t="s">
        <v>78</v>
      </c>
      <c r="D952" s="1" t="s">
        <v>47</v>
      </c>
      <c r="E952" s="1" t="s">
        <v>40</v>
      </c>
      <c r="F952" s="1" t="s">
        <v>54</v>
      </c>
      <c r="G952" s="2">
        <v>323.18</v>
      </c>
      <c r="H952" s="1">
        <v>1</v>
      </c>
      <c r="I952" s="1">
        <v>236</v>
      </c>
      <c r="J952" s="1">
        <v>201</v>
      </c>
      <c r="K952" s="1">
        <v>57</v>
      </c>
      <c r="L952" s="1">
        <v>147</v>
      </c>
      <c r="M952" s="1" t="s">
        <v>41</v>
      </c>
      <c r="N952" s="1" t="s">
        <v>42</v>
      </c>
      <c r="O952" t="s">
        <v>145</v>
      </c>
      <c r="P952" s="2">
        <v>226.23</v>
      </c>
      <c r="Q952" s="1" t="str">
        <f>IF(J224&gt;K224,"YES","NO")</f>
        <v>YES</v>
      </c>
      <c r="R952" s="2">
        <f>IF(Q224="YES",G224*0.9,G224)</f>
        <v>290.86200000000002</v>
      </c>
      <c r="S952" s="2">
        <f>J224*G224</f>
        <v>64959.18</v>
      </c>
      <c r="T952" s="1">
        <f ca="1">TODAY()-DATE(MID(O224,7,4),MID(O224,4,2),LEFT(O224,2))</f>
        <v>68</v>
      </c>
      <c r="U952" s="1" t="s">
        <v>34</v>
      </c>
      <c r="V952" s="1" t="s">
        <v>34</v>
      </c>
      <c r="W952" s="1" t="s">
        <v>34</v>
      </c>
      <c r="X952" t="s">
        <v>2515</v>
      </c>
      <c r="Y952" s="1">
        <v>7</v>
      </c>
    </row>
    <row r="953" spans="1:25" x14ac:dyDescent="0.3">
      <c r="A953" s="1" t="s">
        <v>1967</v>
      </c>
      <c r="B953" s="1" t="s">
        <v>237</v>
      </c>
      <c r="C953" s="1" t="s">
        <v>238</v>
      </c>
      <c r="D953" s="1" t="s">
        <v>85</v>
      </c>
      <c r="E953" s="1" t="s">
        <v>74</v>
      </c>
      <c r="F953" s="1" t="s">
        <v>48</v>
      </c>
      <c r="G953" s="2">
        <v>82.67</v>
      </c>
      <c r="H953" s="1">
        <v>9</v>
      </c>
      <c r="I953" s="1">
        <v>263</v>
      </c>
      <c r="J953" s="1">
        <v>241</v>
      </c>
      <c r="K953" s="1">
        <v>87</v>
      </c>
      <c r="L953" s="1">
        <v>115</v>
      </c>
      <c r="M953" s="1" t="s">
        <v>49</v>
      </c>
      <c r="N953" s="1" t="s">
        <v>60</v>
      </c>
      <c r="O953" t="s">
        <v>170</v>
      </c>
      <c r="P953" s="2">
        <v>57.87</v>
      </c>
      <c r="Q953" s="1" t="str">
        <f>IF(J750&gt;K750,"YES","NO")</f>
        <v>YES</v>
      </c>
      <c r="R953" s="2">
        <f>IF(Q750="YES",G750*0.9,G750)</f>
        <v>74.403000000000006</v>
      </c>
      <c r="S953" s="2">
        <f>J750*G750</f>
        <v>19923.47</v>
      </c>
      <c r="T953" s="1">
        <f ca="1">TODAY()-DATE(MID(O750,7,4),MID(O750,4,2),LEFT(O750,2))</f>
        <v>95</v>
      </c>
      <c r="U953" s="1" t="s">
        <v>34</v>
      </c>
      <c r="V953" s="1" t="s">
        <v>34</v>
      </c>
      <c r="W953" s="1" t="s">
        <v>34</v>
      </c>
      <c r="X953" t="s">
        <v>2638</v>
      </c>
      <c r="Y953" s="1">
        <v>5</v>
      </c>
    </row>
    <row r="954" spans="1:25" x14ac:dyDescent="0.3">
      <c r="A954" s="1" t="s">
        <v>1968</v>
      </c>
      <c r="B954" s="1" t="s">
        <v>299</v>
      </c>
      <c r="C954" s="1" t="s">
        <v>300</v>
      </c>
      <c r="D954" s="1" t="s">
        <v>39</v>
      </c>
      <c r="E954" s="1" t="s">
        <v>74</v>
      </c>
      <c r="F954" s="1" t="s">
        <v>54</v>
      </c>
      <c r="G954" s="2">
        <v>99.7</v>
      </c>
      <c r="H954" s="1">
        <v>7</v>
      </c>
      <c r="I954" s="1">
        <v>283</v>
      </c>
      <c r="J954" s="1">
        <v>262</v>
      </c>
      <c r="K954" s="1">
        <v>113</v>
      </c>
      <c r="L954" s="1">
        <v>79</v>
      </c>
      <c r="M954" s="1" t="s">
        <v>31</v>
      </c>
      <c r="N954" s="1" t="s">
        <v>32</v>
      </c>
      <c r="O954" t="s">
        <v>141</v>
      </c>
      <c r="P954" s="2">
        <v>69.790000000000006</v>
      </c>
      <c r="Q954" s="1" t="str">
        <f>IF(J483&gt;K483,"YES","NO")</f>
        <v>YES</v>
      </c>
      <c r="R954" s="2">
        <f>IF(Q483="YES",G483*0.9,G483)</f>
        <v>89.73</v>
      </c>
      <c r="S954" s="2">
        <f>J483*G483</f>
        <v>26121.4</v>
      </c>
      <c r="T954" s="1">
        <f ca="1">TODAY()-DATE(MID(O483,7,4),MID(O483,4,2),LEFT(O483,2))</f>
        <v>118</v>
      </c>
      <c r="U954" s="1" t="s">
        <v>34</v>
      </c>
      <c r="V954" s="1" t="s">
        <v>34</v>
      </c>
      <c r="W954" s="1" t="s">
        <v>34</v>
      </c>
      <c r="X954" t="s">
        <v>2552</v>
      </c>
      <c r="Y954" s="1">
        <v>6.5</v>
      </c>
    </row>
    <row r="955" spans="1:25" x14ac:dyDescent="0.3">
      <c r="A955" s="1" t="s">
        <v>1969</v>
      </c>
      <c r="B955" s="1" t="s">
        <v>83</v>
      </c>
      <c r="C955" s="1" t="s">
        <v>84</v>
      </c>
      <c r="D955" s="1" t="s">
        <v>85</v>
      </c>
      <c r="E955" s="1" t="s">
        <v>29</v>
      </c>
      <c r="F955" s="1" t="s">
        <v>30</v>
      </c>
      <c r="G955" s="2">
        <v>119.12</v>
      </c>
      <c r="H955" s="1">
        <v>8</v>
      </c>
      <c r="I955" s="1">
        <v>99</v>
      </c>
      <c r="J955" s="1">
        <v>66</v>
      </c>
      <c r="K955" s="1">
        <v>80</v>
      </c>
      <c r="L955" s="1">
        <v>54</v>
      </c>
      <c r="M955" s="1" t="s">
        <v>49</v>
      </c>
      <c r="N955" s="1" t="s">
        <v>42</v>
      </c>
      <c r="O955" t="s">
        <v>67</v>
      </c>
      <c r="P955" s="2">
        <v>83.38</v>
      </c>
      <c r="Q955" s="1" t="str">
        <f>IF(J188&gt;K188,"YES","NO")</f>
        <v>NO</v>
      </c>
      <c r="R955" s="2">
        <f>IF(Q188="YES",G188*0.9,G188)</f>
        <v>119.12</v>
      </c>
      <c r="S955" s="2">
        <f>J188*G188</f>
        <v>7861.92</v>
      </c>
      <c r="T955" s="1">
        <f ca="1">TODAY()-DATE(MID(O188,7,4),MID(O188,4,2),LEFT(O188,2))</f>
        <v>97</v>
      </c>
      <c r="U955" s="1" t="s">
        <v>34</v>
      </c>
      <c r="V955" s="1" t="s">
        <v>34</v>
      </c>
      <c r="W955" s="1" t="s">
        <v>34</v>
      </c>
      <c r="X955" t="s">
        <v>2851</v>
      </c>
      <c r="Y955" s="1">
        <v>9</v>
      </c>
    </row>
    <row r="956" spans="1:25" x14ac:dyDescent="0.3">
      <c r="A956" s="1" t="s">
        <v>1970</v>
      </c>
      <c r="B956" s="1" t="s">
        <v>52</v>
      </c>
      <c r="C956" s="1" t="s">
        <v>53</v>
      </c>
      <c r="D956" s="1" t="s">
        <v>47</v>
      </c>
      <c r="E956" s="1" t="s">
        <v>29</v>
      </c>
      <c r="F956" s="1" t="s">
        <v>54</v>
      </c>
      <c r="G956" s="2">
        <v>147.25</v>
      </c>
      <c r="H956" s="1">
        <v>7</v>
      </c>
      <c r="I956" s="1">
        <v>103</v>
      </c>
      <c r="J956" s="1">
        <v>66</v>
      </c>
      <c r="K956" s="1">
        <v>44</v>
      </c>
      <c r="L956" s="1">
        <v>97</v>
      </c>
      <c r="M956" s="1" t="s">
        <v>49</v>
      </c>
      <c r="N956" s="1" t="s">
        <v>32</v>
      </c>
      <c r="O956" t="s">
        <v>384</v>
      </c>
      <c r="P956" s="2">
        <v>103.07</v>
      </c>
      <c r="Q956" s="1" t="str">
        <f>IF(J628&gt;K628,"YES","NO")</f>
        <v>YES</v>
      </c>
      <c r="R956" s="2">
        <f>IF(Q628="YES",G628*0.9,G628)</f>
        <v>132.52500000000001</v>
      </c>
      <c r="S956" s="2">
        <f>J628*G628</f>
        <v>9718.5</v>
      </c>
      <c r="T956" s="1">
        <f ca="1">TODAY()-DATE(MID(O628,7,4),MID(O628,4,2),LEFT(O628,2))</f>
        <v>147</v>
      </c>
      <c r="U956" s="1" t="s">
        <v>34</v>
      </c>
      <c r="V956" s="1" t="s">
        <v>34</v>
      </c>
      <c r="W956" s="1" t="s">
        <v>34</v>
      </c>
      <c r="X956" t="s">
        <v>2862</v>
      </c>
      <c r="Y956" s="1">
        <v>9</v>
      </c>
    </row>
    <row r="957" spans="1:25" x14ac:dyDescent="0.3">
      <c r="A957" s="1" t="s">
        <v>1971</v>
      </c>
      <c r="B957" s="1" t="s">
        <v>130</v>
      </c>
      <c r="C957" s="1" t="s">
        <v>131</v>
      </c>
      <c r="D957" s="1" t="s">
        <v>132</v>
      </c>
      <c r="E957" s="1" t="s">
        <v>74</v>
      </c>
      <c r="F957" s="1" t="s">
        <v>48</v>
      </c>
      <c r="G957" s="2">
        <v>368.05</v>
      </c>
      <c r="H957" s="1">
        <v>8</v>
      </c>
      <c r="I957" s="1">
        <v>294</v>
      </c>
      <c r="J957" s="1">
        <v>259</v>
      </c>
      <c r="K957" s="1">
        <v>60</v>
      </c>
      <c r="L957" s="1">
        <v>115</v>
      </c>
      <c r="M957" s="1" t="s">
        <v>49</v>
      </c>
      <c r="N957" s="1" t="s">
        <v>32</v>
      </c>
      <c r="O957" t="s">
        <v>61</v>
      </c>
      <c r="P957" s="2">
        <v>257.63</v>
      </c>
      <c r="Q957" s="1" t="str">
        <f>IF(J410&gt;K410,"YES","NO")</f>
        <v>YES</v>
      </c>
      <c r="R957" s="2">
        <f>IF(Q410="YES",G410*0.9,G410)</f>
        <v>331.245</v>
      </c>
      <c r="S957" s="2">
        <f>J410*G410</f>
        <v>95324.95</v>
      </c>
      <c r="T957" s="1">
        <f ca="1">TODAY()-DATE(MID(O410,7,4),MID(O410,4,2),LEFT(O410,2))</f>
        <v>73</v>
      </c>
      <c r="U957" s="1" t="s">
        <v>34</v>
      </c>
      <c r="V957" s="1" t="s">
        <v>34</v>
      </c>
      <c r="W957" s="1" t="s">
        <v>34</v>
      </c>
      <c r="X957" t="s">
        <v>2891</v>
      </c>
      <c r="Y957" s="1">
        <v>5</v>
      </c>
    </row>
    <row r="958" spans="1:25" x14ac:dyDescent="0.3">
      <c r="A958" s="1" t="s">
        <v>1972</v>
      </c>
      <c r="B958" s="1" t="s">
        <v>57</v>
      </c>
      <c r="C958" s="1" t="s">
        <v>58</v>
      </c>
      <c r="D958" s="1" t="s">
        <v>59</v>
      </c>
      <c r="E958" s="1" t="s">
        <v>74</v>
      </c>
      <c r="F958" s="1" t="s">
        <v>48</v>
      </c>
      <c r="G958" s="2">
        <v>193.6</v>
      </c>
      <c r="H958" s="1">
        <v>24</v>
      </c>
      <c r="I958" s="1">
        <v>295</v>
      </c>
      <c r="J958" s="1">
        <v>295</v>
      </c>
      <c r="K958" s="1">
        <v>119</v>
      </c>
      <c r="L958" s="1">
        <v>80</v>
      </c>
      <c r="M958" s="1" t="s">
        <v>49</v>
      </c>
      <c r="N958" s="1" t="s">
        <v>42</v>
      </c>
      <c r="O958" t="s">
        <v>86</v>
      </c>
      <c r="P958" s="2">
        <v>135.52000000000001</v>
      </c>
      <c r="Q958" s="1" t="str">
        <f>IF(J360&gt;K360,"YES","NO")</f>
        <v>YES</v>
      </c>
      <c r="R958" s="2">
        <f>IF(Q360="YES",G360*0.9,G360)</f>
        <v>174.24</v>
      </c>
      <c r="S958" s="2">
        <f>J360*G360</f>
        <v>57112</v>
      </c>
      <c r="T958" s="1">
        <f ca="1">TODAY()-DATE(MID(O360,7,4),MID(O360,4,2),LEFT(O360,2))</f>
        <v>121</v>
      </c>
      <c r="U958" s="1" t="s">
        <v>34</v>
      </c>
      <c r="V958" s="1" t="s">
        <v>34</v>
      </c>
      <c r="W958" s="1" t="s">
        <v>34</v>
      </c>
      <c r="X958" t="s">
        <v>2844</v>
      </c>
      <c r="Y958" s="1">
        <v>5</v>
      </c>
    </row>
    <row r="959" spans="1:25" x14ac:dyDescent="0.3">
      <c r="A959" s="1" t="s">
        <v>1973</v>
      </c>
      <c r="B959" s="1" t="s">
        <v>63</v>
      </c>
      <c r="C959" s="1" t="s">
        <v>64</v>
      </c>
      <c r="D959" s="1" t="s">
        <v>28</v>
      </c>
      <c r="E959" s="1" t="s">
        <v>40</v>
      </c>
      <c r="F959" s="1" t="s">
        <v>48</v>
      </c>
      <c r="G959" s="2">
        <v>429.45</v>
      </c>
      <c r="H959" s="1">
        <v>16</v>
      </c>
      <c r="I959" s="1">
        <v>218</v>
      </c>
      <c r="J959" s="1">
        <v>202</v>
      </c>
      <c r="K959" s="1">
        <v>72</v>
      </c>
      <c r="L959" s="1">
        <v>113</v>
      </c>
      <c r="M959" s="1" t="s">
        <v>41</v>
      </c>
      <c r="N959" s="1" t="s">
        <v>42</v>
      </c>
      <c r="O959" t="s">
        <v>65</v>
      </c>
      <c r="P959" s="2">
        <v>300.61</v>
      </c>
      <c r="Q959" s="1" t="str">
        <f>IF(J7&gt;K7,"YES","NO")</f>
        <v>YES</v>
      </c>
      <c r="R959" s="2">
        <f>IF(Q7="YES",G7*0.9,G7)</f>
        <v>386.505</v>
      </c>
      <c r="S959" s="2">
        <f>J7*G7</f>
        <v>86748.9</v>
      </c>
      <c r="T959" s="1">
        <f ca="1">TODAY()-DATE(MID(O7,7,4),MID(O7,4,2),LEFT(O7,2))</f>
        <v>142</v>
      </c>
      <c r="U959" s="1" t="s">
        <v>34</v>
      </c>
      <c r="V959" s="1" t="s">
        <v>34</v>
      </c>
      <c r="W959" s="1" t="s">
        <v>34</v>
      </c>
      <c r="X959" t="s">
        <v>2892</v>
      </c>
      <c r="Y959" s="1">
        <v>8.5</v>
      </c>
    </row>
    <row r="960" spans="1:25" x14ac:dyDescent="0.3">
      <c r="A960" s="1" t="s">
        <v>1974</v>
      </c>
      <c r="B960" s="1" t="s">
        <v>192</v>
      </c>
      <c r="C960" s="1" t="s">
        <v>193</v>
      </c>
      <c r="D960" s="1" t="s">
        <v>85</v>
      </c>
      <c r="E960" s="1" t="s">
        <v>29</v>
      </c>
      <c r="F960" s="1" t="s">
        <v>30</v>
      </c>
      <c r="G960" s="2">
        <v>440.41</v>
      </c>
      <c r="H960" s="1">
        <v>25</v>
      </c>
      <c r="I960" s="1">
        <v>259</v>
      </c>
      <c r="J960" s="1">
        <v>247</v>
      </c>
      <c r="K960" s="1">
        <v>47</v>
      </c>
      <c r="L960" s="1">
        <v>71</v>
      </c>
      <c r="M960" s="1" t="s">
        <v>49</v>
      </c>
      <c r="N960" s="1" t="s">
        <v>32</v>
      </c>
      <c r="O960" t="s">
        <v>153</v>
      </c>
      <c r="P960" s="2">
        <v>308.29000000000002</v>
      </c>
      <c r="Q960" s="1" t="str">
        <f>IF(J505&gt;K505,"YES","NO")</f>
        <v>YES</v>
      </c>
      <c r="R960" s="2">
        <f>IF(Q505="YES",G505*0.9,G505)</f>
        <v>396.36900000000003</v>
      </c>
      <c r="S960" s="2">
        <f>J505*G505</f>
        <v>108781.27</v>
      </c>
      <c r="T960" s="1">
        <f ca="1">TODAY()-DATE(MID(O505,7,4),MID(O505,4,2),LEFT(O505,2))</f>
        <v>135</v>
      </c>
      <c r="U960" s="1" t="s">
        <v>34</v>
      </c>
      <c r="V960" s="1" t="s">
        <v>34</v>
      </c>
      <c r="W960" s="1" t="s">
        <v>34</v>
      </c>
      <c r="X960" t="s">
        <v>2857</v>
      </c>
      <c r="Y960" s="1">
        <v>7.5</v>
      </c>
    </row>
    <row r="961" spans="1:25" x14ac:dyDescent="0.3">
      <c r="A961" s="1" t="s">
        <v>1975</v>
      </c>
      <c r="B961" s="1" t="s">
        <v>143</v>
      </c>
      <c r="C961" s="1" t="s">
        <v>144</v>
      </c>
      <c r="D961" s="1" t="s">
        <v>47</v>
      </c>
      <c r="E961" s="1" t="s">
        <v>40</v>
      </c>
      <c r="F961" s="1" t="s">
        <v>54</v>
      </c>
      <c r="G961" s="2">
        <v>227.57</v>
      </c>
      <c r="H961" s="1">
        <v>20</v>
      </c>
      <c r="I961" s="1">
        <v>92</v>
      </c>
      <c r="J961" s="1">
        <v>79</v>
      </c>
      <c r="K961" s="1">
        <v>74</v>
      </c>
      <c r="L961" s="1">
        <v>102</v>
      </c>
      <c r="M961" s="1" t="s">
        <v>41</v>
      </c>
      <c r="N961" s="1" t="s">
        <v>32</v>
      </c>
      <c r="O961" t="s">
        <v>135</v>
      </c>
      <c r="P961" s="2">
        <v>159.30000000000001</v>
      </c>
      <c r="Q961" s="1" t="str">
        <f>IF(J769&gt;K769,"YES","NO")</f>
        <v>YES</v>
      </c>
      <c r="R961" s="2">
        <f>IF(Q769="YES",G769*0.9,G769)</f>
        <v>204.81299999999999</v>
      </c>
      <c r="S961" s="2">
        <f>J769*G769</f>
        <v>17978.03</v>
      </c>
      <c r="T961" s="1">
        <f ca="1">TODAY()-DATE(MID(O769,7,4),MID(O769,4,2),LEFT(O769,2))</f>
        <v>71</v>
      </c>
      <c r="U961" s="1" t="s">
        <v>34</v>
      </c>
      <c r="V961" s="1" t="s">
        <v>34</v>
      </c>
      <c r="W961" s="1" t="s">
        <v>34</v>
      </c>
      <c r="X961" t="s">
        <v>2860</v>
      </c>
      <c r="Y961" s="1">
        <v>9.5</v>
      </c>
    </row>
    <row r="962" spans="1:25" x14ac:dyDescent="0.3">
      <c r="A962" s="1" t="s">
        <v>1976</v>
      </c>
      <c r="B962" s="1" t="s">
        <v>83</v>
      </c>
      <c r="C962" s="1" t="s">
        <v>84</v>
      </c>
      <c r="D962" s="1" t="s">
        <v>85</v>
      </c>
      <c r="E962" s="1" t="s">
        <v>29</v>
      </c>
      <c r="F962" s="1" t="s">
        <v>54</v>
      </c>
      <c r="G962" s="2">
        <v>272.41000000000003</v>
      </c>
      <c r="H962" s="1">
        <v>25</v>
      </c>
      <c r="I962" s="1">
        <v>218</v>
      </c>
      <c r="J962" s="1">
        <v>214</v>
      </c>
      <c r="K962" s="1">
        <v>116</v>
      </c>
      <c r="L962" s="1">
        <v>89</v>
      </c>
      <c r="M962" s="1" t="s">
        <v>41</v>
      </c>
      <c r="N962" s="1" t="s">
        <v>60</v>
      </c>
      <c r="O962" t="s">
        <v>180</v>
      </c>
      <c r="P962" s="2">
        <v>190.69</v>
      </c>
      <c r="Q962" s="1" t="str">
        <f>IF(J579&gt;K579,"YES","NO")</f>
        <v>YES</v>
      </c>
      <c r="R962" s="2">
        <f>IF(Q579="YES",G579*0.9,G579)</f>
        <v>245.16900000000004</v>
      </c>
      <c r="S962" s="2">
        <f>J579*G579</f>
        <v>58295.740000000005</v>
      </c>
      <c r="T962" s="1">
        <f ca="1">TODAY()-DATE(MID(O579,7,4),MID(O579,4,2),LEFT(O579,2))</f>
        <v>122</v>
      </c>
      <c r="U962" s="1" t="s">
        <v>34</v>
      </c>
      <c r="V962" s="1" t="s">
        <v>34</v>
      </c>
      <c r="W962" s="1" t="s">
        <v>34</v>
      </c>
      <c r="X962" t="s">
        <v>2619</v>
      </c>
      <c r="Y962" s="1">
        <v>9.5</v>
      </c>
    </row>
    <row r="963" spans="1:25" x14ac:dyDescent="0.3">
      <c r="A963" s="1" t="s">
        <v>1977</v>
      </c>
      <c r="B963" s="1" t="s">
        <v>37</v>
      </c>
      <c r="C963" s="1" t="s">
        <v>38</v>
      </c>
      <c r="D963" s="1" t="s">
        <v>39</v>
      </c>
      <c r="E963" s="1" t="s">
        <v>29</v>
      </c>
      <c r="F963" s="1" t="s">
        <v>48</v>
      </c>
      <c r="G963" s="2">
        <v>430.85</v>
      </c>
      <c r="H963" s="1">
        <v>25</v>
      </c>
      <c r="I963" s="1">
        <v>199</v>
      </c>
      <c r="J963" s="1">
        <v>182</v>
      </c>
      <c r="K963" s="1">
        <v>71</v>
      </c>
      <c r="L963" s="1">
        <v>128</v>
      </c>
      <c r="M963" s="1" t="s">
        <v>31</v>
      </c>
      <c r="N963" s="1" t="s">
        <v>42</v>
      </c>
      <c r="O963" t="s">
        <v>284</v>
      </c>
      <c r="P963" s="2">
        <v>301.58999999999997</v>
      </c>
      <c r="Q963" s="1" t="str">
        <f>IF(J402&gt;K402,"YES","NO")</f>
        <v>YES</v>
      </c>
      <c r="R963" s="2">
        <f>IF(Q402="YES",G402*0.9,G402)</f>
        <v>387.76500000000004</v>
      </c>
      <c r="S963" s="2">
        <f>J402*G402</f>
        <v>78414.7</v>
      </c>
      <c r="T963" s="1">
        <f ca="1">TODAY()-DATE(MID(O402,7,4),MID(O402,4,2),LEFT(O402,2))</f>
        <v>119</v>
      </c>
      <c r="U963" s="1" t="s">
        <v>34</v>
      </c>
      <c r="V963" s="1" t="s">
        <v>34</v>
      </c>
      <c r="W963" s="1" t="s">
        <v>34</v>
      </c>
      <c r="X963" t="s">
        <v>2719</v>
      </c>
      <c r="Y963" s="1">
        <v>6</v>
      </c>
    </row>
    <row r="964" spans="1:25" x14ac:dyDescent="0.3">
      <c r="A964" s="1" t="s">
        <v>1978</v>
      </c>
      <c r="B964" s="1" t="s">
        <v>63</v>
      </c>
      <c r="C964" s="1" t="s">
        <v>64</v>
      </c>
      <c r="D964" s="1" t="s">
        <v>28</v>
      </c>
      <c r="E964" s="1" t="s">
        <v>29</v>
      </c>
      <c r="F964" s="1" t="s">
        <v>48</v>
      </c>
      <c r="G964" s="2">
        <v>89.47</v>
      </c>
      <c r="H964" s="1">
        <v>7</v>
      </c>
      <c r="I964" s="1">
        <v>264</v>
      </c>
      <c r="J964" s="1">
        <v>259</v>
      </c>
      <c r="K964" s="1">
        <v>74</v>
      </c>
      <c r="L964" s="1">
        <v>148</v>
      </c>
      <c r="M964" s="1" t="s">
        <v>41</v>
      </c>
      <c r="N964" s="1" t="s">
        <v>32</v>
      </c>
      <c r="O964" t="s">
        <v>266</v>
      </c>
      <c r="P964" s="2">
        <v>62.63</v>
      </c>
      <c r="Q964" s="1" t="str">
        <f>IF(J732&gt;K732,"YES","NO")</f>
        <v>YES</v>
      </c>
      <c r="R964" s="2">
        <f>IF(Q732="YES",G732*0.9,G732)</f>
        <v>80.522999999999996</v>
      </c>
      <c r="S964" s="2">
        <f>J732*G732</f>
        <v>23172.73</v>
      </c>
      <c r="T964" s="1">
        <f ca="1">TODAY()-DATE(MID(O732,7,4),MID(O732,4,2),LEFT(O732,2))</f>
        <v>139</v>
      </c>
      <c r="U964" s="1" t="s">
        <v>34</v>
      </c>
      <c r="V964" s="1" t="s">
        <v>34</v>
      </c>
      <c r="W964" s="1" t="s">
        <v>34</v>
      </c>
      <c r="X964" t="s">
        <v>2732</v>
      </c>
      <c r="Y964" s="1">
        <v>6</v>
      </c>
    </row>
    <row r="965" spans="1:25" x14ac:dyDescent="0.3">
      <c r="A965" s="1" t="s">
        <v>1979</v>
      </c>
      <c r="B965" s="1" t="s">
        <v>72</v>
      </c>
      <c r="C965" s="1" t="s">
        <v>73</v>
      </c>
      <c r="D965" s="1" t="s">
        <v>47</v>
      </c>
      <c r="E965" s="1" t="s">
        <v>29</v>
      </c>
      <c r="F965" s="1" t="s">
        <v>30</v>
      </c>
      <c r="G965" s="2">
        <v>340.62</v>
      </c>
      <c r="H965" s="1">
        <v>24</v>
      </c>
      <c r="I965" s="1">
        <v>88</v>
      </c>
      <c r="J965" s="1">
        <v>59</v>
      </c>
      <c r="K965" s="1">
        <v>77</v>
      </c>
      <c r="L965" s="1">
        <v>50</v>
      </c>
      <c r="M965" s="1" t="s">
        <v>49</v>
      </c>
      <c r="N965" s="1" t="s">
        <v>60</v>
      </c>
      <c r="O965" t="s">
        <v>229</v>
      </c>
      <c r="P965" s="2">
        <v>238.43</v>
      </c>
      <c r="Q965" s="1" t="str">
        <f>IF(J323&gt;K323,"YES","NO")</f>
        <v>NO</v>
      </c>
      <c r="R965" s="2">
        <f>IF(Q323="YES",G323*0.9,G323)</f>
        <v>340.62</v>
      </c>
      <c r="S965" s="2">
        <f>J323*G323</f>
        <v>20096.580000000002</v>
      </c>
      <c r="T965" s="1">
        <f ca="1">TODAY()-DATE(MID(O323,7,4),MID(O323,4,2),LEFT(O323,2))</f>
        <v>128</v>
      </c>
      <c r="U965" s="1" t="s">
        <v>34</v>
      </c>
      <c r="V965" s="1" t="s">
        <v>34</v>
      </c>
      <c r="W965" s="1" t="s">
        <v>34</v>
      </c>
      <c r="X965" t="s">
        <v>2849</v>
      </c>
      <c r="Y965" s="1">
        <v>6.5</v>
      </c>
    </row>
    <row r="966" spans="1:25" x14ac:dyDescent="0.3">
      <c r="A966" s="1" t="s">
        <v>1980</v>
      </c>
      <c r="B966" s="1" t="s">
        <v>192</v>
      </c>
      <c r="C966" s="1" t="s">
        <v>193</v>
      </c>
      <c r="D966" s="1" t="s">
        <v>85</v>
      </c>
      <c r="E966" s="1" t="s">
        <v>29</v>
      </c>
      <c r="F966" s="1" t="s">
        <v>54</v>
      </c>
      <c r="G966" s="2">
        <v>381.27</v>
      </c>
      <c r="H966" s="1">
        <v>23</v>
      </c>
      <c r="I966" s="1">
        <v>240</v>
      </c>
      <c r="J966" s="1">
        <v>214</v>
      </c>
      <c r="K966" s="1">
        <v>71</v>
      </c>
      <c r="L966" s="1">
        <v>112</v>
      </c>
      <c r="M966" s="1" t="s">
        <v>31</v>
      </c>
      <c r="N966" s="1" t="s">
        <v>60</v>
      </c>
      <c r="O966" t="s">
        <v>361</v>
      </c>
      <c r="P966" s="2">
        <v>266.89</v>
      </c>
      <c r="Q966" s="1" t="str">
        <f>IF(J185&gt;K185,"YES","NO")</f>
        <v>YES</v>
      </c>
      <c r="R966" s="2">
        <f>IF(Q185="YES",G185*0.9,G185)</f>
        <v>343.14299999999997</v>
      </c>
      <c r="S966" s="2">
        <f>J185*G185</f>
        <v>81591.78</v>
      </c>
      <c r="T966" s="1">
        <f ca="1">TODAY()-DATE(MID(O185,7,4),MID(O185,4,2),LEFT(O185,2))</f>
        <v>99</v>
      </c>
      <c r="U966" s="1" t="s">
        <v>34</v>
      </c>
      <c r="V966" s="1" t="s">
        <v>34</v>
      </c>
      <c r="W966" s="1" t="s">
        <v>34</v>
      </c>
      <c r="X966" t="s">
        <v>2657</v>
      </c>
      <c r="Y966" s="1">
        <v>7.5</v>
      </c>
    </row>
    <row r="967" spans="1:25" x14ac:dyDescent="0.3">
      <c r="A967" s="1" t="s">
        <v>1981</v>
      </c>
      <c r="B967" s="1" t="s">
        <v>95</v>
      </c>
      <c r="C967" s="1" t="s">
        <v>96</v>
      </c>
      <c r="D967" s="1" t="s">
        <v>97</v>
      </c>
      <c r="E967" s="1" t="s">
        <v>40</v>
      </c>
      <c r="F967" s="1" t="s">
        <v>54</v>
      </c>
      <c r="G967" s="2">
        <v>274.35000000000002</v>
      </c>
      <c r="H967" s="1">
        <v>24</v>
      </c>
      <c r="I967" s="1">
        <v>178</v>
      </c>
      <c r="J967" s="1">
        <v>165</v>
      </c>
      <c r="K967" s="1">
        <v>80</v>
      </c>
      <c r="L967" s="1">
        <v>137</v>
      </c>
      <c r="M967" s="1" t="s">
        <v>41</v>
      </c>
      <c r="N967" s="1" t="s">
        <v>42</v>
      </c>
      <c r="O967" t="s">
        <v>220</v>
      </c>
      <c r="P967" s="2">
        <v>192.05</v>
      </c>
      <c r="Q967" s="1" t="str">
        <f>IF(J234&gt;K234,"YES","NO")</f>
        <v>YES</v>
      </c>
      <c r="R967" s="2">
        <f>IF(Q234="YES",G234*0.9,G234)</f>
        <v>246.91500000000002</v>
      </c>
      <c r="S967" s="2">
        <f>J234*G234</f>
        <v>45267.750000000007</v>
      </c>
      <c r="T967" s="1">
        <f ca="1">TODAY()-DATE(MID(O234,7,4),MID(O234,4,2),LEFT(O234,2))</f>
        <v>106</v>
      </c>
      <c r="U967" s="1" t="s">
        <v>34</v>
      </c>
      <c r="V967" s="1" t="s">
        <v>34</v>
      </c>
      <c r="W967" s="1" t="s">
        <v>34</v>
      </c>
      <c r="X967" t="s">
        <v>2608</v>
      </c>
      <c r="Y967" s="1">
        <v>7</v>
      </c>
    </row>
    <row r="968" spans="1:25" x14ac:dyDescent="0.3">
      <c r="A968" s="1" t="s">
        <v>1982</v>
      </c>
      <c r="B968" s="1" t="s">
        <v>176</v>
      </c>
      <c r="C968" s="1" t="s">
        <v>177</v>
      </c>
      <c r="D968" s="1" t="s">
        <v>39</v>
      </c>
      <c r="E968" s="1" t="s">
        <v>29</v>
      </c>
      <c r="F968" s="1" t="s">
        <v>54</v>
      </c>
      <c r="G968" s="2">
        <v>442</v>
      </c>
      <c r="H968" s="1">
        <v>1</v>
      </c>
      <c r="I968" s="1">
        <v>81</v>
      </c>
      <c r="J968" s="1">
        <v>52</v>
      </c>
      <c r="K968" s="1">
        <v>85</v>
      </c>
      <c r="L968" s="1">
        <v>82</v>
      </c>
      <c r="M968" s="1" t="s">
        <v>49</v>
      </c>
      <c r="N968" s="1" t="s">
        <v>42</v>
      </c>
      <c r="O968" t="s">
        <v>333</v>
      </c>
      <c r="P968" s="2">
        <v>309.39999999999998</v>
      </c>
      <c r="Q968" s="1" t="str">
        <f>IF(J674&gt;K674,"YES","NO")</f>
        <v>NO</v>
      </c>
      <c r="R968" s="2">
        <f>IF(Q674="YES",G674*0.9,G674)</f>
        <v>442</v>
      </c>
      <c r="S968" s="2">
        <f>J674*G674</f>
        <v>22984</v>
      </c>
      <c r="T968" s="1">
        <f ca="1">TODAY()-DATE(MID(O674,7,4),MID(O674,4,2),LEFT(O674,2))</f>
        <v>109</v>
      </c>
      <c r="U968" s="1" t="s">
        <v>34</v>
      </c>
      <c r="V968" s="1" t="s">
        <v>34</v>
      </c>
      <c r="W968" s="1" t="s">
        <v>34</v>
      </c>
      <c r="X968" t="s">
        <v>2688</v>
      </c>
      <c r="Y968" s="1">
        <v>7</v>
      </c>
    </row>
    <row r="969" spans="1:25" x14ac:dyDescent="0.3">
      <c r="A969" s="1" t="s">
        <v>1983</v>
      </c>
      <c r="B969" s="1" t="s">
        <v>262</v>
      </c>
      <c r="C969" s="1" t="s">
        <v>263</v>
      </c>
      <c r="D969" s="1" t="s">
        <v>104</v>
      </c>
      <c r="E969" s="1" t="s">
        <v>74</v>
      </c>
      <c r="F969" s="1" t="s">
        <v>48</v>
      </c>
      <c r="G969" s="2">
        <v>101.2</v>
      </c>
      <c r="H969" s="1">
        <v>3</v>
      </c>
      <c r="I969" s="1">
        <v>121</v>
      </c>
      <c r="J969" s="1">
        <v>96</v>
      </c>
      <c r="K969" s="1">
        <v>83</v>
      </c>
      <c r="L969" s="1">
        <v>125</v>
      </c>
      <c r="M969" s="1" t="s">
        <v>41</v>
      </c>
      <c r="N969" s="1" t="s">
        <v>60</v>
      </c>
      <c r="O969" t="s">
        <v>145</v>
      </c>
      <c r="P969" s="2">
        <v>70.84</v>
      </c>
      <c r="Q969" s="1" t="str">
        <f>IF(J634&gt;K634,"YES","NO")</f>
        <v>YES</v>
      </c>
      <c r="R969" s="2">
        <f>IF(Q634="YES",G634*0.9,G634)</f>
        <v>91.08</v>
      </c>
      <c r="S969" s="2">
        <f>J634*G634</f>
        <v>9715.2000000000007</v>
      </c>
      <c r="T969" s="1">
        <f ca="1">TODAY()-DATE(MID(O634,7,4),MID(O634,4,2),LEFT(O634,2))</f>
        <v>68</v>
      </c>
      <c r="U969" s="1" t="s">
        <v>34</v>
      </c>
      <c r="V969" s="1" t="s">
        <v>34</v>
      </c>
      <c r="W969" s="1" t="s">
        <v>34</v>
      </c>
      <c r="X969" t="s">
        <v>2753</v>
      </c>
      <c r="Y969" s="1">
        <v>7</v>
      </c>
    </row>
    <row r="970" spans="1:25" x14ac:dyDescent="0.3">
      <c r="A970" s="1" t="s">
        <v>1984</v>
      </c>
      <c r="B970" s="1" t="s">
        <v>118</v>
      </c>
      <c r="C970" s="1" t="s">
        <v>119</v>
      </c>
      <c r="D970" s="1" t="s">
        <v>97</v>
      </c>
      <c r="E970" s="1" t="s">
        <v>74</v>
      </c>
      <c r="F970" s="1" t="s">
        <v>30</v>
      </c>
      <c r="G970" s="2">
        <v>364.06</v>
      </c>
      <c r="H970" s="1">
        <v>22</v>
      </c>
      <c r="I970" s="1">
        <v>110</v>
      </c>
      <c r="J970" s="1">
        <v>75</v>
      </c>
      <c r="K970" s="1">
        <v>67</v>
      </c>
      <c r="L970" s="1">
        <v>131</v>
      </c>
      <c r="M970" s="1" t="s">
        <v>41</v>
      </c>
      <c r="N970" s="1" t="s">
        <v>32</v>
      </c>
      <c r="O970" t="s">
        <v>361</v>
      </c>
      <c r="P970" s="2">
        <v>254.84</v>
      </c>
      <c r="Q970" s="1" t="str">
        <f>IF(J195&gt;K195,"YES","NO")</f>
        <v>YES</v>
      </c>
      <c r="R970" s="2">
        <f>IF(Q195="YES",G195*0.9,G195)</f>
        <v>327.654</v>
      </c>
      <c r="S970" s="2">
        <f>J195*G195</f>
        <v>27304.5</v>
      </c>
      <c r="T970" s="1">
        <f ca="1">TODAY()-DATE(MID(O195,7,4),MID(O195,4,2),LEFT(O195,2))</f>
        <v>99</v>
      </c>
      <c r="U970" s="1" t="s">
        <v>34</v>
      </c>
      <c r="V970" s="1" t="s">
        <v>34</v>
      </c>
      <c r="W970" s="1" t="s">
        <v>34</v>
      </c>
      <c r="X970" t="s">
        <v>2739</v>
      </c>
      <c r="Y970" s="1">
        <v>7.5</v>
      </c>
    </row>
    <row r="971" spans="1:25" x14ac:dyDescent="0.3">
      <c r="A971" s="1" t="s">
        <v>1985</v>
      </c>
      <c r="B971" s="1" t="s">
        <v>262</v>
      </c>
      <c r="C971" s="1" t="s">
        <v>263</v>
      </c>
      <c r="D971" s="1" t="s">
        <v>104</v>
      </c>
      <c r="E971" s="1" t="s">
        <v>40</v>
      </c>
      <c r="F971" s="1" t="s">
        <v>30</v>
      </c>
      <c r="G971" s="2">
        <v>408.71</v>
      </c>
      <c r="H971" s="1">
        <v>25</v>
      </c>
      <c r="I971" s="1">
        <v>151</v>
      </c>
      <c r="J971" s="1">
        <v>130</v>
      </c>
      <c r="K971" s="1">
        <v>94</v>
      </c>
      <c r="L971" s="1">
        <v>85</v>
      </c>
      <c r="M971" s="1" t="s">
        <v>31</v>
      </c>
      <c r="N971" s="1" t="s">
        <v>32</v>
      </c>
      <c r="O971" t="s">
        <v>272</v>
      </c>
      <c r="P971" s="2">
        <v>286.10000000000002</v>
      </c>
      <c r="Q971" s="1" t="str">
        <f>IF(J560&gt;K560,"YES","NO")</f>
        <v>YES</v>
      </c>
      <c r="R971" s="2">
        <f>IF(Q560="YES",G560*0.9,G560)</f>
        <v>367.839</v>
      </c>
      <c r="S971" s="2">
        <f>J560*G560</f>
        <v>53132.299999999996</v>
      </c>
      <c r="T971" s="1">
        <f ca="1">TODAY()-DATE(MID(O560,7,4),MID(O560,4,2),LEFT(O560,2))</f>
        <v>72</v>
      </c>
      <c r="U971" s="1" t="s">
        <v>34</v>
      </c>
      <c r="V971" s="1" t="s">
        <v>34</v>
      </c>
      <c r="W971" s="1" t="s">
        <v>34</v>
      </c>
      <c r="X971" t="s">
        <v>2564</v>
      </c>
      <c r="Y971" s="1">
        <v>5</v>
      </c>
    </row>
    <row r="972" spans="1:25" x14ac:dyDescent="0.3">
      <c r="A972" s="1" t="s">
        <v>1986</v>
      </c>
      <c r="B972" s="1" t="s">
        <v>123</v>
      </c>
      <c r="C972" s="1" t="s">
        <v>124</v>
      </c>
      <c r="D972" s="1" t="s">
        <v>47</v>
      </c>
      <c r="E972" s="1" t="s">
        <v>74</v>
      </c>
      <c r="F972" s="1" t="s">
        <v>54</v>
      </c>
      <c r="G972" s="2">
        <v>42.59</v>
      </c>
      <c r="H972" s="1">
        <v>12</v>
      </c>
      <c r="I972" s="1">
        <v>264</v>
      </c>
      <c r="J972" s="1">
        <v>232</v>
      </c>
      <c r="K972" s="1">
        <v>43</v>
      </c>
      <c r="L972" s="1">
        <v>82</v>
      </c>
      <c r="M972" s="1" t="s">
        <v>31</v>
      </c>
      <c r="N972" s="1" t="s">
        <v>60</v>
      </c>
      <c r="O972" t="s">
        <v>292</v>
      </c>
      <c r="P972" s="2">
        <v>29.81</v>
      </c>
      <c r="Q972" s="1" t="str">
        <f>IF(J208&gt;K208,"YES","NO")</f>
        <v>YES</v>
      </c>
      <c r="R972" s="2">
        <f>IF(Q208="YES",G208*0.9,G208)</f>
        <v>38.331000000000003</v>
      </c>
      <c r="S972" s="2">
        <f>J208*G208</f>
        <v>9880.880000000001</v>
      </c>
      <c r="T972" s="1">
        <f ca="1">TODAY()-DATE(MID(O208,7,4),MID(O208,4,2),LEFT(O208,2))</f>
        <v>83</v>
      </c>
      <c r="U972" s="1" t="s">
        <v>34</v>
      </c>
      <c r="V972" s="1" t="s">
        <v>34</v>
      </c>
      <c r="W972" s="1" t="s">
        <v>34</v>
      </c>
      <c r="X972" t="s">
        <v>2662</v>
      </c>
      <c r="Y972" s="1">
        <v>9</v>
      </c>
    </row>
    <row r="973" spans="1:25" x14ac:dyDescent="0.3">
      <c r="A973" s="1" t="s">
        <v>1987</v>
      </c>
      <c r="B973" s="1" t="s">
        <v>197</v>
      </c>
      <c r="C973" s="1" t="s">
        <v>198</v>
      </c>
      <c r="D973" s="1" t="s">
        <v>104</v>
      </c>
      <c r="E973" s="1" t="s">
        <v>74</v>
      </c>
      <c r="F973" s="1" t="s">
        <v>54</v>
      </c>
      <c r="G973" s="2">
        <v>442.56</v>
      </c>
      <c r="H973" s="1">
        <v>10</v>
      </c>
      <c r="I973" s="1">
        <v>235</v>
      </c>
      <c r="J973" s="1">
        <v>220</v>
      </c>
      <c r="K973" s="1">
        <v>41</v>
      </c>
      <c r="L973" s="1">
        <v>67</v>
      </c>
      <c r="M973" s="1" t="s">
        <v>31</v>
      </c>
      <c r="N973" s="1" t="s">
        <v>42</v>
      </c>
      <c r="O973" t="s">
        <v>361</v>
      </c>
      <c r="P973" s="2">
        <v>309.79000000000002</v>
      </c>
      <c r="Q973" s="1" t="str">
        <f>IF(J428&gt;K428,"YES","NO")</f>
        <v>YES</v>
      </c>
      <c r="R973" s="2">
        <f>IF(Q428="YES",G428*0.9,G428)</f>
        <v>398.30400000000003</v>
      </c>
      <c r="S973" s="2">
        <f>J428*G428</f>
        <v>97363.199999999997</v>
      </c>
      <c r="T973" s="1">
        <f ca="1">TODAY()-DATE(MID(O428,7,4),MID(O428,4,2),LEFT(O428,2))</f>
        <v>99</v>
      </c>
      <c r="U973" s="1" t="s">
        <v>34</v>
      </c>
      <c r="V973" s="1" t="s">
        <v>34</v>
      </c>
      <c r="W973" s="1" t="s">
        <v>34</v>
      </c>
      <c r="X973" t="s">
        <v>2620</v>
      </c>
      <c r="Y973" s="1">
        <v>9</v>
      </c>
    </row>
    <row r="974" spans="1:25" x14ac:dyDescent="0.3">
      <c r="A974" s="1" t="s">
        <v>1988</v>
      </c>
      <c r="B974" s="1" t="s">
        <v>130</v>
      </c>
      <c r="C974" s="1" t="s">
        <v>131</v>
      </c>
      <c r="D974" s="1" t="s">
        <v>132</v>
      </c>
      <c r="E974" s="1" t="s">
        <v>74</v>
      </c>
      <c r="F974" s="1" t="s">
        <v>54</v>
      </c>
      <c r="G974" s="2">
        <v>115.64</v>
      </c>
      <c r="H974" s="1">
        <v>12</v>
      </c>
      <c r="I974" s="1">
        <v>194</v>
      </c>
      <c r="J974" s="1">
        <v>180</v>
      </c>
      <c r="K974" s="1">
        <v>62</v>
      </c>
      <c r="L974" s="1">
        <v>79</v>
      </c>
      <c r="M974" s="1" t="s">
        <v>49</v>
      </c>
      <c r="N974" s="1" t="s">
        <v>32</v>
      </c>
      <c r="O974" t="s">
        <v>272</v>
      </c>
      <c r="P974" s="2">
        <v>80.95</v>
      </c>
      <c r="Q974" s="1" t="str">
        <f>IF(J249&gt;K249,"YES","NO")</f>
        <v>YES</v>
      </c>
      <c r="R974" s="2">
        <f>IF(Q249="YES",G249*0.9,G249)</f>
        <v>104.07600000000001</v>
      </c>
      <c r="S974" s="2">
        <f>J249*G249</f>
        <v>20815.2</v>
      </c>
      <c r="T974" s="1">
        <f ca="1">TODAY()-DATE(MID(O249,7,4),MID(O249,4,2),LEFT(O249,2))</f>
        <v>72</v>
      </c>
      <c r="U974" s="1" t="s">
        <v>34</v>
      </c>
      <c r="V974" s="1" t="s">
        <v>34</v>
      </c>
      <c r="W974" s="1" t="s">
        <v>34</v>
      </c>
      <c r="X974" t="s">
        <v>2881</v>
      </c>
      <c r="Y974" s="1">
        <v>9.5</v>
      </c>
    </row>
    <row r="975" spans="1:25" x14ac:dyDescent="0.3">
      <c r="A975" s="1" t="s">
        <v>1989</v>
      </c>
      <c r="B975" s="1" t="s">
        <v>72</v>
      </c>
      <c r="C975" s="1" t="s">
        <v>73</v>
      </c>
      <c r="D975" s="1" t="s">
        <v>47</v>
      </c>
      <c r="E975" s="1" t="s">
        <v>74</v>
      </c>
      <c r="F975" s="1" t="s">
        <v>48</v>
      </c>
      <c r="G975" s="2">
        <v>444.22</v>
      </c>
      <c r="H975" s="1">
        <v>7</v>
      </c>
      <c r="I975" s="1">
        <v>220</v>
      </c>
      <c r="J975" s="1">
        <v>210</v>
      </c>
      <c r="K975" s="1">
        <v>48</v>
      </c>
      <c r="L975" s="1">
        <v>134</v>
      </c>
      <c r="M975" s="1" t="s">
        <v>49</v>
      </c>
      <c r="N975" s="1" t="s">
        <v>32</v>
      </c>
      <c r="O975" t="s">
        <v>264</v>
      </c>
      <c r="P975" s="2">
        <v>310.95</v>
      </c>
      <c r="Q975" s="1" t="str">
        <f>IF(J154&gt;K154,"YES","NO")</f>
        <v>YES</v>
      </c>
      <c r="R975" s="2">
        <f>IF(Q154="YES",G154*0.9,G154)</f>
        <v>399.79800000000006</v>
      </c>
      <c r="S975" s="2">
        <f>J154*G154</f>
        <v>93286.200000000012</v>
      </c>
      <c r="T975" s="1">
        <f ca="1">TODAY()-DATE(MID(O154,7,4),MID(O154,4,2),LEFT(O154,2))</f>
        <v>84</v>
      </c>
      <c r="U975" s="1" t="s">
        <v>34</v>
      </c>
      <c r="V975" s="1" t="s">
        <v>34</v>
      </c>
      <c r="W975" s="1" t="s">
        <v>34</v>
      </c>
      <c r="X975" t="s">
        <v>2815</v>
      </c>
      <c r="Y975" s="1">
        <v>7</v>
      </c>
    </row>
    <row r="976" spans="1:25" x14ac:dyDescent="0.3">
      <c r="A976" s="1" t="s">
        <v>1990</v>
      </c>
      <c r="B976" s="1" t="s">
        <v>95</v>
      </c>
      <c r="C976" s="1" t="s">
        <v>96</v>
      </c>
      <c r="D976" s="1" t="s">
        <v>97</v>
      </c>
      <c r="E976" s="1" t="s">
        <v>40</v>
      </c>
      <c r="F976" s="1" t="s">
        <v>48</v>
      </c>
      <c r="G976" s="2">
        <v>299.36</v>
      </c>
      <c r="H976" s="1">
        <v>10</v>
      </c>
      <c r="I976" s="1">
        <v>293</v>
      </c>
      <c r="J976" s="1">
        <v>275</v>
      </c>
      <c r="K976" s="1">
        <v>113</v>
      </c>
      <c r="L976" s="1">
        <v>120</v>
      </c>
      <c r="M976" s="1" t="s">
        <v>41</v>
      </c>
      <c r="N976" s="1" t="s">
        <v>60</v>
      </c>
      <c r="O976" t="s">
        <v>395</v>
      </c>
      <c r="P976" s="2">
        <v>209.55</v>
      </c>
      <c r="Q976" s="1" t="str">
        <f>IF(J416&gt;K416,"YES","NO")</f>
        <v>YES</v>
      </c>
      <c r="R976" s="2">
        <f>IF(Q416="YES",G416*0.9,G416)</f>
        <v>269.42400000000004</v>
      </c>
      <c r="S976" s="2">
        <f>J416*G416</f>
        <v>82324</v>
      </c>
      <c r="T976" s="1">
        <f ca="1">TODAY()-DATE(MID(O416,7,4),MID(O416,4,2),LEFT(O416,2))</f>
        <v>101</v>
      </c>
      <c r="U976" s="1" t="s">
        <v>34</v>
      </c>
      <c r="V976" s="1" t="s">
        <v>34</v>
      </c>
      <c r="W976" s="1" t="s">
        <v>34</v>
      </c>
      <c r="X976" t="s">
        <v>2573</v>
      </c>
      <c r="Y976" s="1">
        <v>8</v>
      </c>
    </row>
    <row r="977" spans="1:25" x14ac:dyDescent="0.3">
      <c r="A977" s="1" t="s">
        <v>1991</v>
      </c>
      <c r="B977" s="1" t="s">
        <v>26</v>
      </c>
      <c r="C977" s="1" t="s">
        <v>27</v>
      </c>
      <c r="D977" s="1" t="s">
        <v>28</v>
      </c>
      <c r="E977" s="1" t="s">
        <v>40</v>
      </c>
      <c r="F977" s="1" t="s">
        <v>48</v>
      </c>
      <c r="G977" s="2">
        <v>303.88</v>
      </c>
      <c r="H977" s="1">
        <v>4</v>
      </c>
      <c r="I977" s="1">
        <v>272</v>
      </c>
      <c r="J977" s="1">
        <v>246</v>
      </c>
      <c r="K977" s="1">
        <v>105</v>
      </c>
      <c r="L977" s="1">
        <v>69</v>
      </c>
      <c r="M977" s="1" t="s">
        <v>41</v>
      </c>
      <c r="N977" s="1" t="s">
        <v>32</v>
      </c>
      <c r="O977" t="s">
        <v>178</v>
      </c>
      <c r="P977" s="2">
        <v>212.72</v>
      </c>
      <c r="Q977" s="1" t="str">
        <f>IF(J222&gt;K222,"YES","NO")</f>
        <v>YES</v>
      </c>
      <c r="R977" s="2">
        <f>IF(Q222="YES",G222*0.9,G222)</f>
        <v>273.49200000000002</v>
      </c>
      <c r="S977" s="2">
        <f>J222*G222</f>
        <v>74754.48</v>
      </c>
      <c r="T977" s="1">
        <f ca="1">TODAY()-DATE(MID(O222,7,4),MID(O222,4,2),LEFT(O222,2))</f>
        <v>90</v>
      </c>
      <c r="U977" s="1" t="s">
        <v>34</v>
      </c>
      <c r="V977" s="1" t="s">
        <v>34</v>
      </c>
      <c r="W977" s="1" t="s">
        <v>34</v>
      </c>
      <c r="X977" t="s">
        <v>2811</v>
      </c>
      <c r="Y977" s="1">
        <v>6</v>
      </c>
    </row>
    <row r="978" spans="1:25" x14ac:dyDescent="0.3">
      <c r="A978" s="1" t="s">
        <v>1992</v>
      </c>
      <c r="B978" s="1" t="s">
        <v>123</v>
      </c>
      <c r="C978" s="1" t="s">
        <v>124</v>
      </c>
      <c r="D978" s="1" t="s">
        <v>47</v>
      </c>
      <c r="E978" s="1" t="s">
        <v>29</v>
      </c>
      <c r="F978" s="1" t="s">
        <v>48</v>
      </c>
      <c r="G978" s="2">
        <v>148.08000000000001</v>
      </c>
      <c r="H978" s="1">
        <v>13</v>
      </c>
      <c r="I978" s="1">
        <v>111</v>
      </c>
      <c r="J978" s="1">
        <v>87</v>
      </c>
      <c r="K978" s="1">
        <v>88</v>
      </c>
      <c r="L978" s="1">
        <v>112</v>
      </c>
      <c r="M978" s="1" t="s">
        <v>41</v>
      </c>
      <c r="N978" s="1" t="s">
        <v>32</v>
      </c>
      <c r="O978" t="s">
        <v>109</v>
      </c>
      <c r="P978" s="2">
        <v>103.66</v>
      </c>
      <c r="Q978" s="1" t="str">
        <f>IF(J542&gt;K542,"YES","NO")</f>
        <v>NO</v>
      </c>
      <c r="R978" s="2">
        <f>IF(Q542="YES",G542*0.9,G542)</f>
        <v>148.08000000000001</v>
      </c>
      <c r="S978" s="2">
        <f>J542*G542</f>
        <v>12882.960000000001</v>
      </c>
      <c r="T978" s="1">
        <f ca="1">TODAY()-DATE(MID(O542,7,4),MID(O542,4,2),LEFT(O542,2))</f>
        <v>89</v>
      </c>
      <c r="U978" s="1" t="s">
        <v>34</v>
      </c>
      <c r="V978" s="1" t="s">
        <v>34</v>
      </c>
      <c r="W978" s="1" t="s">
        <v>34</v>
      </c>
      <c r="X978" t="s">
        <v>2792</v>
      </c>
      <c r="Y978" s="1">
        <v>6</v>
      </c>
    </row>
    <row r="979" spans="1:25" x14ac:dyDescent="0.3">
      <c r="A979" s="1" t="s">
        <v>1993</v>
      </c>
      <c r="B979" s="1" t="s">
        <v>172</v>
      </c>
      <c r="C979" s="1" t="s">
        <v>173</v>
      </c>
      <c r="D979" s="1" t="s">
        <v>132</v>
      </c>
      <c r="E979" s="1" t="s">
        <v>29</v>
      </c>
      <c r="F979" s="1" t="s">
        <v>54</v>
      </c>
      <c r="G979" s="2">
        <v>348.48</v>
      </c>
      <c r="H979" s="1">
        <v>21</v>
      </c>
      <c r="I979" s="1">
        <v>150</v>
      </c>
      <c r="J979" s="1">
        <v>113</v>
      </c>
      <c r="K979" s="1">
        <v>86</v>
      </c>
      <c r="L979" s="1">
        <v>119</v>
      </c>
      <c r="M979" s="1" t="s">
        <v>31</v>
      </c>
      <c r="N979" s="1" t="s">
        <v>32</v>
      </c>
      <c r="O979" t="s">
        <v>55</v>
      </c>
      <c r="P979" s="2">
        <v>243.94</v>
      </c>
      <c r="Q979" s="1" t="str">
        <f>IF(J439&gt;K439,"YES","NO")</f>
        <v>YES</v>
      </c>
      <c r="R979" s="2">
        <f>IF(Q439="YES",G439*0.9,G439)</f>
        <v>313.63200000000001</v>
      </c>
      <c r="S979" s="2">
        <f>J439*G439</f>
        <v>39378.240000000005</v>
      </c>
      <c r="T979" s="1">
        <f ca="1">TODAY()-DATE(MID(O439,7,4),MID(O439,4,2),LEFT(O439,2))</f>
        <v>91</v>
      </c>
      <c r="U979" s="1" t="s">
        <v>34</v>
      </c>
      <c r="V979" s="1" t="s">
        <v>34</v>
      </c>
      <c r="W979" s="1" t="s">
        <v>34</v>
      </c>
      <c r="X979" t="s">
        <v>2666</v>
      </c>
      <c r="Y979" s="1">
        <v>9.5</v>
      </c>
    </row>
    <row r="980" spans="1:25" x14ac:dyDescent="0.3">
      <c r="A980" s="1" t="s">
        <v>1994</v>
      </c>
      <c r="B980" s="1" t="s">
        <v>111</v>
      </c>
      <c r="C980" s="1" t="s">
        <v>112</v>
      </c>
      <c r="D980" s="1" t="s">
        <v>97</v>
      </c>
      <c r="E980" s="1" t="s">
        <v>40</v>
      </c>
      <c r="F980" s="1" t="s">
        <v>30</v>
      </c>
      <c r="G980" s="2">
        <v>41.83</v>
      </c>
      <c r="H980" s="1">
        <v>12</v>
      </c>
      <c r="I980" s="1">
        <v>228</v>
      </c>
      <c r="J980" s="1">
        <v>200</v>
      </c>
      <c r="K980" s="1">
        <v>46</v>
      </c>
      <c r="L980" s="1">
        <v>125</v>
      </c>
      <c r="M980" s="1" t="s">
        <v>49</v>
      </c>
      <c r="N980" s="1" t="s">
        <v>60</v>
      </c>
      <c r="O980" t="s">
        <v>212</v>
      </c>
      <c r="P980" s="2">
        <v>29.28</v>
      </c>
      <c r="Q980" s="1" t="str">
        <f>IF(J169&gt;K169,"YES","NO")</f>
        <v>YES</v>
      </c>
      <c r="R980" s="2">
        <f>IF(Q169="YES",G169*0.9,G169)</f>
        <v>37.646999999999998</v>
      </c>
      <c r="S980" s="2">
        <f>J169*G169</f>
        <v>8366</v>
      </c>
      <c r="T980" s="1">
        <f ca="1">TODAY()-DATE(MID(O169,7,4),MID(O169,4,2),LEFT(O169,2))</f>
        <v>78</v>
      </c>
      <c r="U980" s="1" t="s">
        <v>34</v>
      </c>
      <c r="V980" s="1" t="s">
        <v>34</v>
      </c>
      <c r="W980" s="1" t="s">
        <v>34</v>
      </c>
      <c r="X980" t="s">
        <v>2563</v>
      </c>
      <c r="Y980" s="1">
        <v>9.5</v>
      </c>
    </row>
    <row r="981" spans="1:25" x14ac:dyDescent="0.3">
      <c r="A981" s="1" t="s">
        <v>1995</v>
      </c>
      <c r="B981" s="1" t="s">
        <v>83</v>
      </c>
      <c r="C981" s="1" t="s">
        <v>84</v>
      </c>
      <c r="D981" s="1" t="s">
        <v>85</v>
      </c>
      <c r="E981" s="1" t="s">
        <v>29</v>
      </c>
      <c r="F981" s="1" t="s">
        <v>48</v>
      </c>
      <c r="G981" s="2">
        <v>339.54</v>
      </c>
      <c r="H981" s="1">
        <v>21</v>
      </c>
      <c r="I981" s="1">
        <v>217</v>
      </c>
      <c r="J981" s="1">
        <v>179</v>
      </c>
      <c r="K981" s="1">
        <v>48</v>
      </c>
      <c r="L981" s="1">
        <v>131</v>
      </c>
      <c r="M981" s="1" t="s">
        <v>31</v>
      </c>
      <c r="N981" s="1" t="s">
        <v>42</v>
      </c>
      <c r="O981" t="s">
        <v>203</v>
      </c>
      <c r="P981" s="2">
        <v>237.68</v>
      </c>
      <c r="Q981" s="1" t="str">
        <f>IF(J115&gt;K115,"YES","NO")</f>
        <v>YES</v>
      </c>
      <c r="R981" s="2">
        <f>IF(Q115="YES",G115*0.9,G115)</f>
        <v>305.58600000000001</v>
      </c>
      <c r="S981" s="2">
        <f>J115*G115</f>
        <v>60777.66</v>
      </c>
      <c r="T981" s="1">
        <f ca="1">TODAY()-DATE(MID(O115,7,4),MID(O115,4,2),LEFT(O115,2))</f>
        <v>102</v>
      </c>
      <c r="U981" s="1" t="s">
        <v>34</v>
      </c>
      <c r="V981" s="1" t="s">
        <v>34</v>
      </c>
      <c r="W981" s="1" t="s">
        <v>34</v>
      </c>
      <c r="X981" t="s">
        <v>2660</v>
      </c>
      <c r="Y981" s="1">
        <v>7.5</v>
      </c>
    </row>
    <row r="982" spans="1:25" x14ac:dyDescent="0.3">
      <c r="A982" s="1" t="s">
        <v>1996</v>
      </c>
      <c r="B982" s="1" t="s">
        <v>172</v>
      </c>
      <c r="C982" s="1" t="s">
        <v>173</v>
      </c>
      <c r="D982" s="1" t="s">
        <v>132</v>
      </c>
      <c r="E982" s="1" t="s">
        <v>40</v>
      </c>
      <c r="F982" s="1" t="s">
        <v>30</v>
      </c>
      <c r="G982" s="2">
        <v>210.48</v>
      </c>
      <c r="H982" s="1">
        <v>2</v>
      </c>
      <c r="I982" s="1">
        <v>290</v>
      </c>
      <c r="J982" s="1">
        <v>258</v>
      </c>
      <c r="K982" s="1">
        <v>105</v>
      </c>
      <c r="L982" s="1">
        <v>121</v>
      </c>
      <c r="M982" s="1" t="s">
        <v>41</v>
      </c>
      <c r="N982" s="1" t="s">
        <v>32</v>
      </c>
      <c r="O982" t="s">
        <v>43</v>
      </c>
      <c r="P982" s="2">
        <v>147.34</v>
      </c>
      <c r="Q982" s="1" t="str">
        <f>IF(J162&gt;K162,"YES","NO")</f>
        <v>YES</v>
      </c>
      <c r="R982" s="2">
        <f>IF(Q162="YES",G162*0.9,G162)</f>
        <v>189.43199999999999</v>
      </c>
      <c r="S982" s="2">
        <f>J162*G162</f>
        <v>54303.839999999997</v>
      </c>
      <c r="T982" s="1">
        <f ca="1">TODAY()-DATE(MID(O162,7,4),MID(O162,4,2),LEFT(O162,2))</f>
        <v>117</v>
      </c>
      <c r="U982" s="1" t="s">
        <v>34</v>
      </c>
      <c r="V982" s="1" t="s">
        <v>34</v>
      </c>
      <c r="W982" s="1" t="s">
        <v>34</v>
      </c>
      <c r="X982" t="s">
        <v>2684</v>
      </c>
      <c r="Y982" s="1">
        <v>6</v>
      </c>
    </row>
    <row r="983" spans="1:25" x14ac:dyDescent="0.3">
      <c r="A983" s="1" t="s">
        <v>1997</v>
      </c>
      <c r="B983" s="1" t="s">
        <v>111</v>
      </c>
      <c r="C983" s="1" t="s">
        <v>112</v>
      </c>
      <c r="D983" s="1" t="s">
        <v>97</v>
      </c>
      <c r="E983" s="1" t="s">
        <v>29</v>
      </c>
      <c r="F983" s="1" t="s">
        <v>54</v>
      </c>
      <c r="G983" s="2">
        <v>411.22</v>
      </c>
      <c r="H983" s="1">
        <v>2</v>
      </c>
      <c r="I983" s="1">
        <v>172</v>
      </c>
      <c r="J983" s="1">
        <v>160</v>
      </c>
      <c r="K983" s="1">
        <v>90</v>
      </c>
      <c r="L983" s="1">
        <v>96</v>
      </c>
      <c r="M983" s="1" t="s">
        <v>41</v>
      </c>
      <c r="N983" s="1" t="s">
        <v>60</v>
      </c>
      <c r="O983" t="s">
        <v>35</v>
      </c>
      <c r="P983" s="2">
        <v>287.85000000000002</v>
      </c>
      <c r="Q983" s="1" t="str">
        <f>IF(J108&gt;K108,"YES","NO")</f>
        <v>YES</v>
      </c>
      <c r="R983" s="2">
        <f>IF(Q108="YES",G108*0.9,G108)</f>
        <v>370.09800000000001</v>
      </c>
      <c r="S983" s="2">
        <f>J108*G108</f>
        <v>65795.200000000012</v>
      </c>
      <c r="T983" s="1">
        <f ca="1">TODAY()-DATE(MID(O108,7,4),MID(O108,4,2),LEFT(O108,2))</f>
        <v>85</v>
      </c>
      <c r="U983" s="1" t="s">
        <v>34</v>
      </c>
      <c r="V983" s="1" t="s">
        <v>34</v>
      </c>
      <c r="W983" s="1" t="s">
        <v>34</v>
      </c>
      <c r="X983" t="s">
        <v>2605</v>
      </c>
      <c r="Y983" s="1">
        <v>9</v>
      </c>
    </row>
    <row r="984" spans="1:25" x14ac:dyDescent="0.3">
      <c r="A984" s="1" t="s">
        <v>1998</v>
      </c>
      <c r="B984" s="1" t="s">
        <v>111</v>
      </c>
      <c r="C984" s="1" t="s">
        <v>112</v>
      </c>
      <c r="D984" s="1" t="s">
        <v>97</v>
      </c>
      <c r="E984" s="1" t="s">
        <v>40</v>
      </c>
      <c r="F984" s="1" t="s">
        <v>30</v>
      </c>
      <c r="G984" s="2">
        <v>166.81</v>
      </c>
      <c r="H984" s="1">
        <v>25</v>
      </c>
      <c r="I984" s="1">
        <v>286</v>
      </c>
      <c r="J984" s="1">
        <v>278</v>
      </c>
      <c r="K984" s="1">
        <v>61</v>
      </c>
      <c r="L984" s="1">
        <v>51</v>
      </c>
      <c r="M984" s="1" t="s">
        <v>41</v>
      </c>
      <c r="N984" s="1" t="s">
        <v>60</v>
      </c>
      <c r="O984" t="s">
        <v>247</v>
      </c>
      <c r="P984" s="2">
        <v>116.77</v>
      </c>
      <c r="Q984" s="1" t="str">
        <f>IF(J228&gt;K228,"YES","NO")</f>
        <v>YES</v>
      </c>
      <c r="R984" s="2">
        <f>IF(Q228="YES",G228*0.9,G228)</f>
        <v>150.12900000000002</v>
      </c>
      <c r="S984" s="2">
        <f>J228*G228</f>
        <v>46373.18</v>
      </c>
      <c r="T984" s="1">
        <f ca="1">TODAY()-DATE(MID(O228,7,4),MID(O228,4,2),LEFT(O228,2))</f>
        <v>125</v>
      </c>
      <c r="U984" s="1" t="s">
        <v>34</v>
      </c>
      <c r="V984" s="1" t="s">
        <v>34</v>
      </c>
      <c r="W984" s="1" t="s">
        <v>34</v>
      </c>
      <c r="X984" t="s">
        <v>2651</v>
      </c>
      <c r="Y984" s="1">
        <v>9</v>
      </c>
    </row>
    <row r="985" spans="1:25" x14ac:dyDescent="0.3">
      <c r="A985" s="1" t="s">
        <v>1999</v>
      </c>
      <c r="B985" s="1" t="s">
        <v>118</v>
      </c>
      <c r="C985" s="1" t="s">
        <v>119</v>
      </c>
      <c r="D985" s="1" t="s">
        <v>97</v>
      </c>
      <c r="E985" s="1" t="s">
        <v>29</v>
      </c>
      <c r="F985" s="1" t="s">
        <v>30</v>
      </c>
      <c r="G985" s="2">
        <v>485.09</v>
      </c>
      <c r="H985" s="1">
        <v>11</v>
      </c>
      <c r="I985" s="1">
        <v>184</v>
      </c>
      <c r="J985" s="1">
        <v>172</v>
      </c>
      <c r="K985" s="1">
        <v>93</v>
      </c>
      <c r="L985" s="1">
        <v>141</v>
      </c>
      <c r="M985" s="1" t="s">
        <v>49</v>
      </c>
      <c r="N985" s="1" t="s">
        <v>60</v>
      </c>
      <c r="O985" t="s">
        <v>90</v>
      </c>
      <c r="P985" s="2">
        <v>339.56</v>
      </c>
      <c r="Q985" s="1" t="str">
        <f>IF(J489&gt;K489,"YES","NO")</f>
        <v>YES</v>
      </c>
      <c r="R985" s="2">
        <f>IF(Q489="YES",G489*0.9,G489)</f>
        <v>436.58099999999996</v>
      </c>
      <c r="S985" s="2">
        <f>J489*G489</f>
        <v>83435.48</v>
      </c>
      <c r="T985" s="1">
        <f ca="1">TODAY()-DATE(MID(O489,7,4),MID(O489,4,2),LEFT(O489,2))</f>
        <v>94</v>
      </c>
      <c r="U985" s="1" t="s">
        <v>34</v>
      </c>
      <c r="V985" s="1" t="s">
        <v>34</v>
      </c>
      <c r="W985" s="1" t="s">
        <v>34</v>
      </c>
      <c r="X985" t="s">
        <v>2538</v>
      </c>
      <c r="Y985" s="1">
        <v>9.5</v>
      </c>
    </row>
    <row r="986" spans="1:25" x14ac:dyDescent="0.3">
      <c r="A986" s="1" t="s">
        <v>2000</v>
      </c>
      <c r="B986" s="1" t="s">
        <v>95</v>
      </c>
      <c r="C986" s="1" t="s">
        <v>96</v>
      </c>
      <c r="D986" s="1" t="s">
        <v>97</v>
      </c>
      <c r="E986" s="1" t="s">
        <v>29</v>
      </c>
      <c r="F986" s="1" t="s">
        <v>54</v>
      </c>
      <c r="G986" s="2">
        <v>81.73</v>
      </c>
      <c r="H986" s="1">
        <v>19</v>
      </c>
      <c r="I986" s="1">
        <v>287</v>
      </c>
      <c r="J986" s="1">
        <v>251</v>
      </c>
      <c r="K986" s="1">
        <v>74</v>
      </c>
      <c r="L986" s="1">
        <v>98</v>
      </c>
      <c r="M986" s="1" t="s">
        <v>49</v>
      </c>
      <c r="N986" s="1" t="s">
        <v>32</v>
      </c>
      <c r="O986" t="s">
        <v>185</v>
      </c>
      <c r="P986" s="2">
        <v>57.21</v>
      </c>
      <c r="Q986" s="1" t="str">
        <f>IF(J56&gt;K56,"YES","NO")</f>
        <v>YES</v>
      </c>
      <c r="R986" s="2">
        <f>IF(Q56="YES",G56*0.9,G56)</f>
        <v>73.557000000000002</v>
      </c>
      <c r="S986" s="2">
        <f>J56*G56</f>
        <v>20514.23</v>
      </c>
      <c r="T986" s="1">
        <f ca="1">TODAY()-DATE(MID(O56,7,4),MID(O56,4,2),LEFT(O56,2))</f>
        <v>104</v>
      </c>
      <c r="U986" s="1" t="s">
        <v>34</v>
      </c>
      <c r="V986" s="1" t="s">
        <v>34</v>
      </c>
      <c r="W986" s="1" t="s">
        <v>34</v>
      </c>
      <c r="X986" t="s">
        <v>2669</v>
      </c>
      <c r="Y986" s="1">
        <v>8</v>
      </c>
    </row>
    <row r="987" spans="1:25" x14ac:dyDescent="0.3">
      <c r="A987" s="1" t="s">
        <v>2001</v>
      </c>
      <c r="B987" s="1" t="s">
        <v>102</v>
      </c>
      <c r="C987" s="1" t="s">
        <v>103</v>
      </c>
      <c r="D987" s="1" t="s">
        <v>104</v>
      </c>
      <c r="E987" s="1" t="s">
        <v>29</v>
      </c>
      <c r="F987" s="1" t="s">
        <v>54</v>
      </c>
      <c r="G987" s="2">
        <v>494.53</v>
      </c>
      <c r="H987" s="1">
        <v>25</v>
      </c>
      <c r="I987" s="1">
        <v>143</v>
      </c>
      <c r="J987" s="1">
        <v>131</v>
      </c>
      <c r="K987" s="1">
        <v>73</v>
      </c>
      <c r="L987" s="1">
        <v>68</v>
      </c>
      <c r="M987" s="1" t="s">
        <v>41</v>
      </c>
      <c r="N987" s="1" t="s">
        <v>60</v>
      </c>
      <c r="O987" t="s">
        <v>33</v>
      </c>
      <c r="P987" s="2">
        <v>346.17</v>
      </c>
      <c r="Q987" s="1" t="str">
        <f>IF(J733&gt;K733,"YES","NO")</f>
        <v>YES</v>
      </c>
      <c r="R987" s="2">
        <f>IF(Q733="YES",G733*0.9,G733)</f>
        <v>445.077</v>
      </c>
      <c r="S987" s="2">
        <f>J733*G733</f>
        <v>64783.429999999993</v>
      </c>
      <c r="T987" s="1">
        <f ca="1">TODAY()-DATE(MID(O733,7,4),MID(O733,4,2),LEFT(O733,2))</f>
        <v>141</v>
      </c>
      <c r="U987" s="1" t="s">
        <v>34</v>
      </c>
      <c r="V987" s="1" t="s">
        <v>34</v>
      </c>
      <c r="W987" s="1" t="s">
        <v>34</v>
      </c>
      <c r="X987" t="s">
        <v>2794</v>
      </c>
      <c r="Y987" s="1">
        <v>6.5</v>
      </c>
    </row>
    <row r="988" spans="1:25" x14ac:dyDescent="0.3">
      <c r="A988" s="1" t="s">
        <v>2002</v>
      </c>
      <c r="B988" s="1" t="s">
        <v>126</v>
      </c>
      <c r="C988" s="1" t="s">
        <v>127</v>
      </c>
      <c r="D988" s="1" t="s">
        <v>85</v>
      </c>
      <c r="E988" s="1" t="s">
        <v>29</v>
      </c>
      <c r="F988" s="1" t="s">
        <v>48</v>
      </c>
      <c r="G988" s="2">
        <v>185.54</v>
      </c>
      <c r="H988" s="1">
        <v>0</v>
      </c>
      <c r="I988" s="1">
        <v>192</v>
      </c>
      <c r="J988" s="1">
        <v>181</v>
      </c>
      <c r="K988" s="1">
        <v>63</v>
      </c>
      <c r="L988" s="1">
        <v>113</v>
      </c>
      <c r="M988" s="1" t="s">
        <v>41</v>
      </c>
      <c r="N988" s="1" t="s">
        <v>42</v>
      </c>
      <c r="O988" t="s">
        <v>377</v>
      </c>
      <c r="P988" s="2">
        <v>129.88</v>
      </c>
      <c r="Q988" s="1" t="str">
        <f>IF(J321&gt;K321,"YES","NO")</f>
        <v>YES</v>
      </c>
      <c r="R988" s="2">
        <f>IF(Q321="YES",G321*0.9,G321)</f>
        <v>166.98599999999999</v>
      </c>
      <c r="S988" s="2">
        <f>J321*G321</f>
        <v>33582.74</v>
      </c>
      <c r="T988" s="1">
        <f ca="1">TODAY()-DATE(MID(O321,7,4),MID(O321,4,2),LEFT(O321,2))</f>
        <v>65</v>
      </c>
      <c r="U988" s="1" t="s">
        <v>34</v>
      </c>
      <c r="V988" s="1" t="s">
        <v>34</v>
      </c>
      <c r="W988" s="1" t="s">
        <v>34</v>
      </c>
      <c r="X988" t="s">
        <v>2784</v>
      </c>
      <c r="Y988" s="1">
        <v>5.5</v>
      </c>
    </row>
    <row r="989" spans="1:25" x14ac:dyDescent="0.3">
      <c r="A989" s="1" t="s">
        <v>2003</v>
      </c>
      <c r="B989" s="1" t="s">
        <v>118</v>
      </c>
      <c r="C989" s="1" t="s">
        <v>119</v>
      </c>
      <c r="D989" s="1" t="s">
        <v>97</v>
      </c>
      <c r="E989" s="1" t="s">
        <v>29</v>
      </c>
      <c r="F989" s="1" t="s">
        <v>48</v>
      </c>
      <c r="G989" s="2">
        <v>114.03</v>
      </c>
      <c r="H989" s="1">
        <v>9</v>
      </c>
      <c r="I989" s="1">
        <v>238</v>
      </c>
      <c r="J989" s="1">
        <v>202</v>
      </c>
      <c r="K989" s="1">
        <v>47</v>
      </c>
      <c r="L989" s="1">
        <v>83</v>
      </c>
      <c r="M989" s="1" t="s">
        <v>49</v>
      </c>
      <c r="N989" s="1" t="s">
        <v>32</v>
      </c>
      <c r="O989" t="s">
        <v>361</v>
      </c>
      <c r="P989" s="2">
        <v>79.819999999999993</v>
      </c>
      <c r="Q989" s="1" t="str">
        <f>IF(J618&gt;K618,"YES","NO")</f>
        <v>YES</v>
      </c>
      <c r="R989" s="2">
        <f>IF(Q618="YES",G618*0.9,G618)</f>
        <v>102.62700000000001</v>
      </c>
      <c r="S989" s="2">
        <f>J618*G618</f>
        <v>23034.06</v>
      </c>
      <c r="T989" s="1">
        <f ca="1">TODAY()-DATE(MID(O618,7,4),MID(O618,4,2),LEFT(O618,2))</f>
        <v>99</v>
      </c>
      <c r="U989" s="1" t="s">
        <v>34</v>
      </c>
      <c r="V989" s="1" t="s">
        <v>34</v>
      </c>
      <c r="W989" s="1" t="s">
        <v>34</v>
      </c>
      <c r="X989" t="s">
        <v>2539</v>
      </c>
      <c r="Y989" s="1">
        <v>9</v>
      </c>
    </row>
    <row r="990" spans="1:25" x14ac:dyDescent="0.3">
      <c r="A990" s="1" t="s">
        <v>2004</v>
      </c>
      <c r="B990" s="1" t="s">
        <v>143</v>
      </c>
      <c r="C990" s="1" t="s">
        <v>144</v>
      </c>
      <c r="D990" s="1" t="s">
        <v>47</v>
      </c>
      <c r="E990" s="1" t="s">
        <v>40</v>
      </c>
      <c r="F990" s="1" t="s">
        <v>54</v>
      </c>
      <c r="G990" s="2">
        <v>406.35</v>
      </c>
      <c r="H990" s="1">
        <v>4</v>
      </c>
      <c r="I990" s="1">
        <v>122</v>
      </c>
      <c r="J990" s="1">
        <v>113</v>
      </c>
      <c r="K990" s="1">
        <v>56</v>
      </c>
      <c r="L990" s="1">
        <v>82</v>
      </c>
      <c r="M990" s="1" t="s">
        <v>49</v>
      </c>
      <c r="N990" s="1" t="s">
        <v>32</v>
      </c>
      <c r="O990" t="s">
        <v>205</v>
      </c>
      <c r="P990" s="2">
        <v>284.44</v>
      </c>
      <c r="Q990" s="1" t="str">
        <f>IF(J68&gt;K68,"YES","NO")</f>
        <v>YES</v>
      </c>
      <c r="R990" s="2">
        <f>IF(Q68="YES",G68*0.9,G68)</f>
        <v>365.71500000000003</v>
      </c>
      <c r="S990" s="2">
        <f>J68*G68</f>
        <v>45917.55</v>
      </c>
      <c r="T990" s="1">
        <f ca="1">TODAY()-DATE(MID(O68,7,4),MID(O68,4,2),LEFT(O68,2))</f>
        <v>74</v>
      </c>
      <c r="U990" s="1" t="s">
        <v>34</v>
      </c>
      <c r="V990" s="1" t="s">
        <v>34</v>
      </c>
      <c r="W990" s="1" t="s">
        <v>34</v>
      </c>
      <c r="X990" t="s">
        <v>2546</v>
      </c>
      <c r="Y990" s="1">
        <v>9</v>
      </c>
    </row>
    <row r="991" spans="1:25" x14ac:dyDescent="0.3">
      <c r="A991" s="1" t="s">
        <v>2005</v>
      </c>
      <c r="B991" s="1" t="s">
        <v>57</v>
      </c>
      <c r="C991" s="1" t="s">
        <v>58</v>
      </c>
      <c r="D991" s="1" t="s">
        <v>59</v>
      </c>
      <c r="E991" s="1" t="s">
        <v>40</v>
      </c>
      <c r="F991" s="1" t="s">
        <v>48</v>
      </c>
      <c r="G991" s="2">
        <v>236.36</v>
      </c>
      <c r="H991" s="1">
        <v>16</v>
      </c>
      <c r="I991" s="1">
        <v>174</v>
      </c>
      <c r="J991" s="1">
        <v>145</v>
      </c>
      <c r="K991" s="1">
        <v>100</v>
      </c>
      <c r="L991" s="1">
        <v>66</v>
      </c>
      <c r="M991" s="1" t="s">
        <v>49</v>
      </c>
      <c r="N991" s="1" t="s">
        <v>42</v>
      </c>
      <c r="O991" t="s">
        <v>98</v>
      </c>
      <c r="P991" s="2">
        <v>165.45</v>
      </c>
      <c r="Q991" s="1" t="str">
        <f>IF(J755&gt;K755,"YES","NO")</f>
        <v>YES</v>
      </c>
      <c r="R991" s="2">
        <f>IF(Q755="YES",G755*0.9,G755)</f>
        <v>212.72400000000002</v>
      </c>
      <c r="S991" s="2">
        <f>J755*G755</f>
        <v>34272.200000000004</v>
      </c>
      <c r="T991" s="1">
        <f ca="1">TODAY()-DATE(MID(O755,7,4),MID(O755,4,2),LEFT(O755,2))</f>
        <v>96</v>
      </c>
      <c r="U991" s="1" t="s">
        <v>34</v>
      </c>
      <c r="V991" s="1" t="s">
        <v>34</v>
      </c>
      <c r="W991" s="1" t="s">
        <v>34</v>
      </c>
      <c r="X991" t="s">
        <v>2521</v>
      </c>
      <c r="Y991" s="1">
        <v>7.5</v>
      </c>
    </row>
    <row r="992" spans="1:25" x14ac:dyDescent="0.3">
      <c r="A992" s="1" t="s">
        <v>2006</v>
      </c>
      <c r="B992" s="1" t="s">
        <v>72</v>
      </c>
      <c r="C992" s="1" t="s">
        <v>73</v>
      </c>
      <c r="D992" s="1" t="s">
        <v>47</v>
      </c>
      <c r="E992" s="1" t="s">
        <v>40</v>
      </c>
      <c r="F992" s="1" t="s">
        <v>30</v>
      </c>
      <c r="G992" s="2">
        <v>492.64</v>
      </c>
      <c r="H992" s="1">
        <v>6</v>
      </c>
      <c r="I992" s="1">
        <v>119</v>
      </c>
      <c r="J992" s="1">
        <v>109</v>
      </c>
      <c r="K992" s="1">
        <v>69</v>
      </c>
      <c r="L992" s="1">
        <v>143</v>
      </c>
      <c r="M992" s="1" t="s">
        <v>31</v>
      </c>
      <c r="N992" s="1" t="s">
        <v>32</v>
      </c>
      <c r="O992" t="s">
        <v>224</v>
      </c>
      <c r="P992" s="2">
        <v>344.85</v>
      </c>
      <c r="Q992" s="1" t="str">
        <f>IF(J409&gt;K409,"YES","NO")</f>
        <v>YES</v>
      </c>
      <c r="R992" s="2">
        <f>IF(Q409="YES",G409*0.9,G409)</f>
        <v>443.37599999999998</v>
      </c>
      <c r="S992" s="2">
        <f>J409*G409</f>
        <v>53697.760000000002</v>
      </c>
      <c r="T992" s="1">
        <f ca="1">TODAY()-DATE(MID(O409,7,4),MID(O409,4,2),LEFT(O409,2))</f>
        <v>140</v>
      </c>
      <c r="U992" s="1" t="s">
        <v>34</v>
      </c>
      <c r="V992" s="1" t="s">
        <v>34</v>
      </c>
      <c r="W992" s="1" t="s">
        <v>34</v>
      </c>
      <c r="X992" t="s">
        <v>2813</v>
      </c>
      <c r="Y992" s="1">
        <v>9.5</v>
      </c>
    </row>
    <row r="993" spans="1:25" x14ac:dyDescent="0.3">
      <c r="A993" s="1" t="s">
        <v>2007</v>
      </c>
      <c r="B993" s="1" t="s">
        <v>77</v>
      </c>
      <c r="C993" s="1" t="s">
        <v>78</v>
      </c>
      <c r="D993" s="1" t="s">
        <v>47</v>
      </c>
      <c r="E993" s="1" t="s">
        <v>29</v>
      </c>
      <c r="F993" s="1" t="s">
        <v>30</v>
      </c>
      <c r="G993" s="2">
        <v>347.71</v>
      </c>
      <c r="H993" s="1">
        <v>3</v>
      </c>
      <c r="I993" s="1">
        <v>209</v>
      </c>
      <c r="J993" s="1">
        <v>195</v>
      </c>
      <c r="K993" s="1">
        <v>82</v>
      </c>
      <c r="L993" s="1">
        <v>125</v>
      </c>
      <c r="M993" s="1" t="s">
        <v>49</v>
      </c>
      <c r="N993" s="1" t="s">
        <v>60</v>
      </c>
      <c r="O993" t="s">
        <v>199</v>
      </c>
      <c r="P993" s="2">
        <v>243.4</v>
      </c>
      <c r="Q993" s="1" t="str">
        <f>IF(J616&gt;K616,"YES","NO")</f>
        <v>YES</v>
      </c>
      <c r="R993" s="2">
        <f>IF(Q616="YES",G616*0.9,G616)</f>
        <v>312.93899999999996</v>
      </c>
      <c r="S993" s="2">
        <f>J616*G616</f>
        <v>67803.45</v>
      </c>
      <c r="T993" s="1">
        <f ca="1">TODAY()-DATE(MID(O616,7,4),MID(O616,4,2),LEFT(O616,2))</f>
        <v>129</v>
      </c>
      <c r="U993" s="1" t="s">
        <v>34</v>
      </c>
      <c r="V993" s="1" t="s">
        <v>34</v>
      </c>
      <c r="W993" s="1" t="s">
        <v>34</v>
      </c>
      <c r="X993" t="s">
        <v>2576</v>
      </c>
      <c r="Y993" s="1">
        <v>8</v>
      </c>
    </row>
    <row r="994" spans="1:25" x14ac:dyDescent="0.3">
      <c r="A994" s="1" t="s">
        <v>2008</v>
      </c>
      <c r="B994" s="1" t="s">
        <v>57</v>
      </c>
      <c r="C994" s="1" t="s">
        <v>58</v>
      </c>
      <c r="D994" s="1" t="s">
        <v>59</v>
      </c>
      <c r="E994" s="1" t="s">
        <v>74</v>
      </c>
      <c r="F994" s="1" t="s">
        <v>30</v>
      </c>
      <c r="G994" s="2">
        <v>159.5</v>
      </c>
      <c r="H994" s="1">
        <v>17</v>
      </c>
      <c r="I994" s="1">
        <v>292</v>
      </c>
      <c r="J994" s="1">
        <v>273</v>
      </c>
      <c r="K994" s="1">
        <v>81</v>
      </c>
      <c r="L994" s="1">
        <v>56</v>
      </c>
      <c r="M994" s="1" t="s">
        <v>49</v>
      </c>
      <c r="N994" s="1" t="s">
        <v>42</v>
      </c>
      <c r="O994" t="s">
        <v>254</v>
      </c>
      <c r="P994" s="2">
        <v>111.65</v>
      </c>
      <c r="Q994" s="1" t="str">
        <f>IF(J100&gt;K100,"YES","NO")</f>
        <v>YES</v>
      </c>
      <c r="R994" s="2">
        <f>IF(Q100="YES",G100*0.9,G100)</f>
        <v>143.55000000000001</v>
      </c>
      <c r="S994" s="2">
        <f>J100*G100</f>
        <v>43543.5</v>
      </c>
      <c r="T994" s="1">
        <f ca="1">TODAY()-DATE(MID(O100,7,4),MID(O100,4,2),LEFT(O100,2))</f>
        <v>145</v>
      </c>
      <c r="U994" s="1" t="s">
        <v>34</v>
      </c>
      <c r="V994" s="1" t="s">
        <v>34</v>
      </c>
      <c r="W994" s="1" t="s">
        <v>34</v>
      </c>
      <c r="X994" t="s">
        <v>2764</v>
      </c>
      <c r="Y994" s="1">
        <v>5</v>
      </c>
    </row>
    <row r="995" spans="1:25" x14ac:dyDescent="0.3">
      <c r="A995" s="1" t="s">
        <v>2009</v>
      </c>
      <c r="B995" s="1" t="s">
        <v>26</v>
      </c>
      <c r="C995" s="1" t="s">
        <v>27</v>
      </c>
      <c r="D995" s="1" t="s">
        <v>28</v>
      </c>
      <c r="E995" s="1" t="s">
        <v>29</v>
      </c>
      <c r="F995" s="1" t="s">
        <v>48</v>
      </c>
      <c r="G995" s="2">
        <v>156.75</v>
      </c>
      <c r="H995" s="1">
        <v>7</v>
      </c>
      <c r="I995" s="1">
        <v>222</v>
      </c>
      <c r="J995" s="1">
        <v>191</v>
      </c>
      <c r="K995" s="1">
        <v>69</v>
      </c>
      <c r="L995" s="1">
        <v>126</v>
      </c>
      <c r="M995" s="1" t="s">
        <v>49</v>
      </c>
      <c r="N995" s="1" t="s">
        <v>60</v>
      </c>
      <c r="O995" t="s">
        <v>401</v>
      </c>
      <c r="P995" s="2">
        <v>109.72</v>
      </c>
      <c r="Q995" s="1" t="str">
        <f>IF(J621&gt;K621,"YES","NO")</f>
        <v>YES</v>
      </c>
      <c r="R995" s="2">
        <f>IF(Q621="YES",G621*0.9,G621)</f>
        <v>141.07500000000002</v>
      </c>
      <c r="S995" s="2">
        <f>J621*G621</f>
        <v>29939.25</v>
      </c>
      <c r="T995" s="1">
        <f ca="1">TODAY()-DATE(MID(O621,7,4),MID(O621,4,2),LEFT(O621,2))</f>
        <v>110</v>
      </c>
      <c r="U995" s="1" t="s">
        <v>34</v>
      </c>
      <c r="V995" s="1" t="s">
        <v>34</v>
      </c>
      <c r="W995" s="1" t="s">
        <v>34</v>
      </c>
      <c r="X995" t="s">
        <v>2741</v>
      </c>
      <c r="Y995" s="1">
        <v>5.5</v>
      </c>
    </row>
    <row r="996" spans="1:25" x14ac:dyDescent="0.3">
      <c r="A996" s="1" t="s">
        <v>2010</v>
      </c>
      <c r="B996" s="1" t="s">
        <v>77</v>
      </c>
      <c r="C996" s="1" t="s">
        <v>78</v>
      </c>
      <c r="D996" s="1" t="s">
        <v>47</v>
      </c>
      <c r="E996" s="1" t="s">
        <v>74</v>
      </c>
      <c r="F996" s="1" t="s">
        <v>54</v>
      </c>
      <c r="G996" s="2">
        <v>360.73</v>
      </c>
      <c r="H996" s="1">
        <v>12</v>
      </c>
      <c r="I996" s="1">
        <v>286</v>
      </c>
      <c r="J996" s="1">
        <v>258</v>
      </c>
      <c r="K996" s="1">
        <v>89</v>
      </c>
      <c r="L996" s="1">
        <v>58</v>
      </c>
      <c r="M996" s="1" t="s">
        <v>31</v>
      </c>
      <c r="N996" s="1" t="s">
        <v>42</v>
      </c>
      <c r="O996" t="s">
        <v>302</v>
      </c>
      <c r="P996" s="2">
        <v>252.51</v>
      </c>
      <c r="Q996" s="1" t="str">
        <f>IF(J146&gt;K146,"YES","NO")</f>
        <v>YES</v>
      </c>
      <c r="R996" s="2">
        <f>IF(Q146="YES",G146*0.9,G146)</f>
        <v>324.65700000000004</v>
      </c>
      <c r="S996" s="2">
        <f>J146*G146</f>
        <v>93068.340000000011</v>
      </c>
      <c r="T996" s="1">
        <f ca="1">TODAY()-DATE(MID(O146,7,4),MID(O146,4,2),LEFT(O146,2))</f>
        <v>133</v>
      </c>
      <c r="U996" s="1" t="s">
        <v>34</v>
      </c>
      <c r="V996" s="1" t="s">
        <v>34</v>
      </c>
      <c r="W996" s="1" t="s">
        <v>34</v>
      </c>
      <c r="X996" t="s">
        <v>2541</v>
      </c>
      <c r="Y996" s="1">
        <v>8</v>
      </c>
    </row>
    <row r="997" spans="1:25" x14ac:dyDescent="0.3">
      <c r="A997" s="1" t="s">
        <v>2011</v>
      </c>
      <c r="B997" s="1" t="s">
        <v>262</v>
      </c>
      <c r="C997" s="1" t="s">
        <v>263</v>
      </c>
      <c r="D997" s="1" t="s">
        <v>104</v>
      </c>
      <c r="E997" s="1" t="s">
        <v>74</v>
      </c>
      <c r="F997" s="1" t="s">
        <v>30</v>
      </c>
      <c r="G997" s="2">
        <v>237.79</v>
      </c>
      <c r="H997" s="1">
        <v>12</v>
      </c>
      <c r="I997" s="1">
        <v>213</v>
      </c>
      <c r="J997" s="1">
        <v>184</v>
      </c>
      <c r="K997" s="1">
        <v>47</v>
      </c>
      <c r="L997" s="1">
        <v>108</v>
      </c>
      <c r="M997" s="1" t="s">
        <v>49</v>
      </c>
      <c r="N997" s="1" t="s">
        <v>32</v>
      </c>
      <c r="O997" t="s">
        <v>264</v>
      </c>
      <c r="P997" s="2">
        <v>166.45</v>
      </c>
      <c r="Q997" s="1" t="str">
        <f>IF(J105&gt;K105,"YES","NO")</f>
        <v>YES</v>
      </c>
      <c r="R997" s="2">
        <f>IF(Q105="YES",G105*0.9,G105)</f>
        <v>214.011</v>
      </c>
      <c r="S997" s="2">
        <f>J105*G105</f>
        <v>43753.36</v>
      </c>
      <c r="T997" s="1">
        <f ca="1">TODAY()-DATE(MID(O105,7,4),MID(O105,4,2),LEFT(O105,2))</f>
        <v>84</v>
      </c>
      <c r="U997" s="1" t="s">
        <v>34</v>
      </c>
      <c r="V997" s="1" t="s">
        <v>34</v>
      </c>
      <c r="W997" s="1" t="s">
        <v>34</v>
      </c>
      <c r="X997" t="s">
        <v>2893</v>
      </c>
      <c r="Y997" s="1">
        <v>7.5</v>
      </c>
    </row>
    <row r="998" spans="1:25" x14ac:dyDescent="0.3">
      <c r="A998" s="1" t="s">
        <v>2012</v>
      </c>
      <c r="B998" s="1" t="s">
        <v>143</v>
      </c>
      <c r="C998" s="1" t="s">
        <v>144</v>
      </c>
      <c r="D998" s="1" t="s">
        <v>47</v>
      </c>
      <c r="E998" s="1" t="s">
        <v>74</v>
      </c>
      <c r="F998" s="1" t="s">
        <v>48</v>
      </c>
      <c r="G998" s="2">
        <v>264.79000000000002</v>
      </c>
      <c r="H998" s="1">
        <v>3</v>
      </c>
      <c r="I998" s="1">
        <v>239</v>
      </c>
      <c r="J998" s="1">
        <v>210</v>
      </c>
      <c r="K998" s="1">
        <v>109</v>
      </c>
      <c r="L998" s="1">
        <v>105</v>
      </c>
      <c r="M998" s="1" t="s">
        <v>49</v>
      </c>
      <c r="N998" s="1" t="s">
        <v>32</v>
      </c>
      <c r="O998" t="s">
        <v>361</v>
      </c>
      <c r="P998" s="2">
        <v>185.35</v>
      </c>
      <c r="Q998" s="1" t="str">
        <f>IF(J712&gt;K712,"YES","NO")</f>
        <v>YES</v>
      </c>
      <c r="R998" s="2">
        <f>IF(Q712="YES",G712*0.9,G712)</f>
        <v>238.31100000000004</v>
      </c>
      <c r="S998" s="2">
        <f>J712*G712</f>
        <v>55605.9</v>
      </c>
      <c r="T998" s="1">
        <f ca="1">TODAY()-DATE(MID(O712,7,4),MID(O712,4,2),LEFT(O712,2))</f>
        <v>99</v>
      </c>
      <c r="U998" s="1" t="s">
        <v>34</v>
      </c>
      <c r="V998" s="1" t="s">
        <v>34</v>
      </c>
      <c r="W998" s="1" t="s">
        <v>34</v>
      </c>
      <c r="X998" t="s">
        <v>2598</v>
      </c>
      <c r="Y998" s="1">
        <v>6</v>
      </c>
    </row>
    <row r="999" spans="1:25" x14ac:dyDescent="0.3">
      <c r="A999" s="1" t="s">
        <v>2013</v>
      </c>
      <c r="B999" s="1" t="s">
        <v>57</v>
      </c>
      <c r="C999" s="1" t="s">
        <v>58</v>
      </c>
      <c r="D999" s="1" t="s">
        <v>59</v>
      </c>
      <c r="E999" s="1" t="s">
        <v>29</v>
      </c>
      <c r="F999" s="1" t="s">
        <v>54</v>
      </c>
      <c r="G999" s="2">
        <v>202.98</v>
      </c>
      <c r="H999" s="1">
        <v>18</v>
      </c>
      <c r="I999" s="1">
        <v>277</v>
      </c>
      <c r="J999" s="1">
        <v>238</v>
      </c>
      <c r="K999" s="1">
        <v>75</v>
      </c>
      <c r="L999" s="1">
        <v>73</v>
      </c>
      <c r="M999" s="1" t="s">
        <v>49</v>
      </c>
      <c r="N999" s="1" t="s">
        <v>32</v>
      </c>
      <c r="O999" t="s">
        <v>311</v>
      </c>
      <c r="P999" s="2">
        <v>142.09</v>
      </c>
      <c r="Q999" s="1" t="str">
        <f>IF(J333&gt;K333,"YES","NO")</f>
        <v>YES</v>
      </c>
      <c r="R999" s="2">
        <f>IF(Q333="YES",G333*0.9,G333)</f>
        <v>182.68199999999999</v>
      </c>
      <c r="S999" s="2">
        <f>J333*G333</f>
        <v>48309.24</v>
      </c>
      <c r="T999" s="1">
        <f ca="1">TODAY()-DATE(MID(O333,7,4),MID(O333,4,2),LEFT(O333,2))</f>
        <v>80</v>
      </c>
      <c r="U999" s="1" t="s">
        <v>34</v>
      </c>
      <c r="V999" s="1" t="s">
        <v>34</v>
      </c>
      <c r="W999" s="1" t="s">
        <v>34</v>
      </c>
      <c r="X999" t="s">
        <v>2745</v>
      </c>
      <c r="Y999" s="1">
        <v>6.5</v>
      </c>
    </row>
    <row r="1000" spans="1:25" x14ac:dyDescent="0.3">
      <c r="A1000" s="1" t="s">
        <v>2014</v>
      </c>
      <c r="B1000" s="1" t="s">
        <v>57</v>
      </c>
      <c r="C1000" s="1" t="s">
        <v>58</v>
      </c>
      <c r="D1000" s="1" t="s">
        <v>59</v>
      </c>
      <c r="E1000" s="1" t="s">
        <v>74</v>
      </c>
      <c r="F1000" s="1" t="s">
        <v>54</v>
      </c>
      <c r="G1000" s="2">
        <v>61.22</v>
      </c>
      <c r="H1000" s="1">
        <v>22</v>
      </c>
      <c r="I1000" s="1">
        <v>184</v>
      </c>
      <c r="J1000" s="1">
        <v>172</v>
      </c>
      <c r="K1000" s="1">
        <v>88</v>
      </c>
      <c r="L1000" s="1">
        <v>142</v>
      </c>
      <c r="M1000" s="1" t="s">
        <v>41</v>
      </c>
      <c r="N1000" s="1" t="s">
        <v>42</v>
      </c>
      <c r="O1000" t="s">
        <v>257</v>
      </c>
      <c r="P1000" s="2">
        <v>42.85</v>
      </c>
      <c r="Q1000" s="1" t="str">
        <f>IF(J102&gt;K102,"YES","NO")</f>
        <v>YES</v>
      </c>
      <c r="R1000" s="2">
        <f>IF(Q102="YES",G102*0.9,G102)</f>
        <v>55.097999999999999</v>
      </c>
      <c r="S1000" s="2">
        <f>J102*G102</f>
        <v>10529.84</v>
      </c>
      <c r="T1000" s="1">
        <f ca="1">TODAY()-DATE(MID(O102,7,4),MID(O102,4,2),LEFT(O102,2))</f>
        <v>113</v>
      </c>
      <c r="U1000" s="1" t="s">
        <v>34</v>
      </c>
      <c r="V1000" s="1" t="s">
        <v>34</v>
      </c>
      <c r="W1000" s="1" t="s">
        <v>34</v>
      </c>
      <c r="X1000" t="s">
        <v>2802</v>
      </c>
      <c r="Y1000" s="1">
        <v>6</v>
      </c>
    </row>
    <row r="1001" spans="1:25" x14ac:dyDescent="0.3">
      <c r="A1001" s="1" t="s">
        <v>2015</v>
      </c>
      <c r="B1001" s="1" t="s">
        <v>111</v>
      </c>
      <c r="C1001" s="1" t="s">
        <v>112</v>
      </c>
      <c r="D1001" s="1" t="s">
        <v>97</v>
      </c>
      <c r="E1001" s="1" t="s">
        <v>29</v>
      </c>
      <c r="F1001" s="1" t="s">
        <v>54</v>
      </c>
      <c r="G1001" s="2">
        <v>122.55</v>
      </c>
      <c r="H1001" s="1">
        <v>13</v>
      </c>
      <c r="I1001" s="1">
        <v>236</v>
      </c>
      <c r="J1001" s="1">
        <v>196</v>
      </c>
      <c r="K1001" s="1">
        <v>104</v>
      </c>
      <c r="L1001" s="1">
        <v>59</v>
      </c>
      <c r="M1001" s="1" t="s">
        <v>41</v>
      </c>
      <c r="N1001" s="1" t="s">
        <v>32</v>
      </c>
      <c r="O1001" t="s">
        <v>121</v>
      </c>
      <c r="P1001" s="2">
        <v>85.78</v>
      </c>
      <c r="Q1001" s="1" t="str">
        <f>IF(J26&gt;K26,"YES","NO")</f>
        <v>YES</v>
      </c>
      <c r="R1001" s="2">
        <f>IF(Q26="YES",G26*0.9,G26)</f>
        <v>110.295</v>
      </c>
      <c r="S1001" s="2">
        <f>J26*G26</f>
        <v>24019.8</v>
      </c>
      <c r="T1001" s="1">
        <f ca="1">TODAY()-DATE(MID(O26,7,4),MID(O26,4,2),LEFT(O26,2))</f>
        <v>130</v>
      </c>
      <c r="U1001" s="1" t="s">
        <v>34</v>
      </c>
      <c r="V1001" s="1" t="s">
        <v>34</v>
      </c>
      <c r="W1001" s="1" t="s">
        <v>34</v>
      </c>
      <c r="X1001" t="s">
        <v>2662</v>
      </c>
      <c r="Y1001" s="1">
        <v>8</v>
      </c>
    </row>
    <row r="1002" spans="1:25" x14ac:dyDescent="0.3">
      <c r="A1002" s="1" t="s">
        <v>2016</v>
      </c>
      <c r="B1002" s="1" t="s">
        <v>57</v>
      </c>
      <c r="C1002" s="1" t="s">
        <v>58</v>
      </c>
      <c r="D1002" s="1" t="s">
        <v>59</v>
      </c>
      <c r="E1002" s="1" t="s">
        <v>40</v>
      </c>
      <c r="F1002" s="1" t="s">
        <v>30</v>
      </c>
      <c r="G1002" s="2">
        <v>341.18</v>
      </c>
      <c r="H1002" s="1">
        <v>5</v>
      </c>
      <c r="I1002" s="1">
        <v>107</v>
      </c>
      <c r="J1002" s="1">
        <v>89</v>
      </c>
      <c r="K1002" s="1">
        <v>94</v>
      </c>
      <c r="L1002" s="1">
        <v>120</v>
      </c>
      <c r="M1002" s="1" t="s">
        <v>31</v>
      </c>
      <c r="N1002" s="1" t="s">
        <v>32</v>
      </c>
      <c r="O1002" t="s">
        <v>377</v>
      </c>
      <c r="P1002" s="2">
        <v>238.83</v>
      </c>
      <c r="Q1002" s="1" t="str">
        <f>IF(J359&gt;K359,"YES","NO")</f>
        <v>NO</v>
      </c>
      <c r="R1002" s="2">
        <f>IF(Q359="YES",G359*0.9,G359)</f>
        <v>341.18</v>
      </c>
      <c r="S1002" s="2">
        <f>J359*G359</f>
        <v>30365.02</v>
      </c>
      <c r="T1002" s="1">
        <f ca="1">TODAY()-DATE(MID(O359,7,4),MID(O359,4,2),LEFT(O359,2))</f>
        <v>65</v>
      </c>
      <c r="U1002" s="1" t="s">
        <v>34</v>
      </c>
      <c r="V1002" s="1" t="s">
        <v>34</v>
      </c>
      <c r="W1002" s="1" t="s">
        <v>34</v>
      </c>
      <c r="X1002" t="s">
        <v>2631</v>
      </c>
      <c r="Y1002" s="1">
        <v>9.5</v>
      </c>
    </row>
    <row r="1003" spans="1:25" x14ac:dyDescent="0.3">
      <c r="A1003" s="1" t="s">
        <v>2017</v>
      </c>
      <c r="B1003" s="1" t="s">
        <v>237</v>
      </c>
      <c r="C1003" s="1" t="s">
        <v>238</v>
      </c>
      <c r="D1003" s="1" t="s">
        <v>85</v>
      </c>
      <c r="E1003" s="1" t="s">
        <v>74</v>
      </c>
      <c r="F1003" s="1" t="s">
        <v>30</v>
      </c>
      <c r="G1003" s="2">
        <v>115.18</v>
      </c>
      <c r="H1003" s="1">
        <v>9</v>
      </c>
      <c r="I1003" s="1">
        <v>195</v>
      </c>
      <c r="J1003" s="1">
        <v>174</v>
      </c>
      <c r="K1003" s="1">
        <v>116</v>
      </c>
      <c r="L1003" s="1">
        <v>149</v>
      </c>
      <c r="M1003" s="1" t="s">
        <v>41</v>
      </c>
      <c r="N1003" s="1" t="s">
        <v>32</v>
      </c>
      <c r="O1003" t="s">
        <v>50</v>
      </c>
      <c r="P1003" s="2">
        <v>80.63</v>
      </c>
      <c r="Q1003" s="1" t="str">
        <f>IF(J575&gt;K575,"YES","NO")</f>
        <v>YES</v>
      </c>
      <c r="R1003" s="2">
        <f>IF(Q575="YES",G575*0.9,G575)</f>
        <v>103.66200000000001</v>
      </c>
      <c r="S1003" s="2">
        <f>J575*G575</f>
        <v>20041.32</v>
      </c>
      <c r="T1003" s="1">
        <f ca="1">TODAY()-DATE(MID(O575,7,4),MID(O575,4,2),LEFT(O575,2))</f>
        <v>114</v>
      </c>
      <c r="U1003" s="1" t="s">
        <v>34</v>
      </c>
      <c r="V1003" s="1" t="s">
        <v>34</v>
      </c>
      <c r="W1003" s="1" t="s">
        <v>34</v>
      </c>
      <c r="X1003" t="s">
        <v>2626</v>
      </c>
      <c r="Y1003" s="1">
        <v>7.5</v>
      </c>
    </row>
    <row r="1004" spans="1:25" x14ac:dyDescent="0.3">
      <c r="A1004" s="1" t="s">
        <v>2018</v>
      </c>
      <c r="B1004" s="1" t="s">
        <v>176</v>
      </c>
      <c r="C1004" s="1" t="s">
        <v>177</v>
      </c>
      <c r="D1004" s="1" t="s">
        <v>39</v>
      </c>
      <c r="E1004" s="1" t="s">
        <v>74</v>
      </c>
      <c r="F1004" s="1" t="s">
        <v>54</v>
      </c>
      <c r="G1004" s="2">
        <v>214.02</v>
      </c>
      <c r="H1004" s="1">
        <v>5</v>
      </c>
      <c r="I1004" s="1">
        <v>177</v>
      </c>
      <c r="J1004" s="1">
        <v>176</v>
      </c>
      <c r="K1004" s="1">
        <v>51</v>
      </c>
      <c r="L1004" s="1">
        <v>148</v>
      </c>
      <c r="M1004" s="1" t="s">
        <v>31</v>
      </c>
      <c r="N1004" s="1" t="s">
        <v>32</v>
      </c>
      <c r="O1004" t="s">
        <v>67</v>
      </c>
      <c r="P1004" s="2">
        <v>149.81</v>
      </c>
      <c r="Q1004" s="1" t="str">
        <f>IF(J800&gt;K800,"YES","NO")</f>
        <v>YES</v>
      </c>
      <c r="R1004" s="2">
        <f>IF(Q800="YES",G800*0.9,G800)</f>
        <v>192.61800000000002</v>
      </c>
      <c r="S1004" s="2">
        <f>J800*G800</f>
        <v>37667.520000000004</v>
      </c>
      <c r="T1004" s="1">
        <f ca="1">TODAY()-DATE(MID(O800,7,4),MID(O800,4,2),LEFT(O800,2))</f>
        <v>97</v>
      </c>
      <c r="U1004" s="1" t="s">
        <v>34</v>
      </c>
      <c r="V1004" s="1" t="s">
        <v>34</v>
      </c>
      <c r="W1004" s="1" t="s">
        <v>34</v>
      </c>
      <c r="X1004" t="s">
        <v>2761</v>
      </c>
      <c r="Y1004" s="1">
        <v>5</v>
      </c>
    </row>
    <row r="1005" spans="1:25" x14ac:dyDescent="0.3">
      <c r="A1005" s="1" t="s">
        <v>2019</v>
      </c>
      <c r="B1005" s="1" t="s">
        <v>130</v>
      </c>
      <c r="C1005" s="1" t="s">
        <v>131</v>
      </c>
      <c r="D1005" s="1" t="s">
        <v>132</v>
      </c>
      <c r="E1005" s="1" t="s">
        <v>74</v>
      </c>
      <c r="F1005" s="1" t="s">
        <v>48</v>
      </c>
      <c r="G1005" s="2">
        <v>368.05</v>
      </c>
      <c r="H1005" s="1">
        <v>8</v>
      </c>
      <c r="I1005" s="1">
        <v>294</v>
      </c>
      <c r="J1005" s="1">
        <v>259</v>
      </c>
      <c r="K1005" s="1">
        <v>60</v>
      </c>
      <c r="L1005" s="1">
        <v>115</v>
      </c>
      <c r="M1005" s="1" t="s">
        <v>49</v>
      </c>
      <c r="N1005" s="1" t="s">
        <v>32</v>
      </c>
      <c r="O1005" t="s">
        <v>61</v>
      </c>
      <c r="P1005" s="2">
        <v>257.63</v>
      </c>
      <c r="Q1005" s="1" t="str">
        <f>IF(J410&gt;K410,"YES","NO")</f>
        <v>YES</v>
      </c>
      <c r="R1005" s="2">
        <f>IF(Q410="YES",G410*0.9,G410)</f>
        <v>331.245</v>
      </c>
      <c r="S1005" s="2">
        <f>J410*G410</f>
        <v>95324.95</v>
      </c>
      <c r="T1005" s="1">
        <f ca="1">TODAY()-DATE(MID(O410,7,4),MID(O410,4,2),LEFT(O410,2))</f>
        <v>73</v>
      </c>
      <c r="U1005" s="1" t="s">
        <v>34</v>
      </c>
      <c r="V1005" s="1" t="s">
        <v>34</v>
      </c>
      <c r="W1005" s="1" t="s">
        <v>34</v>
      </c>
      <c r="X1005" t="s">
        <v>2584</v>
      </c>
      <c r="Y1005" s="1">
        <v>5</v>
      </c>
    </row>
    <row r="1006" spans="1:25" x14ac:dyDescent="0.3">
      <c r="A1006" s="1" t="s">
        <v>2020</v>
      </c>
      <c r="B1006" s="1" t="s">
        <v>299</v>
      </c>
      <c r="C1006" s="1" t="s">
        <v>300</v>
      </c>
      <c r="D1006" s="1" t="s">
        <v>39</v>
      </c>
      <c r="E1006" s="1" t="s">
        <v>40</v>
      </c>
      <c r="F1006" s="1" t="s">
        <v>54</v>
      </c>
      <c r="G1006" s="2">
        <v>425.62</v>
      </c>
      <c r="H1006" s="1">
        <v>25</v>
      </c>
      <c r="I1006" s="1">
        <v>191</v>
      </c>
      <c r="J1006" s="1">
        <v>168</v>
      </c>
      <c r="K1006" s="1">
        <v>108</v>
      </c>
      <c r="L1006" s="1">
        <v>60</v>
      </c>
      <c r="M1006" s="1" t="s">
        <v>49</v>
      </c>
      <c r="N1006" s="1" t="s">
        <v>60</v>
      </c>
      <c r="O1006" t="s">
        <v>153</v>
      </c>
      <c r="P1006" s="2">
        <v>297.93</v>
      </c>
      <c r="Q1006" s="1" t="str">
        <f>IF(J149&gt;K149,"YES","NO")</f>
        <v>YES</v>
      </c>
      <c r="R1006" s="2">
        <f>IF(Q149="YES",G149*0.9,G149)</f>
        <v>383.05799999999999</v>
      </c>
      <c r="S1006" s="2">
        <f>J149*G149</f>
        <v>71504.160000000003</v>
      </c>
      <c r="T1006" s="1">
        <f ca="1">TODAY()-DATE(MID(O149,7,4),MID(O149,4,2),LEFT(O149,2))</f>
        <v>135</v>
      </c>
      <c r="U1006" s="1" t="s">
        <v>34</v>
      </c>
      <c r="V1006" s="1" t="s">
        <v>34</v>
      </c>
      <c r="W1006" s="1" t="s">
        <v>34</v>
      </c>
      <c r="X1006" t="s">
        <v>2757</v>
      </c>
      <c r="Y1006" s="1">
        <v>9.5</v>
      </c>
    </row>
    <row r="1007" spans="1:25" x14ac:dyDescent="0.3">
      <c r="A1007" s="1" t="s">
        <v>2021</v>
      </c>
      <c r="B1007" s="1" t="s">
        <v>26</v>
      </c>
      <c r="C1007" s="1" t="s">
        <v>27</v>
      </c>
      <c r="D1007" s="1" t="s">
        <v>28</v>
      </c>
      <c r="E1007" s="1" t="s">
        <v>40</v>
      </c>
      <c r="F1007" s="1" t="s">
        <v>48</v>
      </c>
      <c r="G1007" s="2">
        <v>303.88</v>
      </c>
      <c r="H1007" s="1">
        <v>4</v>
      </c>
      <c r="I1007" s="1">
        <v>272</v>
      </c>
      <c r="J1007" s="1">
        <v>246</v>
      </c>
      <c r="K1007" s="1">
        <v>105</v>
      </c>
      <c r="L1007" s="1">
        <v>69</v>
      </c>
      <c r="M1007" s="1" t="s">
        <v>41</v>
      </c>
      <c r="N1007" s="1" t="s">
        <v>32</v>
      </c>
      <c r="O1007" t="s">
        <v>178</v>
      </c>
      <c r="P1007" s="2">
        <v>212.72</v>
      </c>
      <c r="Q1007" s="1" t="str">
        <f>IF(J222&gt;K222,"YES","NO")</f>
        <v>YES</v>
      </c>
      <c r="R1007" s="2">
        <f>IF(Q222="YES",G222*0.9,G222)</f>
        <v>273.49200000000002</v>
      </c>
      <c r="S1007" s="2">
        <f>J222*G222</f>
        <v>74754.48</v>
      </c>
      <c r="T1007" s="1">
        <f ca="1">TODAY()-DATE(MID(O222,7,4),MID(O222,4,2),LEFT(O222,2))</f>
        <v>90</v>
      </c>
      <c r="U1007" s="1" t="s">
        <v>34</v>
      </c>
      <c r="V1007" s="1" t="s">
        <v>34</v>
      </c>
      <c r="W1007" s="1" t="s">
        <v>34</v>
      </c>
      <c r="X1007" t="s">
        <v>2894</v>
      </c>
      <c r="Y1007" s="1">
        <v>6</v>
      </c>
    </row>
    <row r="1008" spans="1:25" x14ac:dyDescent="0.3">
      <c r="A1008" s="1" t="s">
        <v>2022</v>
      </c>
      <c r="B1008" s="1" t="s">
        <v>26</v>
      </c>
      <c r="C1008" s="1" t="s">
        <v>27</v>
      </c>
      <c r="D1008" s="1" t="s">
        <v>28</v>
      </c>
      <c r="E1008" s="1" t="s">
        <v>40</v>
      </c>
      <c r="F1008" s="1" t="s">
        <v>48</v>
      </c>
      <c r="G1008" s="2">
        <v>483.17</v>
      </c>
      <c r="H1008" s="1">
        <v>20</v>
      </c>
      <c r="I1008" s="1">
        <v>178</v>
      </c>
      <c r="J1008" s="1">
        <v>175</v>
      </c>
      <c r="K1008" s="1">
        <v>70</v>
      </c>
      <c r="L1008" s="1">
        <v>111</v>
      </c>
      <c r="M1008" s="1" t="s">
        <v>41</v>
      </c>
      <c r="N1008" s="1" t="s">
        <v>42</v>
      </c>
      <c r="O1008" t="s">
        <v>65</v>
      </c>
      <c r="P1008" s="2">
        <v>338.22</v>
      </c>
      <c r="Q1008" s="1" t="str">
        <f>IF(J481&gt;K481,"YES","NO")</f>
        <v>YES</v>
      </c>
      <c r="R1008" s="2">
        <f>IF(Q481="YES",G481*0.9,G481)</f>
        <v>434.85300000000001</v>
      </c>
      <c r="S1008" s="2">
        <f>J481*G481</f>
        <v>84554.75</v>
      </c>
      <c r="T1008" s="1">
        <f ca="1">TODAY()-DATE(MID(O481,7,4),MID(O481,4,2),LEFT(O481,2))</f>
        <v>142</v>
      </c>
      <c r="U1008" s="1" t="s">
        <v>34</v>
      </c>
      <c r="V1008" s="1" t="s">
        <v>34</v>
      </c>
      <c r="W1008" s="1" t="s">
        <v>34</v>
      </c>
      <c r="X1008" t="s">
        <v>2895</v>
      </c>
      <c r="Y1008" s="1">
        <v>5.5</v>
      </c>
    </row>
    <row r="1009" spans="1:25" x14ac:dyDescent="0.3">
      <c r="A1009" s="1" t="s">
        <v>2023</v>
      </c>
      <c r="B1009" s="1" t="s">
        <v>72</v>
      </c>
      <c r="C1009" s="1" t="s">
        <v>73</v>
      </c>
      <c r="D1009" s="1" t="s">
        <v>47</v>
      </c>
      <c r="E1009" s="1" t="s">
        <v>29</v>
      </c>
      <c r="F1009" s="1" t="s">
        <v>30</v>
      </c>
      <c r="G1009" s="2">
        <v>224.49</v>
      </c>
      <c r="H1009" s="1">
        <v>19</v>
      </c>
      <c r="I1009" s="1">
        <v>292</v>
      </c>
      <c r="J1009" s="1">
        <v>284</v>
      </c>
      <c r="K1009" s="1">
        <v>94</v>
      </c>
      <c r="L1009" s="1">
        <v>51</v>
      </c>
      <c r="M1009" s="1" t="s">
        <v>31</v>
      </c>
      <c r="N1009" s="1" t="s">
        <v>60</v>
      </c>
      <c r="O1009" t="s">
        <v>260</v>
      </c>
      <c r="P1009" s="2">
        <v>157.13999999999999</v>
      </c>
      <c r="Q1009" s="1" t="str">
        <f>IF(J568&gt;K568,"YES","NO")</f>
        <v>YES</v>
      </c>
      <c r="R1009" s="2">
        <f>IF(Q568="YES",G568*0.9,G568)</f>
        <v>202.04100000000003</v>
      </c>
      <c r="S1009" s="2">
        <f>J568*G568</f>
        <v>63755.16</v>
      </c>
      <c r="T1009" s="1">
        <f ca="1">TODAY()-DATE(MID(O568,7,4),MID(O568,4,2),LEFT(O568,2))</f>
        <v>70</v>
      </c>
      <c r="U1009" s="1" t="s">
        <v>34</v>
      </c>
      <c r="V1009" s="1" t="s">
        <v>34</v>
      </c>
      <c r="W1009" s="1" t="s">
        <v>34</v>
      </c>
      <c r="X1009" t="s">
        <v>2812</v>
      </c>
      <c r="Y1009" s="1">
        <v>9</v>
      </c>
    </row>
    <row r="1010" spans="1:25" x14ac:dyDescent="0.3">
      <c r="A1010" s="1" t="s">
        <v>2024</v>
      </c>
      <c r="B1010" s="1" t="s">
        <v>299</v>
      </c>
      <c r="C1010" s="1" t="s">
        <v>300</v>
      </c>
      <c r="D1010" s="1" t="s">
        <v>39</v>
      </c>
      <c r="E1010" s="1" t="s">
        <v>40</v>
      </c>
      <c r="F1010" s="1" t="s">
        <v>30</v>
      </c>
      <c r="G1010" s="2">
        <v>329.83</v>
      </c>
      <c r="H1010" s="1">
        <v>16</v>
      </c>
      <c r="I1010" s="1">
        <v>122</v>
      </c>
      <c r="J1010" s="1">
        <v>103</v>
      </c>
      <c r="K1010" s="1">
        <v>104</v>
      </c>
      <c r="L1010" s="1">
        <v>133</v>
      </c>
      <c r="M1010" s="1" t="s">
        <v>41</v>
      </c>
      <c r="N1010" s="1" t="s">
        <v>42</v>
      </c>
      <c r="O1010" t="s">
        <v>55</v>
      </c>
      <c r="P1010" s="2">
        <v>230.88</v>
      </c>
      <c r="Q1010" s="1" t="str">
        <f>IF(J310&gt;K310,"YES","NO")</f>
        <v>NO</v>
      </c>
      <c r="R1010" s="2">
        <f>IF(Q310="YES",G310*0.9,G310)</f>
        <v>329.83</v>
      </c>
      <c r="S1010" s="2">
        <f>J310*G310</f>
        <v>33972.49</v>
      </c>
      <c r="T1010" s="1">
        <f ca="1">TODAY()-DATE(MID(O310,7,4),MID(O310,4,2),LEFT(O310,2))</f>
        <v>91</v>
      </c>
      <c r="U1010" s="1" t="s">
        <v>34</v>
      </c>
      <c r="V1010" s="1" t="s">
        <v>34</v>
      </c>
      <c r="W1010" s="1" t="s">
        <v>34</v>
      </c>
      <c r="X1010" t="s">
        <v>2705</v>
      </c>
      <c r="Y1010" s="1">
        <v>5</v>
      </c>
    </row>
    <row r="1011" spans="1:25" x14ac:dyDescent="0.3">
      <c r="A1011" s="1" t="s">
        <v>2025</v>
      </c>
      <c r="B1011" s="1" t="s">
        <v>130</v>
      </c>
      <c r="C1011" s="1" t="s">
        <v>131</v>
      </c>
      <c r="D1011" s="1" t="s">
        <v>132</v>
      </c>
      <c r="E1011" s="1" t="s">
        <v>74</v>
      </c>
      <c r="F1011" s="1" t="s">
        <v>30</v>
      </c>
      <c r="G1011" s="2">
        <v>69.16</v>
      </c>
      <c r="H1011" s="1">
        <v>6</v>
      </c>
      <c r="I1011" s="1">
        <v>190</v>
      </c>
      <c r="J1011" s="1">
        <v>186</v>
      </c>
      <c r="K1011" s="1">
        <v>102</v>
      </c>
      <c r="L1011" s="1">
        <v>85</v>
      </c>
      <c r="M1011" s="1" t="s">
        <v>41</v>
      </c>
      <c r="N1011" s="1" t="s">
        <v>42</v>
      </c>
      <c r="O1011" t="s">
        <v>254</v>
      </c>
      <c r="P1011" s="2">
        <v>48.41</v>
      </c>
      <c r="Q1011" s="1" t="str">
        <f>IF(J293&gt;K293,"YES","NO")</f>
        <v>YES</v>
      </c>
      <c r="R1011" s="2">
        <f>IF(Q293="YES",G293*0.9,G293)</f>
        <v>62.244</v>
      </c>
      <c r="S1011" s="2">
        <f>J293*G293</f>
        <v>12863.76</v>
      </c>
      <c r="T1011" s="1">
        <f ca="1">TODAY()-DATE(MID(O293,7,4),MID(O293,4,2),LEFT(O293,2))</f>
        <v>145</v>
      </c>
      <c r="U1011" s="1" t="s">
        <v>34</v>
      </c>
      <c r="V1011" s="1" t="s">
        <v>34</v>
      </c>
      <c r="W1011" s="1" t="s">
        <v>34</v>
      </c>
      <c r="X1011" t="s">
        <v>2859</v>
      </c>
      <c r="Y1011" s="1">
        <v>6.5</v>
      </c>
    </row>
    <row r="1012" spans="1:25" x14ac:dyDescent="0.3">
      <c r="A1012" s="1" t="s">
        <v>2026</v>
      </c>
      <c r="B1012" s="1" t="s">
        <v>52</v>
      </c>
      <c r="C1012" s="1" t="s">
        <v>53</v>
      </c>
      <c r="D1012" s="1" t="s">
        <v>47</v>
      </c>
      <c r="E1012" s="1" t="s">
        <v>40</v>
      </c>
      <c r="F1012" s="1" t="s">
        <v>30</v>
      </c>
      <c r="G1012" s="2">
        <v>325.74</v>
      </c>
      <c r="H1012" s="1">
        <v>6</v>
      </c>
      <c r="I1012" s="1">
        <v>187</v>
      </c>
      <c r="J1012" s="1">
        <v>151</v>
      </c>
      <c r="K1012" s="1">
        <v>75</v>
      </c>
      <c r="L1012" s="1">
        <v>85</v>
      </c>
      <c r="M1012" s="1" t="s">
        <v>31</v>
      </c>
      <c r="N1012" s="1" t="s">
        <v>60</v>
      </c>
      <c r="O1012" t="s">
        <v>100</v>
      </c>
      <c r="P1012" s="2">
        <v>228.02</v>
      </c>
      <c r="Q1012" s="1" t="str">
        <f>IF(J801&gt;K801,"YES","NO")</f>
        <v>YES</v>
      </c>
      <c r="R1012" s="2">
        <f>IF(Q801="YES",G801*0.9,G801)</f>
        <v>293.166</v>
      </c>
      <c r="S1012" s="2">
        <f>J801*G801</f>
        <v>49186.74</v>
      </c>
      <c r="T1012" s="1">
        <f ca="1">TODAY()-DATE(MID(O801,7,4),MID(O801,4,2),LEFT(O801,2))</f>
        <v>137</v>
      </c>
      <c r="U1012" s="1" t="s">
        <v>34</v>
      </c>
      <c r="V1012" s="1" t="s">
        <v>34</v>
      </c>
      <c r="W1012" s="1" t="s">
        <v>34</v>
      </c>
      <c r="X1012" t="s">
        <v>2756</v>
      </c>
      <c r="Y1012" s="1">
        <v>5.5</v>
      </c>
    </row>
    <row r="1013" spans="1:25" x14ac:dyDescent="0.3">
      <c r="A1013" s="1" t="s">
        <v>2027</v>
      </c>
      <c r="B1013" s="1" t="s">
        <v>111</v>
      </c>
      <c r="C1013" s="1" t="s">
        <v>112</v>
      </c>
      <c r="D1013" s="1" t="s">
        <v>97</v>
      </c>
      <c r="E1013" s="1" t="s">
        <v>29</v>
      </c>
      <c r="F1013" s="1" t="s">
        <v>48</v>
      </c>
      <c r="G1013" s="2">
        <v>176.39</v>
      </c>
      <c r="H1013" s="1">
        <v>25</v>
      </c>
      <c r="I1013" s="1">
        <v>294</v>
      </c>
      <c r="J1013" s="1">
        <v>274</v>
      </c>
      <c r="K1013" s="1">
        <v>52</v>
      </c>
      <c r="L1013" s="1">
        <v>129</v>
      </c>
      <c r="M1013" s="1" t="s">
        <v>49</v>
      </c>
      <c r="N1013" s="1" t="s">
        <v>42</v>
      </c>
      <c r="O1013" t="s">
        <v>333</v>
      </c>
      <c r="P1013" s="2">
        <v>123.47</v>
      </c>
      <c r="Q1013" s="1" t="str">
        <f>IF(J161&gt;K161,"YES","NO")</f>
        <v>YES</v>
      </c>
      <c r="R1013" s="2">
        <f>IF(Q161="YES",G161*0.9,G161)</f>
        <v>158.751</v>
      </c>
      <c r="S1013" s="2">
        <f>J161*G161</f>
        <v>48330.859999999993</v>
      </c>
      <c r="T1013" s="1">
        <f ca="1">TODAY()-DATE(MID(O161,7,4),MID(O161,4,2),LEFT(O161,2))</f>
        <v>109</v>
      </c>
      <c r="U1013" s="1" t="s">
        <v>34</v>
      </c>
      <c r="V1013" s="1" t="s">
        <v>34</v>
      </c>
      <c r="W1013" s="1" t="s">
        <v>34</v>
      </c>
      <c r="X1013" t="s">
        <v>2577</v>
      </c>
      <c r="Y1013" s="1">
        <v>5.5</v>
      </c>
    </row>
    <row r="1014" spans="1:25" x14ac:dyDescent="0.3">
      <c r="A1014" s="1" t="s">
        <v>2028</v>
      </c>
      <c r="B1014" s="1" t="s">
        <v>95</v>
      </c>
      <c r="C1014" s="1" t="s">
        <v>96</v>
      </c>
      <c r="D1014" s="1" t="s">
        <v>97</v>
      </c>
      <c r="E1014" s="1" t="s">
        <v>74</v>
      </c>
      <c r="F1014" s="1" t="s">
        <v>54</v>
      </c>
      <c r="G1014" s="2">
        <v>342.41</v>
      </c>
      <c r="H1014" s="1">
        <v>18</v>
      </c>
      <c r="I1014" s="1">
        <v>266</v>
      </c>
      <c r="J1014" s="1">
        <v>257</v>
      </c>
      <c r="K1014" s="1">
        <v>57</v>
      </c>
      <c r="L1014" s="1">
        <v>70</v>
      </c>
      <c r="M1014" s="1" t="s">
        <v>31</v>
      </c>
      <c r="N1014" s="1" t="s">
        <v>32</v>
      </c>
      <c r="O1014" t="s">
        <v>203</v>
      </c>
      <c r="P1014" s="2">
        <v>239.69</v>
      </c>
      <c r="Q1014" s="1" t="str">
        <f>IF(J210&gt;K210,"YES","NO")</f>
        <v>YES</v>
      </c>
      <c r="R1014" s="2">
        <f>IF(Q210="YES",G210*0.9,G210)</f>
        <v>308.16900000000004</v>
      </c>
      <c r="S1014" s="2">
        <f>J210*G210</f>
        <v>87999.37000000001</v>
      </c>
      <c r="T1014" s="1">
        <f ca="1">TODAY()-DATE(MID(O210,7,4),MID(O210,4,2),LEFT(O210,2))</f>
        <v>102</v>
      </c>
      <c r="U1014" s="1" t="s">
        <v>34</v>
      </c>
      <c r="V1014" s="1" t="s">
        <v>34</v>
      </c>
      <c r="W1014" s="1" t="s">
        <v>34</v>
      </c>
      <c r="X1014" t="s">
        <v>2625</v>
      </c>
      <c r="Y1014" s="1">
        <v>5</v>
      </c>
    </row>
    <row r="1015" spans="1:25" x14ac:dyDescent="0.3">
      <c r="A1015" s="1" t="s">
        <v>2029</v>
      </c>
      <c r="B1015" s="1" t="s">
        <v>37</v>
      </c>
      <c r="C1015" s="1" t="s">
        <v>38</v>
      </c>
      <c r="D1015" s="1" t="s">
        <v>39</v>
      </c>
      <c r="E1015" s="1" t="s">
        <v>29</v>
      </c>
      <c r="F1015" s="1" t="s">
        <v>48</v>
      </c>
      <c r="G1015" s="2">
        <v>430.85</v>
      </c>
      <c r="H1015" s="1">
        <v>25</v>
      </c>
      <c r="I1015" s="1">
        <v>199</v>
      </c>
      <c r="J1015" s="1">
        <v>182</v>
      </c>
      <c r="K1015" s="1">
        <v>71</v>
      </c>
      <c r="L1015" s="1">
        <v>128</v>
      </c>
      <c r="M1015" s="1" t="s">
        <v>31</v>
      </c>
      <c r="N1015" s="1" t="s">
        <v>42</v>
      </c>
      <c r="O1015" t="s">
        <v>284</v>
      </c>
      <c r="P1015" s="2">
        <v>301.58999999999997</v>
      </c>
      <c r="Q1015" s="1" t="str">
        <f>IF(J402&gt;K402,"YES","NO")</f>
        <v>YES</v>
      </c>
      <c r="R1015" s="2">
        <f>IF(Q402="YES",G402*0.9,G402)</f>
        <v>387.76500000000004</v>
      </c>
      <c r="S1015" s="2">
        <f>J402*G402</f>
        <v>78414.7</v>
      </c>
      <c r="T1015" s="1">
        <f ca="1">TODAY()-DATE(MID(O402,7,4),MID(O402,4,2),LEFT(O402,2))</f>
        <v>119</v>
      </c>
      <c r="U1015" s="1" t="s">
        <v>34</v>
      </c>
      <c r="V1015" s="1" t="s">
        <v>34</v>
      </c>
      <c r="W1015" s="1" t="s">
        <v>34</v>
      </c>
      <c r="X1015" t="s">
        <v>2589</v>
      </c>
      <c r="Y1015" s="1">
        <v>6</v>
      </c>
    </row>
    <row r="1016" spans="1:25" x14ac:dyDescent="0.3">
      <c r="A1016" s="1" t="s">
        <v>2030</v>
      </c>
      <c r="B1016" s="1" t="s">
        <v>176</v>
      </c>
      <c r="C1016" s="1" t="s">
        <v>177</v>
      </c>
      <c r="D1016" s="1" t="s">
        <v>39</v>
      </c>
      <c r="E1016" s="1" t="s">
        <v>74</v>
      </c>
      <c r="F1016" s="1" t="s">
        <v>48</v>
      </c>
      <c r="G1016" s="2">
        <v>290.14999999999998</v>
      </c>
      <c r="H1016" s="1">
        <v>19</v>
      </c>
      <c r="I1016" s="1">
        <v>236</v>
      </c>
      <c r="J1016" s="1">
        <v>213</v>
      </c>
      <c r="K1016" s="1">
        <v>91</v>
      </c>
      <c r="L1016" s="1">
        <v>123</v>
      </c>
      <c r="M1016" s="1" t="s">
        <v>49</v>
      </c>
      <c r="N1016" s="1" t="s">
        <v>60</v>
      </c>
      <c r="O1016" t="s">
        <v>395</v>
      </c>
      <c r="P1016" s="2">
        <v>203.1</v>
      </c>
      <c r="Q1016" s="1" t="str">
        <f>IF(J564&gt;K564,"YES","NO")</f>
        <v>YES</v>
      </c>
      <c r="R1016" s="2">
        <f>IF(Q564="YES",G564*0.9,G564)</f>
        <v>261.13499999999999</v>
      </c>
      <c r="S1016" s="2">
        <f>J564*G564</f>
        <v>61801.95</v>
      </c>
      <c r="T1016" s="1">
        <f ca="1">TODAY()-DATE(MID(O564,7,4),MID(O564,4,2),LEFT(O564,2))</f>
        <v>101</v>
      </c>
      <c r="U1016" s="1" t="s">
        <v>34</v>
      </c>
      <c r="V1016" s="1" t="s">
        <v>34</v>
      </c>
      <c r="W1016" s="1" t="s">
        <v>34</v>
      </c>
      <c r="X1016" t="s">
        <v>2520</v>
      </c>
      <c r="Y1016" s="1">
        <v>7</v>
      </c>
    </row>
    <row r="1017" spans="1:25" x14ac:dyDescent="0.3">
      <c r="A1017" s="1" t="s">
        <v>2031</v>
      </c>
      <c r="B1017" s="1" t="s">
        <v>102</v>
      </c>
      <c r="C1017" s="1" t="s">
        <v>103</v>
      </c>
      <c r="D1017" s="1" t="s">
        <v>104</v>
      </c>
      <c r="E1017" s="1" t="s">
        <v>29</v>
      </c>
      <c r="F1017" s="1" t="s">
        <v>48</v>
      </c>
      <c r="G1017" s="2">
        <v>357.86</v>
      </c>
      <c r="H1017" s="1">
        <v>10</v>
      </c>
      <c r="I1017" s="1">
        <v>189</v>
      </c>
      <c r="J1017" s="1">
        <v>179</v>
      </c>
      <c r="K1017" s="1">
        <v>120</v>
      </c>
      <c r="L1017" s="1">
        <v>135</v>
      </c>
      <c r="M1017" s="1" t="s">
        <v>49</v>
      </c>
      <c r="N1017" s="1" t="s">
        <v>60</v>
      </c>
      <c r="O1017" t="s">
        <v>257</v>
      </c>
      <c r="P1017" s="2">
        <v>250.5</v>
      </c>
      <c r="Q1017" s="1" t="str">
        <f>IF(J337&gt;K337,"YES","NO")</f>
        <v>YES</v>
      </c>
      <c r="R1017" s="2">
        <f>IF(Q337="YES",G337*0.9,G337)</f>
        <v>322.07400000000001</v>
      </c>
      <c r="S1017" s="2">
        <f>J337*G337</f>
        <v>64056.94</v>
      </c>
      <c r="T1017" s="1">
        <f ca="1">TODAY()-DATE(MID(O337,7,4),MID(O337,4,2),LEFT(O337,2))</f>
        <v>113</v>
      </c>
      <c r="U1017" s="1" t="s">
        <v>34</v>
      </c>
      <c r="V1017" s="1" t="s">
        <v>34</v>
      </c>
      <c r="W1017" s="1" t="s">
        <v>34</v>
      </c>
      <c r="X1017" t="s">
        <v>2781</v>
      </c>
      <c r="Y1017" s="1">
        <v>8.5</v>
      </c>
    </row>
    <row r="1018" spans="1:25" x14ac:dyDescent="0.3">
      <c r="A1018" s="1" t="s">
        <v>2032</v>
      </c>
      <c r="B1018" s="1" t="s">
        <v>69</v>
      </c>
      <c r="C1018" s="1" t="s">
        <v>70</v>
      </c>
      <c r="D1018" s="1" t="s">
        <v>59</v>
      </c>
      <c r="E1018" s="1" t="s">
        <v>74</v>
      </c>
      <c r="F1018" s="1" t="s">
        <v>48</v>
      </c>
      <c r="G1018" s="2">
        <v>403.23</v>
      </c>
      <c r="H1018" s="1">
        <v>2</v>
      </c>
      <c r="I1018" s="1">
        <v>194</v>
      </c>
      <c r="J1018" s="1">
        <v>169</v>
      </c>
      <c r="K1018" s="1">
        <v>63</v>
      </c>
      <c r="L1018" s="1">
        <v>103</v>
      </c>
      <c r="M1018" s="1" t="s">
        <v>41</v>
      </c>
      <c r="N1018" s="1" t="s">
        <v>42</v>
      </c>
      <c r="O1018" t="s">
        <v>240</v>
      </c>
      <c r="P1018" s="2">
        <v>282.26</v>
      </c>
      <c r="Q1018" s="1" t="str">
        <f>IF(J144&gt;K144,"YES","NO")</f>
        <v>YES</v>
      </c>
      <c r="R1018" s="2">
        <f>IF(Q144="YES",G144*0.9,G144)</f>
        <v>362.90700000000004</v>
      </c>
      <c r="S1018" s="2">
        <f>J144*G144</f>
        <v>68145.87000000001</v>
      </c>
      <c r="T1018" s="1">
        <f ca="1">TODAY()-DATE(MID(O144,7,4),MID(O144,4,2),LEFT(O144,2))</f>
        <v>111</v>
      </c>
      <c r="U1018" s="1" t="s">
        <v>34</v>
      </c>
      <c r="V1018" s="1" t="s">
        <v>34</v>
      </c>
      <c r="W1018" s="1" t="s">
        <v>34</v>
      </c>
      <c r="X1018" t="s">
        <v>2850</v>
      </c>
      <c r="Y1018" s="1">
        <v>7</v>
      </c>
    </row>
    <row r="1019" spans="1:25" x14ac:dyDescent="0.3">
      <c r="A1019" s="1" t="s">
        <v>2033</v>
      </c>
      <c r="B1019" s="1" t="s">
        <v>52</v>
      </c>
      <c r="C1019" s="1" t="s">
        <v>53</v>
      </c>
      <c r="D1019" s="1" t="s">
        <v>47</v>
      </c>
      <c r="E1019" s="1" t="s">
        <v>74</v>
      </c>
      <c r="F1019" s="1" t="s">
        <v>30</v>
      </c>
      <c r="G1019" s="2">
        <v>89.19</v>
      </c>
      <c r="H1019" s="1">
        <v>25</v>
      </c>
      <c r="I1019" s="1">
        <v>111</v>
      </c>
      <c r="J1019" s="1">
        <v>100</v>
      </c>
      <c r="K1019" s="1">
        <v>86</v>
      </c>
      <c r="L1019" s="1">
        <v>104</v>
      </c>
      <c r="M1019" s="1" t="s">
        <v>41</v>
      </c>
      <c r="N1019" s="1" t="s">
        <v>60</v>
      </c>
      <c r="O1019" t="s">
        <v>75</v>
      </c>
      <c r="P1019" s="2">
        <v>62.43</v>
      </c>
      <c r="Q1019" s="1" t="str">
        <f>IF(J660&gt;K660,"YES","NO")</f>
        <v>YES</v>
      </c>
      <c r="R1019" s="2">
        <f>IF(Q660="YES",G660*0.9,G660)</f>
        <v>80.271000000000001</v>
      </c>
      <c r="S1019" s="2">
        <f>J660*G660</f>
        <v>8919</v>
      </c>
      <c r="T1019" s="1">
        <f ca="1">TODAY()-DATE(MID(O660,7,4),MID(O660,4,2),LEFT(O660,2))</f>
        <v>123</v>
      </c>
      <c r="U1019" s="1" t="s">
        <v>34</v>
      </c>
      <c r="V1019" s="1" t="s">
        <v>34</v>
      </c>
      <c r="W1019" s="1" t="s">
        <v>34</v>
      </c>
      <c r="X1019" t="s">
        <v>2844</v>
      </c>
      <c r="Y1019" s="1">
        <v>5</v>
      </c>
    </row>
    <row r="1020" spans="1:25" x14ac:dyDescent="0.3">
      <c r="A1020" s="1" t="s">
        <v>2034</v>
      </c>
      <c r="B1020" s="1" t="s">
        <v>57</v>
      </c>
      <c r="C1020" s="1" t="s">
        <v>58</v>
      </c>
      <c r="D1020" s="1" t="s">
        <v>59</v>
      </c>
      <c r="E1020" s="1" t="s">
        <v>40</v>
      </c>
      <c r="F1020" s="1" t="s">
        <v>30</v>
      </c>
      <c r="G1020" s="2">
        <v>441.33</v>
      </c>
      <c r="H1020" s="1">
        <v>1</v>
      </c>
      <c r="I1020" s="1">
        <v>85</v>
      </c>
      <c r="J1020" s="1">
        <v>54</v>
      </c>
      <c r="K1020" s="1">
        <v>119</v>
      </c>
      <c r="L1020" s="1">
        <v>87</v>
      </c>
      <c r="M1020" s="1" t="s">
        <v>41</v>
      </c>
      <c r="N1020" s="1" t="s">
        <v>42</v>
      </c>
      <c r="O1020" t="s">
        <v>113</v>
      </c>
      <c r="P1020" s="2">
        <v>308.93</v>
      </c>
      <c r="Q1020" s="1" t="str">
        <f>IF(J513&gt;K513,"YES","NO")</f>
        <v>NO</v>
      </c>
      <c r="R1020" s="2">
        <f>IF(Q513="YES",G513*0.9,G513)</f>
        <v>441.33</v>
      </c>
      <c r="S1020" s="2">
        <f>J513*G513</f>
        <v>23831.82</v>
      </c>
      <c r="T1020" s="1">
        <f ca="1">TODAY()-DATE(MID(O513,7,4),MID(O513,4,2),LEFT(O513,2))</f>
        <v>82</v>
      </c>
      <c r="U1020" s="1" t="s">
        <v>34</v>
      </c>
      <c r="V1020" s="1" t="s">
        <v>34</v>
      </c>
      <c r="W1020" s="1" t="s">
        <v>34</v>
      </c>
      <c r="X1020" t="s">
        <v>2835</v>
      </c>
      <c r="Y1020" s="1">
        <v>6.5</v>
      </c>
    </row>
    <row r="1021" spans="1:25" x14ac:dyDescent="0.3">
      <c r="A1021" s="1" t="s">
        <v>2035</v>
      </c>
      <c r="B1021" s="1" t="s">
        <v>57</v>
      </c>
      <c r="C1021" s="1" t="s">
        <v>58</v>
      </c>
      <c r="D1021" s="1" t="s">
        <v>59</v>
      </c>
      <c r="E1021" s="1" t="s">
        <v>40</v>
      </c>
      <c r="F1021" s="1" t="s">
        <v>48</v>
      </c>
      <c r="G1021" s="2">
        <v>339.69</v>
      </c>
      <c r="H1021" s="1">
        <v>0</v>
      </c>
      <c r="I1021" s="1">
        <v>137</v>
      </c>
      <c r="J1021" s="1">
        <v>119</v>
      </c>
      <c r="K1021" s="1">
        <v>85</v>
      </c>
      <c r="L1021" s="1">
        <v>52</v>
      </c>
      <c r="M1021" s="1" t="s">
        <v>41</v>
      </c>
      <c r="N1021" s="1" t="s">
        <v>32</v>
      </c>
      <c r="O1021" t="s">
        <v>220</v>
      </c>
      <c r="P1021" s="2">
        <v>237.78</v>
      </c>
      <c r="Q1021" s="1" t="str">
        <f>IF(J667&gt;K667,"YES","NO")</f>
        <v>YES</v>
      </c>
      <c r="R1021" s="2">
        <f>IF(Q667="YES",G667*0.9,G667)</f>
        <v>305.721</v>
      </c>
      <c r="S1021" s="2">
        <f>J667*G667</f>
        <v>40423.11</v>
      </c>
      <c r="T1021" s="1">
        <f ca="1">TODAY()-DATE(MID(O667,7,4),MID(O667,4,2),LEFT(O667,2))</f>
        <v>106</v>
      </c>
      <c r="U1021" s="1" t="s">
        <v>34</v>
      </c>
      <c r="V1021" s="1" t="s">
        <v>34</v>
      </c>
      <c r="W1021" s="1" t="s">
        <v>34</v>
      </c>
      <c r="X1021" t="s">
        <v>2635</v>
      </c>
      <c r="Y1021" s="1">
        <v>8.5</v>
      </c>
    </row>
    <row r="1022" spans="1:25" x14ac:dyDescent="0.3">
      <c r="A1022" s="1" t="s">
        <v>2036</v>
      </c>
      <c r="B1022" s="1" t="s">
        <v>37</v>
      </c>
      <c r="C1022" s="1" t="s">
        <v>38</v>
      </c>
      <c r="D1022" s="1" t="s">
        <v>39</v>
      </c>
      <c r="E1022" s="1" t="s">
        <v>40</v>
      </c>
      <c r="F1022" s="1" t="s">
        <v>54</v>
      </c>
      <c r="G1022" s="2">
        <v>128.41</v>
      </c>
      <c r="H1022" s="1">
        <v>15</v>
      </c>
      <c r="I1022" s="1">
        <v>291</v>
      </c>
      <c r="J1022" s="1">
        <v>273</v>
      </c>
      <c r="K1022" s="1">
        <v>52</v>
      </c>
      <c r="L1022" s="1">
        <v>65</v>
      </c>
      <c r="M1022" s="1" t="s">
        <v>49</v>
      </c>
      <c r="N1022" s="1" t="s">
        <v>42</v>
      </c>
      <c r="O1022" t="s">
        <v>361</v>
      </c>
      <c r="P1022" s="2">
        <v>89.89</v>
      </c>
      <c r="Q1022" s="1" t="str">
        <f>IF(J400&gt;K400,"YES","NO")</f>
        <v>YES</v>
      </c>
      <c r="R1022" s="2">
        <f>IF(Q400="YES",G400*0.9,G400)</f>
        <v>115.569</v>
      </c>
      <c r="S1022" s="2">
        <f>J400*G400</f>
        <v>35055.93</v>
      </c>
      <c r="T1022" s="1">
        <f ca="1">TODAY()-DATE(MID(O400,7,4),MID(O400,4,2),LEFT(O400,2))</f>
        <v>99</v>
      </c>
      <c r="U1022" s="1" t="s">
        <v>34</v>
      </c>
      <c r="V1022" s="1" t="s">
        <v>34</v>
      </c>
      <c r="W1022" s="1" t="s">
        <v>34</v>
      </c>
      <c r="X1022" t="s">
        <v>2719</v>
      </c>
      <c r="Y1022" s="1">
        <v>5</v>
      </c>
    </row>
    <row r="1023" spans="1:25" x14ac:dyDescent="0.3">
      <c r="A1023" s="1" t="s">
        <v>2037</v>
      </c>
      <c r="B1023" s="1" t="s">
        <v>83</v>
      </c>
      <c r="C1023" s="1" t="s">
        <v>84</v>
      </c>
      <c r="D1023" s="1" t="s">
        <v>85</v>
      </c>
      <c r="E1023" s="1" t="s">
        <v>74</v>
      </c>
      <c r="F1023" s="1" t="s">
        <v>48</v>
      </c>
      <c r="G1023" s="2">
        <v>302.41000000000003</v>
      </c>
      <c r="H1023" s="1">
        <v>10</v>
      </c>
      <c r="I1023" s="1">
        <v>152</v>
      </c>
      <c r="J1023" s="1">
        <v>115</v>
      </c>
      <c r="K1023" s="1">
        <v>92</v>
      </c>
      <c r="L1023" s="1">
        <v>68</v>
      </c>
      <c r="M1023" s="1" t="s">
        <v>49</v>
      </c>
      <c r="N1023" s="1" t="s">
        <v>42</v>
      </c>
      <c r="O1023" t="s">
        <v>81</v>
      </c>
      <c r="P1023" s="2">
        <v>211.69</v>
      </c>
      <c r="Q1023" s="1" t="str">
        <f>IF(J328&gt;K328,"YES","NO")</f>
        <v>YES</v>
      </c>
      <c r="R1023" s="2">
        <f>IF(Q328="YES",G328*0.9,G328)</f>
        <v>272.16900000000004</v>
      </c>
      <c r="S1023" s="2">
        <f>J328*G328</f>
        <v>34777.15</v>
      </c>
      <c r="T1023" s="1">
        <f ca="1">TODAY()-DATE(MID(O328,7,4),MID(O328,4,2),LEFT(O328,2))</f>
        <v>81</v>
      </c>
      <c r="U1023" s="1" t="s">
        <v>34</v>
      </c>
      <c r="V1023" s="1" t="s">
        <v>34</v>
      </c>
      <c r="W1023" s="1" t="s">
        <v>34</v>
      </c>
      <c r="X1023" t="s">
        <v>2531</v>
      </c>
      <c r="Y1023" s="1">
        <v>9</v>
      </c>
    </row>
    <row r="1024" spans="1:25" x14ac:dyDescent="0.3">
      <c r="A1024" s="1" t="s">
        <v>2038</v>
      </c>
      <c r="B1024" s="1" t="s">
        <v>237</v>
      </c>
      <c r="C1024" s="1" t="s">
        <v>238</v>
      </c>
      <c r="D1024" s="1" t="s">
        <v>85</v>
      </c>
      <c r="E1024" s="1" t="s">
        <v>74</v>
      </c>
      <c r="F1024" s="1" t="s">
        <v>48</v>
      </c>
      <c r="G1024" s="2">
        <v>82.67</v>
      </c>
      <c r="H1024" s="1">
        <v>9</v>
      </c>
      <c r="I1024" s="1">
        <v>263</v>
      </c>
      <c r="J1024" s="1">
        <v>241</v>
      </c>
      <c r="K1024" s="1">
        <v>87</v>
      </c>
      <c r="L1024" s="1">
        <v>115</v>
      </c>
      <c r="M1024" s="1" t="s">
        <v>49</v>
      </c>
      <c r="N1024" s="1" t="s">
        <v>60</v>
      </c>
      <c r="O1024" t="s">
        <v>170</v>
      </c>
      <c r="P1024" s="2">
        <v>57.87</v>
      </c>
      <c r="Q1024" s="1" t="str">
        <f>IF(J750&gt;K750,"YES","NO")</f>
        <v>YES</v>
      </c>
      <c r="R1024" s="2">
        <f>IF(Q750="YES",G750*0.9,G750)</f>
        <v>74.403000000000006</v>
      </c>
      <c r="S1024" s="2">
        <f>J750*G750</f>
        <v>19923.47</v>
      </c>
      <c r="T1024" s="1">
        <f ca="1">TODAY()-DATE(MID(O750,7,4),MID(O750,4,2),LEFT(O750,2))</f>
        <v>95</v>
      </c>
      <c r="U1024" s="1" t="s">
        <v>34</v>
      </c>
      <c r="V1024" s="1" t="s">
        <v>34</v>
      </c>
      <c r="W1024" s="1" t="s">
        <v>34</v>
      </c>
      <c r="X1024" t="s">
        <v>2537</v>
      </c>
      <c r="Y1024" s="1">
        <v>5</v>
      </c>
    </row>
    <row r="1025" spans="1:25" x14ac:dyDescent="0.3">
      <c r="A1025" s="1" t="s">
        <v>2039</v>
      </c>
      <c r="B1025" s="1" t="s">
        <v>83</v>
      </c>
      <c r="C1025" s="1" t="s">
        <v>84</v>
      </c>
      <c r="D1025" s="1" t="s">
        <v>85</v>
      </c>
      <c r="E1025" s="1" t="s">
        <v>74</v>
      </c>
      <c r="F1025" s="1" t="s">
        <v>54</v>
      </c>
      <c r="G1025" s="2">
        <v>42.18</v>
      </c>
      <c r="H1025" s="1">
        <v>19</v>
      </c>
      <c r="I1025" s="1">
        <v>134</v>
      </c>
      <c r="J1025" s="1">
        <v>118</v>
      </c>
      <c r="K1025" s="1">
        <v>93</v>
      </c>
      <c r="L1025" s="1">
        <v>113</v>
      </c>
      <c r="M1025" s="1" t="s">
        <v>41</v>
      </c>
      <c r="N1025" s="1" t="s">
        <v>42</v>
      </c>
      <c r="O1025" t="s">
        <v>88</v>
      </c>
      <c r="P1025" s="2">
        <v>29.53</v>
      </c>
      <c r="Q1025" s="1" t="str">
        <f>IF(J14&gt;K14,"YES","NO")</f>
        <v>YES</v>
      </c>
      <c r="R1025" s="2">
        <f>IF(Q14="YES",G14*0.9,G14)</f>
        <v>37.962000000000003</v>
      </c>
      <c r="S1025" s="2">
        <f>J14*G14</f>
        <v>4977.24</v>
      </c>
      <c r="T1025" s="1">
        <f ca="1">TODAY()-DATE(MID(O14,7,4),MID(O14,4,2),LEFT(O14,2))</f>
        <v>124</v>
      </c>
      <c r="U1025" s="1" t="s">
        <v>34</v>
      </c>
      <c r="V1025" s="1" t="s">
        <v>34</v>
      </c>
      <c r="W1025" s="1" t="s">
        <v>34</v>
      </c>
      <c r="X1025" t="s">
        <v>2793</v>
      </c>
      <c r="Y1025" s="1">
        <v>7</v>
      </c>
    </row>
    <row r="1026" spans="1:25" x14ac:dyDescent="0.3">
      <c r="A1026" s="1" t="s">
        <v>2040</v>
      </c>
      <c r="B1026" s="1" t="s">
        <v>130</v>
      </c>
      <c r="C1026" s="1" t="s">
        <v>131</v>
      </c>
      <c r="D1026" s="1" t="s">
        <v>132</v>
      </c>
      <c r="E1026" s="1" t="s">
        <v>29</v>
      </c>
      <c r="F1026" s="1" t="s">
        <v>48</v>
      </c>
      <c r="G1026" s="2">
        <v>373.65</v>
      </c>
      <c r="H1026" s="1">
        <v>23</v>
      </c>
      <c r="I1026" s="1">
        <v>184</v>
      </c>
      <c r="J1026" s="1">
        <v>184</v>
      </c>
      <c r="K1026" s="1">
        <v>66</v>
      </c>
      <c r="L1026" s="1">
        <v>139</v>
      </c>
      <c r="M1026" s="1" t="s">
        <v>49</v>
      </c>
      <c r="N1026" s="1" t="s">
        <v>60</v>
      </c>
      <c r="O1026" t="s">
        <v>205</v>
      </c>
      <c r="P1026" s="2">
        <v>261.55</v>
      </c>
      <c r="Q1026" s="1" t="str">
        <f>IF(J148&gt;K148,"YES","NO")</f>
        <v>YES</v>
      </c>
      <c r="R1026" s="2">
        <f>IF(Q148="YES",G148*0.9,G148)</f>
        <v>336.28499999999997</v>
      </c>
      <c r="S1026" s="2">
        <f>J148*G148</f>
        <v>68751.599999999991</v>
      </c>
      <c r="T1026" s="1">
        <f ca="1">TODAY()-DATE(MID(O148,7,4),MID(O148,4,2),LEFT(O148,2))</f>
        <v>74</v>
      </c>
      <c r="U1026" s="1" t="s">
        <v>34</v>
      </c>
      <c r="V1026" s="1" t="s">
        <v>34</v>
      </c>
      <c r="W1026" s="1" t="s">
        <v>34</v>
      </c>
      <c r="X1026" t="s">
        <v>2729</v>
      </c>
      <c r="Y1026" s="1">
        <v>9</v>
      </c>
    </row>
    <row r="1027" spans="1:25" x14ac:dyDescent="0.3">
      <c r="A1027" s="1" t="s">
        <v>2041</v>
      </c>
      <c r="B1027" s="1" t="s">
        <v>197</v>
      </c>
      <c r="C1027" s="1" t="s">
        <v>198</v>
      </c>
      <c r="D1027" s="1" t="s">
        <v>104</v>
      </c>
      <c r="E1027" s="1" t="s">
        <v>74</v>
      </c>
      <c r="F1027" s="1" t="s">
        <v>48</v>
      </c>
      <c r="G1027" s="2">
        <v>236.67</v>
      </c>
      <c r="H1027" s="1">
        <v>21</v>
      </c>
      <c r="I1027" s="1">
        <v>186</v>
      </c>
      <c r="J1027" s="1">
        <v>162</v>
      </c>
      <c r="K1027" s="1">
        <v>72</v>
      </c>
      <c r="L1027" s="1">
        <v>51</v>
      </c>
      <c r="M1027" s="1" t="s">
        <v>31</v>
      </c>
      <c r="N1027" s="1" t="s">
        <v>42</v>
      </c>
      <c r="O1027" t="s">
        <v>153</v>
      </c>
      <c r="P1027" s="2">
        <v>165.67</v>
      </c>
      <c r="Q1027" s="1" t="str">
        <f>IF(J386&gt;K386,"YES","NO")</f>
        <v>YES</v>
      </c>
      <c r="R1027" s="2">
        <f>IF(Q386="YES",G386*0.9,G386)</f>
        <v>213.00299999999999</v>
      </c>
      <c r="S1027" s="2">
        <f>J386*G386</f>
        <v>38340.54</v>
      </c>
      <c r="T1027" s="1">
        <f ca="1">TODAY()-DATE(MID(O386,7,4),MID(O386,4,2),LEFT(O386,2))</f>
        <v>135</v>
      </c>
      <c r="U1027" s="1" t="s">
        <v>34</v>
      </c>
      <c r="V1027" s="1" t="s">
        <v>34</v>
      </c>
      <c r="W1027" s="1" t="s">
        <v>34</v>
      </c>
      <c r="X1027" t="s">
        <v>2694</v>
      </c>
      <c r="Y1027" s="1">
        <v>8</v>
      </c>
    </row>
    <row r="1028" spans="1:25" x14ac:dyDescent="0.3">
      <c r="A1028" s="1" t="s">
        <v>2042</v>
      </c>
      <c r="B1028" s="1" t="s">
        <v>123</v>
      </c>
      <c r="C1028" s="1" t="s">
        <v>124</v>
      </c>
      <c r="D1028" s="1" t="s">
        <v>47</v>
      </c>
      <c r="E1028" s="1" t="s">
        <v>29</v>
      </c>
      <c r="F1028" s="1" t="s">
        <v>54</v>
      </c>
      <c r="G1028" s="2">
        <v>113.09</v>
      </c>
      <c r="H1028" s="1">
        <v>5</v>
      </c>
      <c r="I1028" s="1">
        <v>99</v>
      </c>
      <c r="J1028" s="1">
        <v>79</v>
      </c>
      <c r="K1028" s="1">
        <v>41</v>
      </c>
      <c r="L1028" s="1">
        <v>59</v>
      </c>
      <c r="M1028" s="1" t="s">
        <v>31</v>
      </c>
      <c r="N1028" s="1" t="s">
        <v>60</v>
      </c>
      <c r="O1028" t="s">
        <v>88</v>
      </c>
      <c r="P1028" s="2">
        <v>79.16</v>
      </c>
      <c r="Q1028" s="1" t="str">
        <f>IF(J399&gt;K399,"YES","NO")</f>
        <v>YES</v>
      </c>
      <c r="R1028" s="2">
        <f>IF(Q399="YES",G399*0.9,G399)</f>
        <v>101.78100000000001</v>
      </c>
      <c r="S1028" s="2">
        <f>J399*G399</f>
        <v>8934.11</v>
      </c>
      <c r="T1028" s="1">
        <f ca="1">TODAY()-DATE(MID(O399,7,4),MID(O399,4,2),LEFT(O399,2))</f>
        <v>124</v>
      </c>
      <c r="U1028" s="1" t="s">
        <v>34</v>
      </c>
      <c r="V1028" s="1" t="s">
        <v>34</v>
      </c>
      <c r="W1028" s="1" t="s">
        <v>34</v>
      </c>
      <c r="X1028" t="s">
        <v>2563</v>
      </c>
      <c r="Y1028" s="1">
        <v>9.5</v>
      </c>
    </row>
    <row r="1029" spans="1:25" x14ac:dyDescent="0.3">
      <c r="A1029" s="1" t="s">
        <v>2043</v>
      </c>
      <c r="B1029" s="1" t="s">
        <v>72</v>
      </c>
      <c r="C1029" s="1" t="s">
        <v>73</v>
      </c>
      <c r="D1029" s="1" t="s">
        <v>47</v>
      </c>
      <c r="E1029" s="1" t="s">
        <v>74</v>
      </c>
      <c r="F1029" s="1" t="s">
        <v>48</v>
      </c>
      <c r="G1029" s="2">
        <v>293.64</v>
      </c>
      <c r="H1029" s="1">
        <v>23</v>
      </c>
      <c r="I1029" s="1">
        <v>109</v>
      </c>
      <c r="J1029" s="1">
        <v>101</v>
      </c>
      <c r="K1029" s="1">
        <v>110</v>
      </c>
      <c r="L1029" s="1">
        <v>74</v>
      </c>
      <c r="M1029" s="1" t="s">
        <v>41</v>
      </c>
      <c r="N1029" s="1" t="s">
        <v>32</v>
      </c>
      <c r="O1029" t="s">
        <v>137</v>
      </c>
      <c r="P1029" s="2">
        <v>205.55</v>
      </c>
      <c r="Q1029" s="1" t="str">
        <f>IF(J31&gt;K31,"YES","NO")</f>
        <v>NO</v>
      </c>
      <c r="R1029" s="2">
        <f>IF(Q31="YES",G31*0.9,G31)</f>
        <v>293.64</v>
      </c>
      <c r="S1029" s="2">
        <f>J31*G31</f>
        <v>29657.64</v>
      </c>
      <c r="T1029" s="1">
        <f ca="1">TODAY()-DATE(MID(O31,7,4),MID(O31,4,2),LEFT(O31,2))</f>
        <v>107</v>
      </c>
      <c r="U1029" s="1" t="s">
        <v>34</v>
      </c>
      <c r="V1029" s="1" t="s">
        <v>34</v>
      </c>
      <c r="W1029" s="1" t="s">
        <v>34</v>
      </c>
      <c r="X1029" t="s">
        <v>2573</v>
      </c>
      <c r="Y1029" s="1">
        <v>5.5</v>
      </c>
    </row>
    <row r="1030" spans="1:25" x14ac:dyDescent="0.3">
      <c r="A1030" s="1" t="s">
        <v>2044</v>
      </c>
      <c r="B1030" s="1" t="s">
        <v>192</v>
      </c>
      <c r="C1030" s="1" t="s">
        <v>193</v>
      </c>
      <c r="D1030" s="1" t="s">
        <v>85</v>
      </c>
      <c r="E1030" s="1" t="s">
        <v>74</v>
      </c>
      <c r="F1030" s="1" t="s">
        <v>54</v>
      </c>
      <c r="G1030" s="2">
        <v>67.16</v>
      </c>
      <c r="H1030" s="1">
        <v>4</v>
      </c>
      <c r="I1030" s="1">
        <v>111</v>
      </c>
      <c r="J1030" s="1">
        <v>97</v>
      </c>
      <c r="K1030" s="1">
        <v>104</v>
      </c>
      <c r="L1030" s="1">
        <v>124</v>
      </c>
      <c r="M1030" s="1" t="s">
        <v>41</v>
      </c>
      <c r="N1030" s="1" t="s">
        <v>32</v>
      </c>
      <c r="O1030" t="s">
        <v>174</v>
      </c>
      <c r="P1030" s="2">
        <v>47.01</v>
      </c>
      <c r="Q1030" s="1" t="str">
        <f>IF(J638&gt;K638,"YES","NO")</f>
        <v>NO</v>
      </c>
      <c r="R1030" s="2">
        <f>IF(Q638="YES",G638*0.9,G638)</f>
        <v>67.16</v>
      </c>
      <c r="S1030" s="2">
        <f>J638*G638</f>
        <v>6514.5199999999995</v>
      </c>
      <c r="T1030" s="1">
        <f ca="1">TODAY()-DATE(MID(O638,7,4),MID(O638,4,2),LEFT(O638,2))</f>
        <v>88</v>
      </c>
      <c r="U1030" s="1" t="s">
        <v>34</v>
      </c>
      <c r="V1030" s="1" t="s">
        <v>34</v>
      </c>
      <c r="W1030" s="1" t="s">
        <v>34</v>
      </c>
      <c r="X1030" t="s">
        <v>2737</v>
      </c>
      <c r="Y1030" s="1">
        <v>9</v>
      </c>
    </row>
    <row r="1031" spans="1:25" x14ac:dyDescent="0.3">
      <c r="A1031" s="1" t="s">
        <v>2045</v>
      </c>
      <c r="B1031" s="1" t="s">
        <v>45</v>
      </c>
      <c r="C1031" s="1" t="s">
        <v>46</v>
      </c>
      <c r="D1031" s="1" t="s">
        <v>47</v>
      </c>
      <c r="E1031" s="1" t="s">
        <v>40</v>
      </c>
      <c r="F1031" s="1" t="s">
        <v>30</v>
      </c>
      <c r="G1031" s="2">
        <v>402.4</v>
      </c>
      <c r="H1031" s="1">
        <v>22</v>
      </c>
      <c r="I1031" s="1">
        <v>187</v>
      </c>
      <c r="J1031" s="1">
        <v>172</v>
      </c>
      <c r="K1031" s="1">
        <v>94</v>
      </c>
      <c r="L1031" s="1">
        <v>52</v>
      </c>
      <c r="M1031" s="1" t="s">
        <v>49</v>
      </c>
      <c r="N1031" s="1" t="s">
        <v>32</v>
      </c>
      <c r="O1031" t="s">
        <v>90</v>
      </c>
      <c r="P1031" s="2">
        <v>281.68</v>
      </c>
      <c r="Q1031" s="1" t="str">
        <f>IF(J488&gt;K488,"YES","NO")</f>
        <v>YES</v>
      </c>
      <c r="R1031" s="2">
        <f>IF(Q488="YES",G488*0.9,G488)</f>
        <v>362.15999999999997</v>
      </c>
      <c r="S1031" s="2">
        <f>J488*G488</f>
        <v>69212.800000000003</v>
      </c>
      <c r="T1031" s="1">
        <f ca="1">TODAY()-DATE(MID(O488,7,4),MID(O488,4,2),LEFT(O488,2))</f>
        <v>94</v>
      </c>
      <c r="U1031" s="1" t="s">
        <v>34</v>
      </c>
      <c r="V1031" s="1" t="s">
        <v>34</v>
      </c>
      <c r="W1031" s="1" t="s">
        <v>34</v>
      </c>
      <c r="X1031" t="s">
        <v>2882</v>
      </c>
      <c r="Y1031" s="1">
        <v>9</v>
      </c>
    </row>
    <row r="1032" spans="1:25" x14ac:dyDescent="0.3">
      <c r="A1032" s="1" t="s">
        <v>2046</v>
      </c>
      <c r="B1032" s="1" t="s">
        <v>69</v>
      </c>
      <c r="C1032" s="1" t="s">
        <v>70</v>
      </c>
      <c r="D1032" s="1" t="s">
        <v>59</v>
      </c>
      <c r="E1032" s="1" t="s">
        <v>40</v>
      </c>
      <c r="F1032" s="1" t="s">
        <v>30</v>
      </c>
      <c r="G1032" s="2">
        <v>63.52</v>
      </c>
      <c r="H1032" s="1">
        <v>20</v>
      </c>
      <c r="I1032" s="1">
        <v>123</v>
      </c>
      <c r="J1032" s="1">
        <v>94</v>
      </c>
      <c r="K1032" s="1">
        <v>118</v>
      </c>
      <c r="L1032" s="1">
        <v>86</v>
      </c>
      <c r="M1032" s="1" t="s">
        <v>41</v>
      </c>
      <c r="N1032" s="1" t="s">
        <v>32</v>
      </c>
      <c r="O1032" t="s">
        <v>88</v>
      </c>
      <c r="P1032" s="2">
        <v>44.46</v>
      </c>
      <c r="Q1032" s="1" t="str">
        <f>IF(J565&gt;K565,"YES","NO")</f>
        <v>NO</v>
      </c>
      <c r="R1032" s="2">
        <f>IF(Q565="YES",G565*0.9,G565)</f>
        <v>63.52</v>
      </c>
      <c r="S1032" s="2">
        <f>J565*G565</f>
        <v>5970.88</v>
      </c>
      <c r="T1032" s="1">
        <f ca="1">TODAY()-DATE(MID(O565,7,4),MID(O565,4,2),LEFT(O565,2))</f>
        <v>124</v>
      </c>
      <c r="U1032" s="1" t="s">
        <v>34</v>
      </c>
      <c r="V1032" s="1" t="s">
        <v>34</v>
      </c>
      <c r="W1032" s="1" t="s">
        <v>34</v>
      </c>
      <c r="X1032" t="s">
        <v>2890</v>
      </c>
      <c r="Y1032" s="1">
        <v>7.5</v>
      </c>
    </row>
    <row r="1033" spans="1:25" x14ac:dyDescent="0.3">
      <c r="A1033" s="1" t="s">
        <v>2047</v>
      </c>
      <c r="B1033" s="1" t="s">
        <v>172</v>
      </c>
      <c r="C1033" s="1" t="s">
        <v>173</v>
      </c>
      <c r="D1033" s="1" t="s">
        <v>132</v>
      </c>
      <c r="E1033" s="1" t="s">
        <v>74</v>
      </c>
      <c r="F1033" s="1" t="s">
        <v>30</v>
      </c>
      <c r="G1033" s="2">
        <v>249.44</v>
      </c>
      <c r="H1033" s="1">
        <v>15</v>
      </c>
      <c r="I1033" s="1">
        <v>278</v>
      </c>
      <c r="J1033" s="1">
        <v>238</v>
      </c>
      <c r="K1033" s="1">
        <v>73</v>
      </c>
      <c r="L1033" s="1">
        <v>104</v>
      </c>
      <c r="M1033" s="1" t="s">
        <v>41</v>
      </c>
      <c r="N1033" s="1" t="s">
        <v>60</v>
      </c>
      <c r="O1033" t="s">
        <v>98</v>
      </c>
      <c r="P1033" s="2">
        <v>174.61</v>
      </c>
      <c r="Q1033" s="1" t="str">
        <f>IF(J434&gt;K434,"YES","NO")</f>
        <v>YES</v>
      </c>
      <c r="R1033" s="2">
        <f>IF(Q434="YES",G434*0.9,G434)</f>
        <v>224.49600000000001</v>
      </c>
      <c r="S1033" s="2">
        <f>J434*G434</f>
        <v>59366.720000000001</v>
      </c>
      <c r="T1033" s="1">
        <f ca="1">TODAY()-DATE(MID(O434,7,4),MID(O434,4,2),LEFT(O434,2))</f>
        <v>96</v>
      </c>
      <c r="U1033" s="1" t="s">
        <v>34</v>
      </c>
      <c r="V1033" s="1" t="s">
        <v>34</v>
      </c>
      <c r="W1033" s="1" t="s">
        <v>34</v>
      </c>
      <c r="X1033" t="s">
        <v>2670</v>
      </c>
      <c r="Y1033" s="1">
        <v>7</v>
      </c>
    </row>
    <row r="1034" spans="1:25" x14ac:dyDescent="0.3">
      <c r="A1034" s="1" t="s">
        <v>2048</v>
      </c>
      <c r="B1034" s="1" t="s">
        <v>57</v>
      </c>
      <c r="C1034" s="1" t="s">
        <v>58</v>
      </c>
      <c r="D1034" s="1" t="s">
        <v>59</v>
      </c>
      <c r="E1034" s="1" t="s">
        <v>40</v>
      </c>
      <c r="F1034" s="1" t="s">
        <v>48</v>
      </c>
      <c r="G1034" s="2">
        <v>171.41</v>
      </c>
      <c r="H1034" s="1">
        <v>17</v>
      </c>
      <c r="I1034" s="1">
        <v>131</v>
      </c>
      <c r="J1034" s="1">
        <v>117</v>
      </c>
      <c r="K1034" s="1">
        <v>79</v>
      </c>
      <c r="L1034" s="1">
        <v>145</v>
      </c>
      <c r="M1034" s="1" t="s">
        <v>31</v>
      </c>
      <c r="N1034" s="1" t="s">
        <v>60</v>
      </c>
      <c r="O1034" t="s">
        <v>61</v>
      </c>
      <c r="P1034" s="2">
        <v>119.99</v>
      </c>
      <c r="Q1034" s="1" t="str">
        <f>IF(J6&gt;K6,"YES","NO")</f>
        <v>YES</v>
      </c>
      <c r="R1034" s="2">
        <f>IF(Q6="YES",G6*0.9,G6)</f>
        <v>154.26900000000001</v>
      </c>
      <c r="S1034" s="2">
        <f>J6*G6</f>
        <v>20054.97</v>
      </c>
      <c r="T1034" s="1">
        <f ca="1">TODAY()-DATE(MID(O6,7,4),MID(O6,4,2),LEFT(O6,2))</f>
        <v>73</v>
      </c>
      <c r="U1034" s="1" t="s">
        <v>34</v>
      </c>
      <c r="V1034" s="1" t="s">
        <v>34</v>
      </c>
      <c r="W1034" s="1" t="s">
        <v>34</v>
      </c>
      <c r="X1034" t="s">
        <v>2527</v>
      </c>
      <c r="Y1034" s="1">
        <v>8</v>
      </c>
    </row>
    <row r="1035" spans="1:25" x14ac:dyDescent="0.3">
      <c r="A1035" s="1" t="s">
        <v>2049</v>
      </c>
      <c r="B1035" s="1" t="s">
        <v>123</v>
      </c>
      <c r="C1035" s="1" t="s">
        <v>124</v>
      </c>
      <c r="D1035" s="1" t="s">
        <v>47</v>
      </c>
      <c r="E1035" s="1" t="s">
        <v>29</v>
      </c>
      <c r="F1035" s="1" t="s">
        <v>48</v>
      </c>
      <c r="G1035" s="2">
        <v>394.34</v>
      </c>
      <c r="H1035" s="1">
        <v>16</v>
      </c>
      <c r="I1035" s="1">
        <v>104</v>
      </c>
      <c r="J1035" s="1">
        <v>77</v>
      </c>
      <c r="K1035" s="1">
        <v>80</v>
      </c>
      <c r="L1035" s="1">
        <v>108</v>
      </c>
      <c r="M1035" s="1" t="s">
        <v>49</v>
      </c>
      <c r="N1035" s="1" t="s">
        <v>60</v>
      </c>
      <c r="O1035" t="s">
        <v>113</v>
      </c>
      <c r="P1035" s="2">
        <v>276.04000000000002</v>
      </c>
      <c r="Q1035" s="1" t="str">
        <f>IF(J301&gt;K301,"YES","NO")</f>
        <v>NO</v>
      </c>
      <c r="R1035" s="2">
        <f>IF(Q301="YES",G301*0.9,G301)</f>
        <v>394.34</v>
      </c>
      <c r="S1035" s="2">
        <f>J301*G301</f>
        <v>30364.179999999997</v>
      </c>
      <c r="T1035" s="1">
        <f ca="1">TODAY()-DATE(MID(O301,7,4),MID(O301,4,2),LEFT(O301,2))</f>
        <v>82</v>
      </c>
      <c r="U1035" s="1" t="s">
        <v>34</v>
      </c>
      <c r="V1035" s="1" t="s">
        <v>34</v>
      </c>
      <c r="W1035" s="1" t="s">
        <v>34</v>
      </c>
      <c r="X1035" t="s">
        <v>2645</v>
      </c>
      <c r="Y1035" s="1">
        <v>5.5</v>
      </c>
    </row>
    <row r="1036" spans="1:25" x14ac:dyDescent="0.3">
      <c r="A1036" s="1" t="s">
        <v>2050</v>
      </c>
      <c r="B1036" s="1" t="s">
        <v>130</v>
      </c>
      <c r="C1036" s="1" t="s">
        <v>131</v>
      </c>
      <c r="D1036" s="1" t="s">
        <v>132</v>
      </c>
      <c r="E1036" s="1" t="s">
        <v>40</v>
      </c>
      <c r="F1036" s="1" t="s">
        <v>48</v>
      </c>
      <c r="G1036" s="2">
        <v>174.14</v>
      </c>
      <c r="H1036" s="1">
        <v>20</v>
      </c>
      <c r="I1036" s="1">
        <v>157</v>
      </c>
      <c r="J1036" s="1">
        <v>132</v>
      </c>
      <c r="K1036" s="1">
        <v>43</v>
      </c>
      <c r="L1036" s="1">
        <v>140</v>
      </c>
      <c r="M1036" s="1" t="s">
        <v>49</v>
      </c>
      <c r="N1036" s="1" t="s">
        <v>60</v>
      </c>
      <c r="O1036" t="s">
        <v>141</v>
      </c>
      <c r="P1036" s="2">
        <v>121.9</v>
      </c>
      <c r="Q1036" s="1" t="str">
        <f>IF(J63&gt;K63,"YES","NO")</f>
        <v>YES</v>
      </c>
      <c r="R1036" s="2">
        <f>IF(Q63="YES",G63*0.9,G63)</f>
        <v>156.726</v>
      </c>
      <c r="S1036" s="2">
        <f>J63*G63</f>
        <v>22986.48</v>
      </c>
      <c r="T1036" s="1">
        <f ca="1">TODAY()-DATE(MID(O63,7,4),MID(O63,4,2),LEFT(O63,2))</f>
        <v>118</v>
      </c>
      <c r="U1036" s="1" t="s">
        <v>34</v>
      </c>
      <c r="V1036" s="1" t="s">
        <v>34</v>
      </c>
      <c r="W1036" s="1" t="s">
        <v>34</v>
      </c>
      <c r="X1036" t="s">
        <v>2746</v>
      </c>
      <c r="Y1036" s="1">
        <v>6.5</v>
      </c>
    </row>
    <row r="1037" spans="1:25" x14ac:dyDescent="0.3">
      <c r="A1037" s="1" t="s">
        <v>2051</v>
      </c>
      <c r="B1037" s="1" t="s">
        <v>63</v>
      </c>
      <c r="C1037" s="1" t="s">
        <v>64</v>
      </c>
      <c r="D1037" s="1" t="s">
        <v>28</v>
      </c>
      <c r="E1037" s="1" t="s">
        <v>40</v>
      </c>
      <c r="F1037" s="1" t="s">
        <v>48</v>
      </c>
      <c r="G1037" s="2">
        <v>74.14</v>
      </c>
      <c r="H1037" s="1">
        <v>2</v>
      </c>
      <c r="I1037" s="1">
        <v>231</v>
      </c>
      <c r="J1037" s="1">
        <v>207</v>
      </c>
      <c r="K1037" s="1">
        <v>69</v>
      </c>
      <c r="L1037" s="1">
        <v>131</v>
      </c>
      <c r="M1037" s="1" t="s">
        <v>41</v>
      </c>
      <c r="N1037" s="1" t="s">
        <v>60</v>
      </c>
      <c r="O1037" t="s">
        <v>55</v>
      </c>
      <c r="P1037" s="2">
        <v>51.9</v>
      </c>
      <c r="Q1037" s="1" t="str">
        <f>IF(J792&gt;K792,"YES","NO")</f>
        <v>YES</v>
      </c>
      <c r="R1037" s="2">
        <f>IF(Q792="YES",G792*0.9,G792)</f>
        <v>66.725999999999999</v>
      </c>
      <c r="S1037" s="2">
        <f>J792*G792</f>
        <v>15346.98</v>
      </c>
      <c r="T1037" s="1">
        <f ca="1">TODAY()-DATE(MID(O792,7,4),MID(O792,4,2),LEFT(O792,2))</f>
        <v>91</v>
      </c>
      <c r="U1037" s="1" t="s">
        <v>34</v>
      </c>
      <c r="V1037" s="1" t="s">
        <v>34</v>
      </c>
      <c r="W1037" s="1" t="s">
        <v>34</v>
      </c>
      <c r="X1037" t="s">
        <v>2650</v>
      </c>
      <c r="Y1037" s="1">
        <v>6</v>
      </c>
    </row>
    <row r="1038" spans="1:25" x14ac:dyDescent="0.3">
      <c r="A1038" s="1" t="s">
        <v>2052</v>
      </c>
      <c r="B1038" s="1" t="s">
        <v>26</v>
      </c>
      <c r="C1038" s="1" t="s">
        <v>27</v>
      </c>
      <c r="D1038" s="1" t="s">
        <v>28</v>
      </c>
      <c r="E1038" s="1" t="s">
        <v>29</v>
      </c>
      <c r="F1038" s="1" t="s">
        <v>30</v>
      </c>
      <c r="G1038" s="2">
        <v>349.41</v>
      </c>
      <c r="H1038" s="1">
        <v>25</v>
      </c>
      <c r="I1038" s="1">
        <v>81</v>
      </c>
      <c r="J1038" s="1">
        <v>49</v>
      </c>
      <c r="K1038" s="1">
        <v>101</v>
      </c>
      <c r="L1038" s="1">
        <v>86</v>
      </c>
      <c r="M1038" s="1" t="s">
        <v>41</v>
      </c>
      <c r="N1038" s="1" t="s">
        <v>60</v>
      </c>
      <c r="O1038" t="s">
        <v>187</v>
      </c>
      <c r="P1038" s="2">
        <v>244.59</v>
      </c>
      <c r="Q1038" s="1" t="str">
        <f>IF(J602&gt;K602,"YES","NO")</f>
        <v>NO</v>
      </c>
      <c r="R1038" s="2">
        <f>IF(Q602="YES",G602*0.9,G602)</f>
        <v>349.41</v>
      </c>
      <c r="S1038" s="2">
        <f>J602*G602</f>
        <v>17121.09</v>
      </c>
      <c r="T1038" s="1">
        <f ca="1">TODAY()-DATE(MID(O602,7,4),MID(O602,4,2),LEFT(O602,2))</f>
        <v>148</v>
      </c>
      <c r="U1038" s="1" t="s">
        <v>34</v>
      </c>
      <c r="V1038" s="1" t="s">
        <v>34</v>
      </c>
      <c r="W1038" s="1" t="s">
        <v>34</v>
      </c>
      <c r="X1038" t="s">
        <v>2891</v>
      </c>
      <c r="Y1038" s="1">
        <v>6</v>
      </c>
    </row>
    <row r="1039" spans="1:25" x14ac:dyDescent="0.3">
      <c r="A1039" s="1" t="s">
        <v>2053</v>
      </c>
      <c r="B1039" s="1" t="s">
        <v>52</v>
      </c>
      <c r="C1039" s="1" t="s">
        <v>53</v>
      </c>
      <c r="D1039" s="1" t="s">
        <v>47</v>
      </c>
      <c r="E1039" s="1" t="s">
        <v>40</v>
      </c>
      <c r="F1039" s="1" t="s">
        <v>30</v>
      </c>
      <c r="G1039" s="2">
        <v>243.74</v>
      </c>
      <c r="H1039" s="1">
        <v>0</v>
      </c>
      <c r="I1039" s="1">
        <v>138</v>
      </c>
      <c r="J1039" s="1">
        <v>104</v>
      </c>
      <c r="K1039" s="1">
        <v>68</v>
      </c>
      <c r="L1039" s="1">
        <v>66</v>
      </c>
      <c r="M1039" s="1" t="s">
        <v>41</v>
      </c>
      <c r="N1039" s="1" t="s">
        <v>60</v>
      </c>
      <c r="O1039" t="s">
        <v>257</v>
      </c>
      <c r="P1039" s="2">
        <v>170.62</v>
      </c>
      <c r="Q1039" s="1" t="str">
        <f>IF(J403&gt;K403,"YES","NO")</f>
        <v>YES</v>
      </c>
      <c r="R1039" s="2">
        <f>IF(Q403="YES",G403*0.9,G403)</f>
        <v>219.36600000000001</v>
      </c>
      <c r="S1039" s="2">
        <f>J403*G403</f>
        <v>25348.959999999999</v>
      </c>
      <c r="T1039" s="1">
        <f ca="1">TODAY()-DATE(MID(O403,7,4),MID(O403,4,2),LEFT(O403,2))</f>
        <v>113</v>
      </c>
      <c r="U1039" s="1" t="s">
        <v>34</v>
      </c>
      <c r="V1039" s="1" t="s">
        <v>34</v>
      </c>
      <c r="W1039" s="1" t="s">
        <v>34</v>
      </c>
      <c r="X1039" t="s">
        <v>2599</v>
      </c>
      <c r="Y1039" s="1">
        <v>6.5</v>
      </c>
    </row>
    <row r="1040" spans="1:25" x14ac:dyDescent="0.3">
      <c r="A1040" s="1" t="s">
        <v>2054</v>
      </c>
      <c r="B1040" s="1" t="s">
        <v>72</v>
      </c>
      <c r="C1040" s="1" t="s">
        <v>73</v>
      </c>
      <c r="D1040" s="1" t="s">
        <v>47</v>
      </c>
      <c r="E1040" s="1" t="s">
        <v>40</v>
      </c>
      <c r="F1040" s="1" t="s">
        <v>48</v>
      </c>
      <c r="G1040" s="2">
        <v>318.5</v>
      </c>
      <c r="H1040" s="1">
        <v>17</v>
      </c>
      <c r="I1040" s="1">
        <v>264</v>
      </c>
      <c r="J1040" s="1">
        <v>260</v>
      </c>
      <c r="K1040" s="1">
        <v>90</v>
      </c>
      <c r="L1040" s="1">
        <v>61</v>
      </c>
      <c r="M1040" s="1" t="s">
        <v>41</v>
      </c>
      <c r="N1040" s="1" t="s">
        <v>42</v>
      </c>
      <c r="O1040" t="s">
        <v>161</v>
      </c>
      <c r="P1040" s="2">
        <v>222.95</v>
      </c>
      <c r="Q1040" s="1" t="str">
        <f>IF(J258&gt;K258,"YES","NO")</f>
        <v>YES</v>
      </c>
      <c r="R1040" s="2">
        <f>IF(Q258="YES",G258*0.9,G258)</f>
        <v>286.65000000000003</v>
      </c>
      <c r="S1040" s="2">
        <f>J258*G258</f>
        <v>82810</v>
      </c>
      <c r="T1040" s="1">
        <f ca="1">TODAY()-DATE(MID(O258,7,4),MID(O258,4,2),LEFT(O258,2))</f>
        <v>69</v>
      </c>
      <c r="U1040" s="1" t="s">
        <v>34</v>
      </c>
      <c r="V1040" s="1" t="s">
        <v>34</v>
      </c>
      <c r="W1040" s="1" t="s">
        <v>34</v>
      </c>
      <c r="X1040" t="s">
        <v>2692</v>
      </c>
      <c r="Y1040" s="1">
        <v>9</v>
      </c>
    </row>
    <row r="1041" spans="1:25" x14ac:dyDescent="0.3">
      <c r="A1041" s="1" t="s">
        <v>2055</v>
      </c>
      <c r="B1041" s="1" t="s">
        <v>111</v>
      </c>
      <c r="C1041" s="1" t="s">
        <v>112</v>
      </c>
      <c r="D1041" s="1" t="s">
        <v>97</v>
      </c>
      <c r="E1041" s="1" t="s">
        <v>74</v>
      </c>
      <c r="F1041" s="1" t="s">
        <v>30</v>
      </c>
      <c r="G1041" s="2">
        <v>495.59</v>
      </c>
      <c r="H1041" s="1">
        <v>9</v>
      </c>
      <c r="I1041" s="1">
        <v>253</v>
      </c>
      <c r="J1041" s="1">
        <v>250</v>
      </c>
      <c r="K1041" s="1">
        <v>76</v>
      </c>
      <c r="L1041" s="1">
        <v>79</v>
      </c>
      <c r="M1041" s="1" t="s">
        <v>31</v>
      </c>
      <c r="N1041" s="1" t="s">
        <v>42</v>
      </c>
      <c r="O1041" t="s">
        <v>207</v>
      </c>
      <c r="P1041" s="2">
        <v>346.91</v>
      </c>
      <c r="Q1041" s="1" t="str">
        <f>IF(J120&gt;K120,"YES","NO")</f>
        <v>YES</v>
      </c>
      <c r="R1041" s="2">
        <f>IF(Q120="YES",G120*0.9,G120)</f>
        <v>446.03100000000001</v>
      </c>
      <c r="S1041" s="2">
        <f>J120*G120</f>
        <v>123897.5</v>
      </c>
      <c r="T1041" s="1">
        <f ca="1">TODAY()-DATE(MID(O120,7,4),MID(O120,4,2),LEFT(O120,2))</f>
        <v>98</v>
      </c>
      <c r="U1041" s="1" t="s">
        <v>34</v>
      </c>
      <c r="V1041" s="1" t="s">
        <v>34</v>
      </c>
      <c r="W1041" s="1" t="s">
        <v>34</v>
      </c>
      <c r="X1041" t="s">
        <v>2702</v>
      </c>
      <c r="Y1041" s="1">
        <v>5</v>
      </c>
    </row>
    <row r="1042" spans="1:25" x14ac:dyDescent="0.3">
      <c r="A1042" s="1" t="s">
        <v>2056</v>
      </c>
      <c r="B1042" s="1" t="s">
        <v>52</v>
      </c>
      <c r="C1042" s="1" t="s">
        <v>53</v>
      </c>
      <c r="D1042" s="1" t="s">
        <v>47</v>
      </c>
      <c r="E1042" s="1" t="s">
        <v>74</v>
      </c>
      <c r="F1042" s="1" t="s">
        <v>48</v>
      </c>
      <c r="G1042" s="2">
        <v>322.05</v>
      </c>
      <c r="H1042" s="1">
        <v>9</v>
      </c>
      <c r="I1042" s="1">
        <v>154</v>
      </c>
      <c r="J1042" s="1">
        <v>115</v>
      </c>
      <c r="K1042" s="1">
        <v>109</v>
      </c>
      <c r="L1042" s="1">
        <v>127</v>
      </c>
      <c r="M1042" s="1" t="s">
        <v>31</v>
      </c>
      <c r="N1042" s="1" t="s">
        <v>32</v>
      </c>
      <c r="O1042" t="s">
        <v>109</v>
      </c>
      <c r="P1042" s="2">
        <v>225.44</v>
      </c>
      <c r="Q1042" s="1" t="str">
        <f>IF(J329&gt;K329,"YES","NO")</f>
        <v>YES</v>
      </c>
      <c r="R1042" s="2">
        <f>IF(Q329="YES",G329*0.9,G329)</f>
        <v>289.84500000000003</v>
      </c>
      <c r="S1042" s="2">
        <f>J329*G329</f>
        <v>37035.75</v>
      </c>
      <c r="T1042" s="1">
        <f ca="1">TODAY()-DATE(MID(O329,7,4),MID(O329,4,2),LEFT(O329,2))</f>
        <v>89</v>
      </c>
      <c r="U1042" s="1" t="s">
        <v>34</v>
      </c>
      <c r="V1042" s="1" t="s">
        <v>34</v>
      </c>
      <c r="W1042" s="1" t="s">
        <v>34</v>
      </c>
      <c r="X1042" t="s">
        <v>2860</v>
      </c>
      <c r="Y1042" s="1">
        <v>9.5</v>
      </c>
    </row>
    <row r="1043" spans="1:25" x14ac:dyDescent="0.3">
      <c r="A1043" s="1" t="s">
        <v>2057</v>
      </c>
      <c r="B1043" s="1" t="s">
        <v>118</v>
      </c>
      <c r="C1043" s="1" t="s">
        <v>119</v>
      </c>
      <c r="D1043" s="1" t="s">
        <v>97</v>
      </c>
      <c r="E1043" s="1" t="s">
        <v>29</v>
      </c>
      <c r="F1043" s="1" t="s">
        <v>54</v>
      </c>
      <c r="G1043" s="2">
        <v>393.71</v>
      </c>
      <c r="H1043" s="1">
        <v>6</v>
      </c>
      <c r="I1043" s="1">
        <v>280</v>
      </c>
      <c r="J1043" s="1">
        <v>243</v>
      </c>
      <c r="K1043" s="1">
        <v>90</v>
      </c>
      <c r="L1043" s="1">
        <v>61</v>
      </c>
      <c r="M1043" s="1" t="s">
        <v>41</v>
      </c>
      <c r="N1043" s="1" t="s">
        <v>60</v>
      </c>
      <c r="O1043" t="s">
        <v>161</v>
      </c>
      <c r="P1043" s="2">
        <v>275.60000000000002</v>
      </c>
      <c r="Q1043" s="1" t="str">
        <f>IF(J99&gt;K99,"YES","NO")</f>
        <v>YES</v>
      </c>
      <c r="R1043" s="2">
        <f>IF(Q99="YES",G99*0.9,G99)</f>
        <v>354.339</v>
      </c>
      <c r="S1043" s="2">
        <f>J99*G99</f>
        <v>95671.53</v>
      </c>
      <c r="T1043" s="1">
        <f ca="1">TODAY()-DATE(MID(O99,7,4),MID(O99,4,2),LEFT(O99,2))</f>
        <v>69</v>
      </c>
      <c r="U1043" s="1" t="s">
        <v>34</v>
      </c>
      <c r="V1043" s="1" t="s">
        <v>34</v>
      </c>
      <c r="W1043" s="1" t="s">
        <v>34</v>
      </c>
      <c r="X1043" t="s">
        <v>2740</v>
      </c>
      <c r="Y1043" s="1">
        <v>9.5</v>
      </c>
    </row>
    <row r="1044" spans="1:25" x14ac:dyDescent="0.3">
      <c r="A1044" s="1" t="s">
        <v>2058</v>
      </c>
      <c r="B1044" s="1" t="s">
        <v>26</v>
      </c>
      <c r="C1044" s="1" t="s">
        <v>27</v>
      </c>
      <c r="D1044" s="1" t="s">
        <v>28</v>
      </c>
      <c r="E1044" s="1" t="s">
        <v>29</v>
      </c>
      <c r="F1044" s="1" t="s">
        <v>30</v>
      </c>
      <c r="G1044" s="2">
        <v>349.41</v>
      </c>
      <c r="H1044" s="1">
        <v>25</v>
      </c>
      <c r="I1044" s="1">
        <v>81</v>
      </c>
      <c r="J1044" s="1">
        <v>49</v>
      </c>
      <c r="K1044" s="1">
        <v>101</v>
      </c>
      <c r="L1044" s="1">
        <v>86</v>
      </c>
      <c r="M1044" s="1" t="s">
        <v>41</v>
      </c>
      <c r="N1044" s="1" t="s">
        <v>60</v>
      </c>
      <c r="O1044" t="s">
        <v>187</v>
      </c>
      <c r="P1044" s="2">
        <v>244.59</v>
      </c>
      <c r="Q1044" s="1" t="str">
        <f>IF(J602&gt;K602,"YES","NO")</f>
        <v>NO</v>
      </c>
      <c r="R1044" s="2">
        <f>IF(Q602="YES",G602*0.9,G602)</f>
        <v>349.41</v>
      </c>
      <c r="S1044" s="2">
        <f>J602*G602</f>
        <v>17121.09</v>
      </c>
      <c r="T1044" s="1">
        <f ca="1">TODAY()-DATE(MID(O602,7,4),MID(O602,4,2),LEFT(O602,2))</f>
        <v>148</v>
      </c>
      <c r="U1044" s="1" t="s">
        <v>34</v>
      </c>
      <c r="V1044" s="1" t="s">
        <v>34</v>
      </c>
      <c r="W1044" s="1" t="s">
        <v>34</v>
      </c>
      <c r="X1044" t="s">
        <v>2638</v>
      </c>
      <c r="Y1044" s="1">
        <v>6</v>
      </c>
    </row>
    <row r="1045" spans="1:25" x14ac:dyDescent="0.3">
      <c r="A1045" s="1" t="s">
        <v>2059</v>
      </c>
      <c r="B1045" s="1" t="s">
        <v>63</v>
      </c>
      <c r="C1045" s="1" t="s">
        <v>64</v>
      </c>
      <c r="D1045" s="1" t="s">
        <v>28</v>
      </c>
      <c r="E1045" s="1" t="s">
        <v>74</v>
      </c>
      <c r="F1045" s="1" t="s">
        <v>54</v>
      </c>
      <c r="G1045" s="2">
        <v>87.03</v>
      </c>
      <c r="H1045" s="1">
        <v>15</v>
      </c>
      <c r="I1045" s="1">
        <v>88</v>
      </c>
      <c r="J1045" s="1">
        <v>48</v>
      </c>
      <c r="K1045" s="1">
        <v>89</v>
      </c>
      <c r="L1045" s="1">
        <v>125</v>
      </c>
      <c r="M1045" s="1" t="s">
        <v>49</v>
      </c>
      <c r="N1045" s="1" t="s">
        <v>42</v>
      </c>
      <c r="O1045" t="s">
        <v>75</v>
      </c>
      <c r="P1045" s="2">
        <v>60.92</v>
      </c>
      <c r="Q1045" s="1" t="str">
        <f>IF(J365&gt;K365,"YES","NO")</f>
        <v>NO</v>
      </c>
      <c r="R1045" s="2">
        <f>IF(Q365="YES",G365*0.9,G365)</f>
        <v>87.03</v>
      </c>
      <c r="S1045" s="2">
        <f>J365*G365</f>
        <v>4177.4400000000005</v>
      </c>
      <c r="T1045" s="1">
        <f ca="1">TODAY()-DATE(MID(O365,7,4),MID(O365,4,2),LEFT(O365,2))</f>
        <v>123</v>
      </c>
      <c r="U1045" s="1" t="s">
        <v>34</v>
      </c>
      <c r="V1045" s="1" t="s">
        <v>34</v>
      </c>
      <c r="W1045" s="1" t="s">
        <v>34</v>
      </c>
      <c r="X1045" t="s">
        <v>2575</v>
      </c>
      <c r="Y1045" s="1">
        <v>7.5</v>
      </c>
    </row>
    <row r="1046" spans="1:25" x14ac:dyDescent="0.3">
      <c r="A1046" s="1" t="s">
        <v>2060</v>
      </c>
      <c r="B1046" s="1" t="s">
        <v>111</v>
      </c>
      <c r="C1046" s="1" t="s">
        <v>112</v>
      </c>
      <c r="D1046" s="1" t="s">
        <v>97</v>
      </c>
      <c r="E1046" s="1" t="s">
        <v>29</v>
      </c>
      <c r="F1046" s="1" t="s">
        <v>48</v>
      </c>
      <c r="G1046" s="2">
        <v>176.39</v>
      </c>
      <c r="H1046" s="1">
        <v>25</v>
      </c>
      <c r="I1046" s="1">
        <v>294</v>
      </c>
      <c r="J1046" s="1">
        <v>274</v>
      </c>
      <c r="K1046" s="1">
        <v>52</v>
      </c>
      <c r="L1046" s="1">
        <v>129</v>
      </c>
      <c r="M1046" s="1" t="s">
        <v>49</v>
      </c>
      <c r="N1046" s="1" t="s">
        <v>42</v>
      </c>
      <c r="O1046" t="s">
        <v>333</v>
      </c>
      <c r="P1046" s="2">
        <v>123.47</v>
      </c>
      <c r="Q1046" s="1" t="str">
        <f>IF(J161&gt;K161,"YES","NO")</f>
        <v>YES</v>
      </c>
      <c r="R1046" s="2">
        <f>IF(Q161="YES",G161*0.9,G161)</f>
        <v>158.751</v>
      </c>
      <c r="S1046" s="2">
        <f>J161*G161</f>
        <v>48330.859999999993</v>
      </c>
      <c r="T1046" s="1">
        <f ca="1">TODAY()-DATE(MID(O161,7,4),MID(O161,4,2),LEFT(O161,2))</f>
        <v>109</v>
      </c>
      <c r="U1046" s="1" t="s">
        <v>34</v>
      </c>
      <c r="V1046" s="1" t="s">
        <v>34</v>
      </c>
      <c r="W1046" s="1" t="s">
        <v>34</v>
      </c>
      <c r="X1046" t="s">
        <v>2537</v>
      </c>
      <c r="Y1046" s="1">
        <v>5.5</v>
      </c>
    </row>
    <row r="1047" spans="1:25" x14ac:dyDescent="0.3">
      <c r="A1047" s="1" t="s">
        <v>2061</v>
      </c>
      <c r="B1047" s="1" t="s">
        <v>77</v>
      </c>
      <c r="C1047" s="1" t="s">
        <v>78</v>
      </c>
      <c r="D1047" s="1" t="s">
        <v>47</v>
      </c>
      <c r="E1047" s="1" t="s">
        <v>74</v>
      </c>
      <c r="F1047" s="1" t="s">
        <v>30</v>
      </c>
      <c r="G1047" s="2">
        <v>55.08</v>
      </c>
      <c r="H1047" s="1">
        <v>23</v>
      </c>
      <c r="I1047" s="1">
        <v>212</v>
      </c>
      <c r="J1047" s="1">
        <v>172</v>
      </c>
      <c r="K1047" s="1">
        <v>57</v>
      </c>
      <c r="L1047" s="1">
        <v>84</v>
      </c>
      <c r="M1047" s="1" t="s">
        <v>41</v>
      </c>
      <c r="N1047" s="1" t="s">
        <v>42</v>
      </c>
      <c r="O1047" t="s">
        <v>292</v>
      </c>
      <c r="P1047" s="2">
        <v>38.56</v>
      </c>
      <c r="Q1047" s="1" t="str">
        <f>IF(J297&gt;K297,"YES","NO")</f>
        <v>YES</v>
      </c>
      <c r="R1047" s="2">
        <f>IF(Q297="YES",G297*0.9,G297)</f>
        <v>49.572000000000003</v>
      </c>
      <c r="S1047" s="2">
        <f>J297*G297</f>
        <v>9473.76</v>
      </c>
      <c r="T1047" s="1">
        <f ca="1">TODAY()-DATE(MID(O297,7,4),MID(O297,4,2),LEFT(O297,2))</f>
        <v>83</v>
      </c>
      <c r="U1047" s="1" t="s">
        <v>34</v>
      </c>
      <c r="V1047" s="1" t="s">
        <v>34</v>
      </c>
      <c r="W1047" s="1" t="s">
        <v>34</v>
      </c>
      <c r="X1047" t="s">
        <v>2740</v>
      </c>
      <c r="Y1047" s="1">
        <v>8.5</v>
      </c>
    </row>
    <row r="1048" spans="1:25" x14ac:dyDescent="0.3">
      <c r="A1048" s="1" t="s">
        <v>2062</v>
      </c>
      <c r="B1048" s="1" t="s">
        <v>197</v>
      </c>
      <c r="C1048" s="1" t="s">
        <v>198</v>
      </c>
      <c r="D1048" s="1" t="s">
        <v>104</v>
      </c>
      <c r="E1048" s="1" t="s">
        <v>29</v>
      </c>
      <c r="F1048" s="1" t="s">
        <v>30</v>
      </c>
      <c r="G1048" s="2">
        <v>114.95</v>
      </c>
      <c r="H1048" s="1">
        <v>21</v>
      </c>
      <c r="I1048" s="1">
        <v>178</v>
      </c>
      <c r="J1048" s="1">
        <v>149</v>
      </c>
      <c r="K1048" s="1">
        <v>85</v>
      </c>
      <c r="L1048" s="1">
        <v>92</v>
      </c>
      <c r="M1048" s="1" t="s">
        <v>49</v>
      </c>
      <c r="N1048" s="1" t="s">
        <v>60</v>
      </c>
      <c r="O1048" t="s">
        <v>266</v>
      </c>
      <c r="P1048" s="2">
        <v>80.47</v>
      </c>
      <c r="Q1048" s="1" t="str">
        <f>IF(J573&gt;K573,"YES","NO")</f>
        <v>YES</v>
      </c>
      <c r="R1048" s="2">
        <f>IF(Q573="YES",G573*0.9,G573)</f>
        <v>103.455</v>
      </c>
      <c r="S1048" s="2">
        <f>J573*G573</f>
        <v>17127.55</v>
      </c>
      <c r="T1048" s="1">
        <f ca="1">TODAY()-DATE(MID(O573,7,4),MID(O573,4,2),LEFT(O573,2))</f>
        <v>139</v>
      </c>
      <c r="U1048" s="1" t="s">
        <v>34</v>
      </c>
      <c r="V1048" s="1" t="s">
        <v>34</v>
      </c>
      <c r="W1048" s="1" t="s">
        <v>34</v>
      </c>
      <c r="X1048" t="s">
        <v>2638</v>
      </c>
      <c r="Y1048" s="1">
        <v>6.5</v>
      </c>
    </row>
    <row r="1049" spans="1:25" x14ac:dyDescent="0.3">
      <c r="A1049" s="1" t="s">
        <v>2063</v>
      </c>
      <c r="B1049" s="1" t="s">
        <v>111</v>
      </c>
      <c r="C1049" s="1" t="s">
        <v>112</v>
      </c>
      <c r="D1049" s="1" t="s">
        <v>97</v>
      </c>
      <c r="E1049" s="1" t="s">
        <v>74</v>
      </c>
      <c r="F1049" s="1" t="s">
        <v>54</v>
      </c>
      <c r="G1049" s="2">
        <v>348.35</v>
      </c>
      <c r="H1049" s="1">
        <v>19</v>
      </c>
      <c r="I1049" s="1">
        <v>156</v>
      </c>
      <c r="J1049" s="1">
        <v>125</v>
      </c>
      <c r="K1049" s="1">
        <v>100</v>
      </c>
      <c r="L1049" s="1">
        <v>90</v>
      </c>
      <c r="M1049" s="1" t="s">
        <v>41</v>
      </c>
      <c r="N1049" s="1" t="s">
        <v>42</v>
      </c>
      <c r="O1049" t="s">
        <v>229</v>
      </c>
      <c r="P1049" s="2">
        <v>243.84</v>
      </c>
      <c r="Q1049" s="1" t="str">
        <f>IF(J192&gt;K192,"YES","NO")</f>
        <v>YES</v>
      </c>
      <c r="R1049" s="2">
        <f>IF(Q192="YES",G192*0.9,G192)</f>
        <v>313.51500000000004</v>
      </c>
      <c r="S1049" s="2">
        <f>J192*G192</f>
        <v>43543.75</v>
      </c>
      <c r="T1049" s="1">
        <f ca="1">TODAY()-DATE(MID(O192,7,4),MID(O192,4,2),LEFT(O192,2))</f>
        <v>128</v>
      </c>
      <c r="U1049" s="1" t="s">
        <v>34</v>
      </c>
      <c r="V1049" s="1" t="s">
        <v>34</v>
      </c>
      <c r="W1049" s="1" t="s">
        <v>34</v>
      </c>
      <c r="X1049" t="s">
        <v>2870</v>
      </c>
      <c r="Y1049" s="1">
        <v>6</v>
      </c>
    </row>
    <row r="1050" spans="1:25" x14ac:dyDescent="0.3">
      <c r="A1050" s="1" t="s">
        <v>2064</v>
      </c>
      <c r="B1050" s="1" t="s">
        <v>189</v>
      </c>
      <c r="C1050" s="1" t="s">
        <v>190</v>
      </c>
      <c r="D1050" s="1" t="s">
        <v>59</v>
      </c>
      <c r="E1050" s="1" t="s">
        <v>74</v>
      </c>
      <c r="F1050" s="1" t="s">
        <v>54</v>
      </c>
      <c r="G1050" s="2">
        <v>251.25</v>
      </c>
      <c r="H1050" s="1">
        <v>12</v>
      </c>
      <c r="I1050" s="1">
        <v>293</v>
      </c>
      <c r="J1050" s="1">
        <v>256</v>
      </c>
      <c r="K1050" s="1">
        <v>119</v>
      </c>
      <c r="L1050" s="1">
        <v>131</v>
      </c>
      <c r="M1050" s="1" t="s">
        <v>31</v>
      </c>
      <c r="N1050" s="1" t="s">
        <v>60</v>
      </c>
      <c r="O1050" t="s">
        <v>150</v>
      </c>
      <c r="P1050" s="2">
        <v>175.88</v>
      </c>
      <c r="Q1050" s="1" t="str">
        <f>IF(J130&gt;K130,"YES","NO")</f>
        <v>YES</v>
      </c>
      <c r="R1050" s="2">
        <f>IF(Q130="YES",G130*0.9,G130)</f>
        <v>226.125</v>
      </c>
      <c r="S1050" s="2">
        <f>J130*G130</f>
        <v>64320</v>
      </c>
      <c r="T1050" s="1">
        <f ca="1">TODAY()-DATE(MID(O130,7,4),MID(O130,4,2),LEFT(O130,2))</f>
        <v>116</v>
      </c>
      <c r="U1050" s="1" t="s">
        <v>34</v>
      </c>
      <c r="V1050" s="1" t="s">
        <v>34</v>
      </c>
      <c r="W1050" s="1" t="s">
        <v>34</v>
      </c>
      <c r="X1050" t="s">
        <v>2746</v>
      </c>
      <c r="Y1050" s="1">
        <v>5</v>
      </c>
    </row>
    <row r="1051" spans="1:25" x14ac:dyDescent="0.3">
      <c r="A1051" s="1" t="s">
        <v>2065</v>
      </c>
      <c r="B1051" s="1" t="s">
        <v>57</v>
      </c>
      <c r="C1051" s="1" t="s">
        <v>58</v>
      </c>
      <c r="D1051" s="1" t="s">
        <v>59</v>
      </c>
      <c r="E1051" s="1" t="s">
        <v>29</v>
      </c>
      <c r="F1051" s="1" t="s">
        <v>54</v>
      </c>
      <c r="G1051" s="2">
        <v>480.06</v>
      </c>
      <c r="H1051" s="1">
        <v>20</v>
      </c>
      <c r="I1051" s="1">
        <v>166</v>
      </c>
      <c r="J1051" s="1">
        <v>158</v>
      </c>
      <c r="K1051" s="1">
        <v>42</v>
      </c>
      <c r="L1051" s="1">
        <v>65</v>
      </c>
      <c r="M1051" s="1" t="s">
        <v>41</v>
      </c>
      <c r="N1051" s="1" t="s">
        <v>32</v>
      </c>
      <c r="O1051" t="s">
        <v>50</v>
      </c>
      <c r="P1051" s="2">
        <v>336.04</v>
      </c>
      <c r="Q1051" s="1" t="str">
        <f>IF(J42&gt;K42,"YES","NO")</f>
        <v>YES</v>
      </c>
      <c r="R1051" s="2">
        <f>IF(Q42="YES",G42*0.9,G42)</f>
        <v>432.05400000000003</v>
      </c>
      <c r="S1051" s="2">
        <f>J42*G42</f>
        <v>75849.48</v>
      </c>
      <c r="T1051" s="1">
        <f ca="1">TODAY()-DATE(MID(O42,7,4),MID(O42,4,2),LEFT(O42,2))</f>
        <v>114</v>
      </c>
      <c r="U1051" s="1" t="s">
        <v>34</v>
      </c>
      <c r="V1051" s="1" t="s">
        <v>34</v>
      </c>
      <c r="W1051" s="1" t="s">
        <v>34</v>
      </c>
      <c r="X1051" t="s">
        <v>2604</v>
      </c>
      <c r="Y1051" s="1">
        <v>6</v>
      </c>
    </row>
    <row r="1052" spans="1:25" x14ac:dyDescent="0.3">
      <c r="A1052" s="1" t="s">
        <v>2066</v>
      </c>
      <c r="B1052" s="1" t="s">
        <v>83</v>
      </c>
      <c r="C1052" s="1" t="s">
        <v>84</v>
      </c>
      <c r="D1052" s="1" t="s">
        <v>85</v>
      </c>
      <c r="E1052" s="1" t="s">
        <v>29</v>
      </c>
      <c r="F1052" s="1" t="s">
        <v>30</v>
      </c>
      <c r="G1052" s="2">
        <v>299.74</v>
      </c>
      <c r="H1052" s="1">
        <v>18</v>
      </c>
      <c r="I1052" s="1">
        <v>177</v>
      </c>
      <c r="J1052" s="1">
        <v>146</v>
      </c>
      <c r="K1052" s="1">
        <v>72</v>
      </c>
      <c r="L1052" s="1">
        <v>121</v>
      </c>
      <c r="M1052" s="1" t="s">
        <v>31</v>
      </c>
      <c r="N1052" s="1" t="s">
        <v>32</v>
      </c>
      <c r="O1052" t="s">
        <v>86</v>
      </c>
      <c r="P1052" s="2">
        <v>209.82</v>
      </c>
      <c r="Q1052" s="1" t="str">
        <f>IF(J13&gt;K13,"YES","NO")</f>
        <v>YES</v>
      </c>
      <c r="R1052" s="2">
        <f>IF(Q13="YES",G13*0.9,G13)</f>
        <v>269.76600000000002</v>
      </c>
      <c r="S1052" s="2">
        <f>J13*G13</f>
        <v>43762.04</v>
      </c>
      <c r="T1052" s="1">
        <f ca="1">TODAY()-DATE(MID(O13,7,4),MID(O13,4,2),LEFT(O13,2))</f>
        <v>121</v>
      </c>
      <c r="U1052" s="1" t="s">
        <v>34</v>
      </c>
      <c r="V1052" s="1" t="s">
        <v>34</v>
      </c>
      <c r="W1052" s="1" t="s">
        <v>34</v>
      </c>
      <c r="X1052" t="s">
        <v>2896</v>
      </c>
      <c r="Y1052" s="1">
        <v>6.5</v>
      </c>
    </row>
    <row r="1053" spans="1:25" x14ac:dyDescent="0.3">
      <c r="A1053" s="1" t="s">
        <v>2067</v>
      </c>
      <c r="B1053" s="1" t="s">
        <v>166</v>
      </c>
      <c r="C1053" s="1" t="s">
        <v>167</v>
      </c>
      <c r="D1053" s="1" t="s">
        <v>59</v>
      </c>
      <c r="E1053" s="1" t="s">
        <v>40</v>
      </c>
      <c r="F1053" s="1" t="s">
        <v>30</v>
      </c>
      <c r="G1053" s="2">
        <v>481.02</v>
      </c>
      <c r="H1053" s="1">
        <v>13</v>
      </c>
      <c r="I1053" s="1">
        <v>289</v>
      </c>
      <c r="J1053" s="1">
        <v>289</v>
      </c>
      <c r="K1053" s="1">
        <v>118</v>
      </c>
      <c r="L1053" s="1">
        <v>74</v>
      </c>
      <c r="M1053" s="1" t="s">
        <v>41</v>
      </c>
      <c r="N1053" s="1" t="s">
        <v>60</v>
      </c>
      <c r="O1053" t="s">
        <v>145</v>
      </c>
      <c r="P1053" s="2">
        <v>336.71</v>
      </c>
      <c r="Q1053" s="1" t="str">
        <f>IF(J204&gt;K204,"YES","NO")</f>
        <v>YES</v>
      </c>
      <c r="R1053" s="2">
        <f>IF(Q204="YES",G204*0.9,G204)</f>
        <v>432.91800000000001</v>
      </c>
      <c r="S1053" s="2">
        <f>J204*G204</f>
        <v>139014.78</v>
      </c>
      <c r="T1053" s="1">
        <f ca="1">TODAY()-DATE(MID(O204,7,4),MID(O204,4,2),LEFT(O204,2))</f>
        <v>68</v>
      </c>
      <c r="U1053" s="1" t="s">
        <v>34</v>
      </c>
      <c r="V1053" s="1" t="s">
        <v>34</v>
      </c>
      <c r="W1053" s="1" t="s">
        <v>34</v>
      </c>
      <c r="X1053" t="s">
        <v>2646</v>
      </c>
      <c r="Y1053" s="1">
        <v>7</v>
      </c>
    </row>
    <row r="1054" spans="1:25" x14ac:dyDescent="0.3">
      <c r="A1054" s="1" t="s">
        <v>2068</v>
      </c>
      <c r="B1054" s="1" t="s">
        <v>192</v>
      </c>
      <c r="C1054" s="1" t="s">
        <v>193</v>
      </c>
      <c r="D1054" s="1" t="s">
        <v>85</v>
      </c>
      <c r="E1054" s="1" t="s">
        <v>74</v>
      </c>
      <c r="F1054" s="1" t="s">
        <v>48</v>
      </c>
      <c r="G1054" s="2">
        <v>161.04</v>
      </c>
      <c r="H1054" s="1">
        <v>17</v>
      </c>
      <c r="I1054" s="1">
        <v>176</v>
      </c>
      <c r="J1054" s="1">
        <v>167</v>
      </c>
      <c r="K1054" s="1">
        <v>95</v>
      </c>
      <c r="L1054" s="1">
        <v>76</v>
      </c>
      <c r="M1054" s="1" t="s">
        <v>31</v>
      </c>
      <c r="N1054" s="1" t="s">
        <v>42</v>
      </c>
      <c r="O1054" t="s">
        <v>410</v>
      </c>
      <c r="P1054" s="2">
        <v>112.73</v>
      </c>
      <c r="Q1054" s="1" t="str">
        <f>IF(J227&gt;K227,"YES","NO")</f>
        <v>YES</v>
      </c>
      <c r="R1054" s="2">
        <f>IF(Q227="YES",G227*0.9,G227)</f>
        <v>144.93600000000001</v>
      </c>
      <c r="S1054" s="2">
        <f>J227*G227</f>
        <v>26893.68</v>
      </c>
      <c r="T1054" s="1">
        <f ca="1">TODAY()-DATE(MID(O227,7,4),MID(O227,4,2),LEFT(O227,2))</f>
        <v>136</v>
      </c>
      <c r="U1054" s="1" t="s">
        <v>34</v>
      </c>
      <c r="V1054" s="1" t="s">
        <v>34</v>
      </c>
      <c r="W1054" s="1" t="s">
        <v>34</v>
      </c>
      <c r="X1054" t="s">
        <v>2774</v>
      </c>
      <c r="Y1054" s="1">
        <v>8.5</v>
      </c>
    </row>
    <row r="1055" spans="1:25" x14ac:dyDescent="0.3">
      <c r="A1055" s="1" t="s">
        <v>2069</v>
      </c>
      <c r="B1055" s="1" t="s">
        <v>83</v>
      </c>
      <c r="C1055" s="1" t="s">
        <v>84</v>
      </c>
      <c r="D1055" s="1" t="s">
        <v>85</v>
      </c>
      <c r="E1055" s="1" t="s">
        <v>40</v>
      </c>
      <c r="F1055" s="1" t="s">
        <v>48</v>
      </c>
      <c r="G1055" s="2">
        <v>430.7</v>
      </c>
      <c r="H1055" s="1">
        <v>15</v>
      </c>
      <c r="I1055" s="1">
        <v>237</v>
      </c>
      <c r="J1055" s="1">
        <v>237</v>
      </c>
      <c r="K1055" s="1">
        <v>80</v>
      </c>
      <c r="L1055" s="1">
        <v>103</v>
      </c>
      <c r="M1055" s="1" t="s">
        <v>41</v>
      </c>
      <c r="N1055" s="1" t="s">
        <v>60</v>
      </c>
      <c r="O1055" t="s">
        <v>220</v>
      </c>
      <c r="P1055" s="2">
        <v>301.49</v>
      </c>
      <c r="Q1055" s="1" t="str">
        <f>IF(J230&gt;K230,"YES","NO")</f>
        <v>YES</v>
      </c>
      <c r="R1055" s="2">
        <f>IF(Q230="YES",G230*0.9,G230)</f>
        <v>387.63</v>
      </c>
      <c r="S1055" s="2">
        <f>J230*G230</f>
        <v>102075.9</v>
      </c>
      <c r="T1055" s="1">
        <f ca="1">TODAY()-DATE(MID(O230,7,4),MID(O230,4,2),LEFT(O230,2))</f>
        <v>106</v>
      </c>
      <c r="U1055" s="1" t="s">
        <v>34</v>
      </c>
      <c r="V1055" s="1" t="s">
        <v>34</v>
      </c>
      <c r="W1055" s="1" t="s">
        <v>34</v>
      </c>
      <c r="X1055" t="s">
        <v>2532</v>
      </c>
      <c r="Y1055" s="1">
        <v>5</v>
      </c>
    </row>
    <row r="1056" spans="1:25" x14ac:dyDescent="0.3">
      <c r="A1056" s="1" t="s">
        <v>2070</v>
      </c>
      <c r="B1056" s="1" t="s">
        <v>37</v>
      </c>
      <c r="C1056" s="1" t="s">
        <v>38</v>
      </c>
      <c r="D1056" s="1" t="s">
        <v>39</v>
      </c>
      <c r="E1056" s="1" t="s">
        <v>40</v>
      </c>
      <c r="F1056" s="1" t="s">
        <v>54</v>
      </c>
      <c r="G1056" s="2">
        <v>128.41</v>
      </c>
      <c r="H1056" s="1">
        <v>15</v>
      </c>
      <c r="I1056" s="1">
        <v>291</v>
      </c>
      <c r="J1056" s="1">
        <v>273</v>
      </c>
      <c r="K1056" s="1">
        <v>52</v>
      </c>
      <c r="L1056" s="1">
        <v>65</v>
      </c>
      <c r="M1056" s="1" t="s">
        <v>49</v>
      </c>
      <c r="N1056" s="1" t="s">
        <v>42</v>
      </c>
      <c r="O1056" t="s">
        <v>361</v>
      </c>
      <c r="P1056" s="2">
        <v>89.89</v>
      </c>
      <c r="Q1056" s="1" t="str">
        <f>IF(J400&gt;K400,"YES","NO")</f>
        <v>YES</v>
      </c>
      <c r="R1056" s="2">
        <f>IF(Q400="YES",G400*0.9,G400)</f>
        <v>115.569</v>
      </c>
      <c r="S1056" s="2">
        <f>J400*G400</f>
        <v>35055.93</v>
      </c>
      <c r="T1056" s="1">
        <f ca="1">TODAY()-DATE(MID(O400,7,4),MID(O400,4,2),LEFT(O400,2))</f>
        <v>99</v>
      </c>
      <c r="U1056" s="1" t="s">
        <v>34</v>
      </c>
      <c r="V1056" s="1" t="s">
        <v>34</v>
      </c>
      <c r="W1056" s="1" t="s">
        <v>34</v>
      </c>
      <c r="X1056" t="s">
        <v>2709</v>
      </c>
      <c r="Y1056" s="1">
        <v>5</v>
      </c>
    </row>
    <row r="1057" spans="1:25" x14ac:dyDescent="0.3">
      <c r="A1057" s="1" t="s">
        <v>2071</v>
      </c>
      <c r="B1057" s="1" t="s">
        <v>299</v>
      </c>
      <c r="C1057" s="1" t="s">
        <v>300</v>
      </c>
      <c r="D1057" s="1" t="s">
        <v>39</v>
      </c>
      <c r="E1057" s="1" t="s">
        <v>40</v>
      </c>
      <c r="F1057" s="1" t="s">
        <v>54</v>
      </c>
      <c r="G1057" s="2">
        <v>113.38</v>
      </c>
      <c r="H1057" s="1">
        <v>17</v>
      </c>
      <c r="I1057" s="1">
        <v>154</v>
      </c>
      <c r="J1057" s="1">
        <v>115</v>
      </c>
      <c r="K1057" s="1">
        <v>73</v>
      </c>
      <c r="L1057" s="1">
        <v>79</v>
      </c>
      <c r="M1057" s="1" t="s">
        <v>49</v>
      </c>
      <c r="N1057" s="1" t="s">
        <v>32</v>
      </c>
      <c r="O1057" t="s">
        <v>159</v>
      </c>
      <c r="P1057" s="2">
        <v>79.37</v>
      </c>
      <c r="Q1057" s="1" t="str">
        <f>IF(J370&gt;K370,"YES","NO")</f>
        <v>YES</v>
      </c>
      <c r="R1057" s="2">
        <f>IF(Q370="YES",G370*0.9,G370)</f>
        <v>102.042</v>
      </c>
      <c r="S1057" s="2">
        <f>J370*G370</f>
        <v>13038.699999999999</v>
      </c>
      <c r="T1057" s="1">
        <f ca="1">TODAY()-DATE(MID(O370,7,4),MID(O370,4,2),LEFT(O370,2))</f>
        <v>134</v>
      </c>
      <c r="U1057" s="1" t="s">
        <v>34</v>
      </c>
      <c r="V1057" s="1" t="s">
        <v>34</v>
      </c>
      <c r="W1057" s="1" t="s">
        <v>34</v>
      </c>
      <c r="X1057" t="s">
        <v>2897</v>
      </c>
      <c r="Y1057" s="1">
        <v>5</v>
      </c>
    </row>
    <row r="1058" spans="1:25" x14ac:dyDescent="0.3">
      <c r="A1058" s="1" t="s">
        <v>2072</v>
      </c>
      <c r="B1058" s="1" t="s">
        <v>83</v>
      </c>
      <c r="C1058" s="1" t="s">
        <v>84</v>
      </c>
      <c r="D1058" s="1" t="s">
        <v>85</v>
      </c>
      <c r="E1058" s="1" t="s">
        <v>74</v>
      </c>
      <c r="F1058" s="1" t="s">
        <v>54</v>
      </c>
      <c r="G1058" s="2">
        <v>42.18</v>
      </c>
      <c r="H1058" s="1">
        <v>19</v>
      </c>
      <c r="I1058" s="1">
        <v>134</v>
      </c>
      <c r="J1058" s="1">
        <v>118</v>
      </c>
      <c r="K1058" s="1">
        <v>93</v>
      </c>
      <c r="L1058" s="1">
        <v>113</v>
      </c>
      <c r="M1058" s="1" t="s">
        <v>41</v>
      </c>
      <c r="N1058" s="1" t="s">
        <v>42</v>
      </c>
      <c r="O1058" t="s">
        <v>88</v>
      </c>
      <c r="P1058" s="2">
        <v>29.53</v>
      </c>
      <c r="Q1058" s="1" t="str">
        <f>IF(J14&gt;K14,"YES","NO")</f>
        <v>YES</v>
      </c>
      <c r="R1058" s="2">
        <f>IF(Q14="YES",G14*0.9,G14)</f>
        <v>37.962000000000003</v>
      </c>
      <c r="S1058" s="2">
        <f>J14*G14</f>
        <v>4977.24</v>
      </c>
      <c r="T1058" s="1">
        <f ca="1">TODAY()-DATE(MID(O14,7,4),MID(O14,4,2),LEFT(O14,2))</f>
        <v>124</v>
      </c>
      <c r="U1058" s="1" t="s">
        <v>34</v>
      </c>
      <c r="V1058" s="1" t="s">
        <v>34</v>
      </c>
      <c r="W1058" s="1" t="s">
        <v>34</v>
      </c>
      <c r="X1058" t="s">
        <v>2885</v>
      </c>
      <c r="Y1058" s="1">
        <v>7</v>
      </c>
    </row>
    <row r="1059" spans="1:25" x14ac:dyDescent="0.3">
      <c r="A1059" s="1" t="s">
        <v>2073</v>
      </c>
      <c r="B1059" s="1" t="s">
        <v>126</v>
      </c>
      <c r="C1059" s="1" t="s">
        <v>127</v>
      </c>
      <c r="D1059" s="1" t="s">
        <v>85</v>
      </c>
      <c r="E1059" s="1" t="s">
        <v>40</v>
      </c>
      <c r="F1059" s="1" t="s">
        <v>54</v>
      </c>
      <c r="G1059" s="2">
        <v>262.04000000000002</v>
      </c>
      <c r="H1059" s="1">
        <v>24</v>
      </c>
      <c r="I1059" s="1">
        <v>126</v>
      </c>
      <c r="J1059" s="1">
        <v>114</v>
      </c>
      <c r="K1059" s="1">
        <v>111</v>
      </c>
      <c r="L1059" s="1">
        <v>148</v>
      </c>
      <c r="M1059" s="1" t="s">
        <v>41</v>
      </c>
      <c r="N1059" s="1" t="s">
        <v>60</v>
      </c>
      <c r="O1059" t="s">
        <v>240</v>
      </c>
      <c r="P1059" s="2">
        <v>183.43</v>
      </c>
      <c r="Q1059" s="1" t="str">
        <f>IF(J558&gt;K558,"YES","NO")</f>
        <v>YES</v>
      </c>
      <c r="R1059" s="2">
        <f>IF(Q558="YES",G558*0.9,G558)</f>
        <v>235.83600000000001</v>
      </c>
      <c r="S1059" s="2">
        <f>J558*G558</f>
        <v>29872.560000000001</v>
      </c>
      <c r="T1059" s="1">
        <f ca="1">TODAY()-DATE(MID(O558,7,4),MID(O558,4,2),LEFT(O558,2))</f>
        <v>111</v>
      </c>
      <c r="U1059" s="1" t="s">
        <v>34</v>
      </c>
      <c r="V1059" s="1" t="s">
        <v>34</v>
      </c>
      <c r="W1059" s="1" t="s">
        <v>34</v>
      </c>
      <c r="X1059" t="s">
        <v>2895</v>
      </c>
      <c r="Y1059" s="1">
        <v>9</v>
      </c>
    </row>
    <row r="1060" spans="1:25" x14ac:dyDescent="0.3">
      <c r="A1060" s="1" t="s">
        <v>2074</v>
      </c>
      <c r="B1060" s="1" t="s">
        <v>57</v>
      </c>
      <c r="C1060" s="1" t="s">
        <v>58</v>
      </c>
      <c r="D1060" s="1" t="s">
        <v>59</v>
      </c>
      <c r="E1060" s="1" t="s">
        <v>40</v>
      </c>
      <c r="F1060" s="1" t="s">
        <v>54</v>
      </c>
      <c r="G1060" s="2">
        <v>479.73</v>
      </c>
      <c r="H1060" s="1">
        <v>3</v>
      </c>
      <c r="I1060" s="1">
        <v>137</v>
      </c>
      <c r="J1060" s="1">
        <v>124</v>
      </c>
      <c r="K1060" s="1">
        <v>87</v>
      </c>
      <c r="L1060" s="1">
        <v>92</v>
      </c>
      <c r="M1060" s="1" t="s">
        <v>31</v>
      </c>
      <c r="N1060" s="1" t="s">
        <v>32</v>
      </c>
      <c r="O1060" t="s">
        <v>257</v>
      </c>
      <c r="P1060" s="2">
        <v>335.81</v>
      </c>
      <c r="Q1060" s="1" t="str">
        <f>IF(J361&gt;K361,"YES","NO")</f>
        <v>YES</v>
      </c>
      <c r="R1060" s="2">
        <f>IF(Q361="YES",G361*0.9,G361)</f>
        <v>431.75700000000001</v>
      </c>
      <c r="S1060" s="2">
        <f>J361*G361</f>
        <v>59486.520000000004</v>
      </c>
      <c r="T1060" s="1">
        <f ca="1">TODAY()-DATE(MID(O361,7,4),MID(O361,4,2),LEFT(O361,2))</f>
        <v>113</v>
      </c>
      <c r="U1060" s="1" t="s">
        <v>34</v>
      </c>
      <c r="V1060" s="1" t="s">
        <v>34</v>
      </c>
      <c r="W1060" s="1" t="s">
        <v>34</v>
      </c>
      <c r="X1060" t="s">
        <v>2581</v>
      </c>
      <c r="Y1060" s="1">
        <v>5.5</v>
      </c>
    </row>
    <row r="1061" spans="1:25" x14ac:dyDescent="0.3">
      <c r="A1061" s="1" t="s">
        <v>2075</v>
      </c>
      <c r="B1061" s="1" t="s">
        <v>123</v>
      </c>
      <c r="C1061" s="1" t="s">
        <v>124</v>
      </c>
      <c r="D1061" s="1" t="s">
        <v>47</v>
      </c>
      <c r="E1061" s="1" t="s">
        <v>29</v>
      </c>
      <c r="F1061" s="1" t="s">
        <v>48</v>
      </c>
      <c r="G1061" s="2">
        <v>148.08000000000001</v>
      </c>
      <c r="H1061" s="1">
        <v>13</v>
      </c>
      <c r="I1061" s="1">
        <v>111</v>
      </c>
      <c r="J1061" s="1">
        <v>87</v>
      </c>
      <c r="K1061" s="1">
        <v>88</v>
      </c>
      <c r="L1061" s="1">
        <v>112</v>
      </c>
      <c r="M1061" s="1" t="s">
        <v>41</v>
      </c>
      <c r="N1061" s="1" t="s">
        <v>32</v>
      </c>
      <c r="O1061" t="s">
        <v>109</v>
      </c>
      <c r="P1061" s="2">
        <v>103.66</v>
      </c>
      <c r="Q1061" s="1" t="str">
        <f>IF(J542&gt;K542,"YES","NO")</f>
        <v>NO</v>
      </c>
      <c r="R1061" s="2">
        <f>IF(Q542="YES",G542*0.9,G542)</f>
        <v>148.08000000000001</v>
      </c>
      <c r="S1061" s="2">
        <f>J542*G542</f>
        <v>12882.960000000001</v>
      </c>
      <c r="T1061" s="1">
        <f ca="1">TODAY()-DATE(MID(O542,7,4),MID(O542,4,2),LEFT(O542,2))</f>
        <v>89</v>
      </c>
      <c r="U1061" s="1" t="s">
        <v>34</v>
      </c>
      <c r="V1061" s="1" t="s">
        <v>34</v>
      </c>
      <c r="W1061" s="1" t="s">
        <v>34</v>
      </c>
      <c r="X1061" t="s">
        <v>2644</v>
      </c>
      <c r="Y1061" s="1">
        <v>6</v>
      </c>
    </row>
    <row r="1062" spans="1:25" x14ac:dyDescent="0.3">
      <c r="A1062" s="1" t="s">
        <v>2076</v>
      </c>
      <c r="B1062" s="1" t="s">
        <v>197</v>
      </c>
      <c r="C1062" s="1" t="s">
        <v>198</v>
      </c>
      <c r="D1062" s="1" t="s">
        <v>104</v>
      </c>
      <c r="E1062" s="1" t="s">
        <v>40</v>
      </c>
      <c r="F1062" s="1" t="s">
        <v>54</v>
      </c>
      <c r="G1062" s="2">
        <v>496.17</v>
      </c>
      <c r="H1062" s="1">
        <v>5</v>
      </c>
      <c r="I1062" s="1">
        <v>287</v>
      </c>
      <c r="J1062" s="1">
        <v>261</v>
      </c>
      <c r="K1062" s="1">
        <v>61</v>
      </c>
      <c r="L1062" s="1">
        <v>102</v>
      </c>
      <c r="M1062" s="1" t="s">
        <v>41</v>
      </c>
      <c r="N1062" s="1" t="s">
        <v>42</v>
      </c>
      <c r="O1062" t="s">
        <v>289</v>
      </c>
      <c r="P1062" s="2">
        <v>347.32</v>
      </c>
      <c r="Q1062" s="1" t="str">
        <f>IF(J719&gt;K719,"YES","NO")</f>
        <v>YES</v>
      </c>
      <c r="R1062" s="2">
        <f>IF(Q719="YES",G719*0.9,G719)</f>
        <v>446.553</v>
      </c>
      <c r="S1062" s="2">
        <f>J719*G719</f>
        <v>129500.37000000001</v>
      </c>
      <c r="T1062" s="1">
        <f ca="1">TODAY()-DATE(MID(O719,7,4),MID(O719,4,2),LEFT(O719,2))</f>
        <v>92</v>
      </c>
      <c r="U1062" s="1" t="s">
        <v>34</v>
      </c>
      <c r="V1062" s="1" t="s">
        <v>34</v>
      </c>
      <c r="W1062" s="1" t="s">
        <v>34</v>
      </c>
      <c r="X1062" t="s">
        <v>2580</v>
      </c>
      <c r="Y1062" s="1">
        <v>9.5</v>
      </c>
    </row>
    <row r="1063" spans="1:25" x14ac:dyDescent="0.3">
      <c r="A1063" s="1" t="s">
        <v>2077</v>
      </c>
      <c r="B1063" s="1" t="s">
        <v>83</v>
      </c>
      <c r="C1063" s="1" t="s">
        <v>84</v>
      </c>
      <c r="D1063" s="1" t="s">
        <v>85</v>
      </c>
      <c r="E1063" s="1" t="s">
        <v>74</v>
      </c>
      <c r="F1063" s="1" t="s">
        <v>30</v>
      </c>
      <c r="G1063" s="2">
        <v>462.75</v>
      </c>
      <c r="H1063" s="1">
        <v>3</v>
      </c>
      <c r="I1063" s="1">
        <v>85</v>
      </c>
      <c r="J1063" s="1">
        <v>59</v>
      </c>
      <c r="K1063" s="1">
        <v>41</v>
      </c>
      <c r="L1063" s="1">
        <v>150</v>
      </c>
      <c r="M1063" s="1" t="s">
        <v>31</v>
      </c>
      <c r="N1063" s="1" t="s">
        <v>32</v>
      </c>
      <c r="O1063" t="s">
        <v>170</v>
      </c>
      <c r="P1063" s="2">
        <v>323.92</v>
      </c>
      <c r="Q1063" s="1" t="str">
        <f>IF(J50&gt;K50,"YES","NO")</f>
        <v>YES</v>
      </c>
      <c r="R1063" s="2">
        <f>IF(Q50="YES",G50*0.9,G50)</f>
        <v>416.47500000000002</v>
      </c>
      <c r="S1063" s="2">
        <f>J50*G50</f>
        <v>27302.25</v>
      </c>
      <c r="T1063" s="1">
        <f ca="1">TODAY()-DATE(MID(O50,7,4),MID(O50,4,2),LEFT(O50,2))</f>
        <v>95</v>
      </c>
      <c r="U1063" s="1" t="s">
        <v>34</v>
      </c>
      <c r="V1063" s="1" t="s">
        <v>34</v>
      </c>
      <c r="W1063" s="1" t="s">
        <v>34</v>
      </c>
      <c r="X1063" t="s">
        <v>2686</v>
      </c>
      <c r="Y1063" s="1">
        <v>5</v>
      </c>
    </row>
    <row r="1064" spans="1:25" x14ac:dyDescent="0.3">
      <c r="A1064" s="1" t="s">
        <v>2078</v>
      </c>
      <c r="B1064" s="1" t="s">
        <v>130</v>
      </c>
      <c r="C1064" s="1" t="s">
        <v>131</v>
      </c>
      <c r="D1064" s="1" t="s">
        <v>132</v>
      </c>
      <c r="E1064" s="1" t="s">
        <v>29</v>
      </c>
      <c r="F1064" s="1" t="s">
        <v>30</v>
      </c>
      <c r="G1064" s="2">
        <v>161.69999999999999</v>
      </c>
      <c r="H1064" s="1">
        <v>11</v>
      </c>
      <c r="I1064" s="1">
        <v>300</v>
      </c>
      <c r="J1064" s="1">
        <v>279</v>
      </c>
      <c r="K1064" s="1">
        <v>40</v>
      </c>
      <c r="L1064" s="1">
        <v>112</v>
      </c>
      <c r="M1064" s="1" t="s">
        <v>31</v>
      </c>
      <c r="N1064" s="1" t="s">
        <v>42</v>
      </c>
      <c r="O1064" t="s">
        <v>159</v>
      </c>
      <c r="P1064" s="2">
        <v>113.19</v>
      </c>
      <c r="Q1064" s="1" t="str">
        <f>IF(J798&gt;K798,"YES","NO")</f>
        <v>YES</v>
      </c>
      <c r="R1064" s="2">
        <f>IF(Q798="YES",G798*0.9,G798)</f>
        <v>145.53</v>
      </c>
      <c r="S1064" s="2">
        <f>J798*G798</f>
        <v>45114.299999999996</v>
      </c>
      <c r="T1064" s="1">
        <f ca="1">TODAY()-DATE(MID(O798,7,4),MID(O798,4,2),LEFT(O798,2))</f>
        <v>134</v>
      </c>
      <c r="U1064" s="1" t="s">
        <v>34</v>
      </c>
      <c r="V1064" s="1" t="s">
        <v>34</v>
      </c>
      <c r="W1064" s="1" t="s">
        <v>34</v>
      </c>
      <c r="X1064" t="s">
        <v>2770</v>
      </c>
      <c r="Y1064" s="1">
        <v>9</v>
      </c>
    </row>
    <row r="1065" spans="1:25" x14ac:dyDescent="0.3">
      <c r="A1065" s="1" t="s">
        <v>2079</v>
      </c>
      <c r="B1065" s="1" t="s">
        <v>83</v>
      </c>
      <c r="C1065" s="1" t="s">
        <v>84</v>
      </c>
      <c r="D1065" s="1" t="s">
        <v>85</v>
      </c>
      <c r="E1065" s="1" t="s">
        <v>74</v>
      </c>
      <c r="F1065" s="1" t="s">
        <v>30</v>
      </c>
      <c r="G1065" s="2">
        <v>215.99</v>
      </c>
      <c r="H1065" s="1">
        <v>0</v>
      </c>
      <c r="I1065" s="1">
        <v>296</v>
      </c>
      <c r="J1065" s="1">
        <v>273</v>
      </c>
      <c r="K1065" s="1">
        <v>52</v>
      </c>
      <c r="L1065" s="1">
        <v>54</v>
      </c>
      <c r="M1065" s="1" t="s">
        <v>49</v>
      </c>
      <c r="N1065" s="1" t="s">
        <v>42</v>
      </c>
      <c r="O1065" t="s">
        <v>164</v>
      </c>
      <c r="P1065" s="2">
        <v>151.19</v>
      </c>
      <c r="Q1065" s="1" t="str">
        <f>IF(J174&gt;K174,"YES","NO")</f>
        <v>YES</v>
      </c>
      <c r="R1065" s="2">
        <f>IF(Q174="YES",G174*0.9,G174)</f>
        <v>194.39100000000002</v>
      </c>
      <c r="S1065" s="2">
        <f>J174*G174</f>
        <v>58965.270000000004</v>
      </c>
      <c r="T1065" s="1">
        <f ca="1">TODAY()-DATE(MID(O174,7,4),MID(O174,4,2),LEFT(O174,2))</f>
        <v>126</v>
      </c>
      <c r="U1065" s="1" t="s">
        <v>34</v>
      </c>
      <c r="V1065" s="1" t="s">
        <v>34</v>
      </c>
      <c r="W1065" s="1" t="s">
        <v>34</v>
      </c>
      <c r="X1065" t="s">
        <v>2621</v>
      </c>
      <c r="Y1065" s="1">
        <v>7</v>
      </c>
    </row>
    <row r="1066" spans="1:25" x14ac:dyDescent="0.3">
      <c r="A1066" s="1" t="s">
        <v>2080</v>
      </c>
      <c r="B1066" s="1" t="s">
        <v>83</v>
      </c>
      <c r="C1066" s="1" t="s">
        <v>84</v>
      </c>
      <c r="D1066" s="1" t="s">
        <v>85</v>
      </c>
      <c r="E1066" s="1" t="s">
        <v>29</v>
      </c>
      <c r="F1066" s="1" t="s">
        <v>30</v>
      </c>
      <c r="G1066" s="2">
        <v>299.74</v>
      </c>
      <c r="H1066" s="1">
        <v>18</v>
      </c>
      <c r="I1066" s="1">
        <v>177</v>
      </c>
      <c r="J1066" s="1">
        <v>146</v>
      </c>
      <c r="K1066" s="1">
        <v>72</v>
      </c>
      <c r="L1066" s="1">
        <v>121</v>
      </c>
      <c r="M1066" s="1" t="s">
        <v>31</v>
      </c>
      <c r="N1066" s="1" t="s">
        <v>32</v>
      </c>
      <c r="O1066" t="s">
        <v>86</v>
      </c>
      <c r="P1066" s="2">
        <v>209.82</v>
      </c>
      <c r="Q1066" s="1" t="str">
        <f>IF(J13&gt;K13,"YES","NO")</f>
        <v>YES</v>
      </c>
      <c r="R1066" s="2">
        <f>IF(Q13="YES",G13*0.9,G13)</f>
        <v>269.76600000000002</v>
      </c>
      <c r="S1066" s="2">
        <f>J13*G13</f>
        <v>43762.04</v>
      </c>
      <c r="T1066" s="1">
        <f ca="1">TODAY()-DATE(MID(O13,7,4),MID(O13,4,2),LEFT(O13,2))</f>
        <v>121</v>
      </c>
      <c r="U1066" s="1" t="s">
        <v>34</v>
      </c>
      <c r="V1066" s="1" t="s">
        <v>34</v>
      </c>
      <c r="W1066" s="1" t="s">
        <v>34</v>
      </c>
      <c r="X1066" t="s">
        <v>2896</v>
      </c>
      <c r="Y1066" s="1">
        <v>6.5</v>
      </c>
    </row>
    <row r="1067" spans="1:25" x14ac:dyDescent="0.3">
      <c r="A1067" s="1" t="s">
        <v>2081</v>
      </c>
      <c r="B1067" s="1" t="s">
        <v>63</v>
      </c>
      <c r="C1067" s="1" t="s">
        <v>64</v>
      </c>
      <c r="D1067" s="1" t="s">
        <v>28</v>
      </c>
      <c r="E1067" s="1" t="s">
        <v>29</v>
      </c>
      <c r="F1067" s="1" t="s">
        <v>54</v>
      </c>
      <c r="G1067" s="2">
        <v>57.84</v>
      </c>
      <c r="H1067" s="1">
        <v>14</v>
      </c>
      <c r="I1067" s="1">
        <v>81</v>
      </c>
      <c r="J1067" s="1">
        <v>74</v>
      </c>
      <c r="K1067" s="1">
        <v>43</v>
      </c>
      <c r="L1067" s="1">
        <v>111</v>
      </c>
      <c r="M1067" s="1" t="s">
        <v>31</v>
      </c>
      <c r="N1067" s="1" t="s">
        <v>32</v>
      </c>
      <c r="O1067" t="s">
        <v>187</v>
      </c>
      <c r="P1067" s="2">
        <v>40.49</v>
      </c>
      <c r="Q1067" s="1" t="str">
        <f>IF(J676&gt;K676,"YES","NO")</f>
        <v>YES</v>
      </c>
      <c r="R1067" s="2">
        <f>IF(Q676="YES",G676*0.9,G676)</f>
        <v>52.056000000000004</v>
      </c>
      <c r="S1067" s="2">
        <f>J676*G676</f>
        <v>4280.16</v>
      </c>
      <c r="T1067" s="1">
        <f ca="1">TODAY()-DATE(MID(O676,7,4),MID(O676,4,2),LEFT(O676,2))</f>
        <v>148</v>
      </c>
      <c r="U1067" s="1" t="s">
        <v>34</v>
      </c>
      <c r="V1067" s="1" t="s">
        <v>34</v>
      </c>
      <c r="W1067" s="1" t="s">
        <v>34</v>
      </c>
      <c r="X1067" t="s">
        <v>2741</v>
      </c>
      <c r="Y1067" s="1">
        <v>8</v>
      </c>
    </row>
    <row r="1068" spans="1:25" x14ac:dyDescent="0.3">
      <c r="A1068" s="1" t="s">
        <v>2082</v>
      </c>
      <c r="B1068" s="1" t="s">
        <v>126</v>
      </c>
      <c r="C1068" s="1" t="s">
        <v>127</v>
      </c>
      <c r="D1068" s="1" t="s">
        <v>85</v>
      </c>
      <c r="E1068" s="1" t="s">
        <v>40</v>
      </c>
      <c r="F1068" s="1" t="s">
        <v>48</v>
      </c>
      <c r="G1068" s="2">
        <v>165.56</v>
      </c>
      <c r="H1068" s="1">
        <v>10</v>
      </c>
      <c r="I1068" s="1">
        <v>269</v>
      </c>
      <c r="J1068" s="1">
        <v>268</v>
      </c>
      <c r="K1068" s="1">
        <v>84</v>
      </c>
      <c r="L1068" s="1">
        <v>129</v>
      </c>
      <c r="M1068" s="1" t="s">
        <v>31</v>
      </c>
      <c r="N1068" s="1" t="s">
        <v>60</v>
      </c>
      <c r="O1068" t="s">
        <v>65</v>
      </c>
      <c r="P1068" s="2">
        <v>115.89</v>
      </c>
      <c r="Q1068" s="1" t="str">
        <f>IF(J463&gt;K463,"YES","NO")</f>
        <v>YES</v>
      </c>
      <c r="R1068" s="2">
        <f>IF(Q463="YES",G463*0.9,G463)</f>
        <v>149.00400000000002</v>
      </c>
      <c r="S1068" s="2">
        <f>J463*G463</f>
        <v>44370.080000000002</v>
      </c>
      <c r="T1068" s="1">
        <f ca="1">TODAY()-DATE(MID(O463,7,4),MID(O463,4,2),LEFT(O463,2))</f>
        <v>142</v>
      </c>
      <c r="U1068" s="1" t="s">
        <v>34</v>
      </c>
      <c r="V1068" s="1" t="s">
        <v>34</v>
      </c>
      <c r="W1068" s="1" t="s">
        <v>34</v>
      </c>
      <c r="X1068" t="s">
        <v>2798</v>
      </c>
      <c r="Y1068" s="1">
        <v>6.5</v>
      </c>
    </row>
    <row r="1069" spans="1:25" x14ac:dyDescent="0.3">
      <c r="A1069" s="1" t="s">
        <v>2083</v>
      </c>
      <c r="B1069" s="1" t="s">
        <v>52</v>
      </c>
      <c r="C1069" s="1" t="s">
        <v>53</v>
      </c>
      <c r="D1069" s="1" t="s">
        <v>47</v>
      </c>
      <c r="E1069" s="1" t="s">
        <v>40</v>
      </c>
      <c r="F1069" s="1" t="s">
        <v>48</v>
      </c>
      <c r="G1069" s="2">
        <v>169.68</v>
      </c>
      <c r="H1069" s="1">
        <v>22</v>
      </c>
      <c r="I1069" s="1">
        <v>163</v>
      </c>
      <c r="J1069" s="1">
        <v>145</v>
      </c>
      <c r="K1069" s="1">
        <v>70</v>
      </c>
      <c r="L1069" s="1">
        <v>80</v>
      </c>
      <c r="M1069" s="1" t="s">
        <v>31</v>
      </c>
      <c r="N1069" s="1" t="s">
        <v>32</v>
      </c>
      <c r="O1069" t="s">
        <v>183</v>
      </c>
      <c r="P1069" s="2">
        <v>118.78</v>
      </c>
      <c r="Q1069" s="1" t="str">
        <f>IF(J55&gt;K55,"YES","NO")</f>
        <v>YES</v>
      </c>
      <c r="R1069" s="2">
        <f>IF(Q55="YES",G55*0.9,G55)</f>
        <v>152.71200000000002</v>
      </c>
      <c r="S1069" s="2">
        <f>J55*G55</f>
        <v>24603.600000000002</v>
      </c>
      <c r="T1069" s="1">
        <f ca="1">TODAY()-DATE(MID(O55,7,4),MID(O55,4,2),LEFT(O55,2))</f>
        <v>115</v>
      </c>
      <c r="U1069" s="1" t="s">
        <v>34</v>
      </c>
      <c r="V1069" s="1" t="s">
        <v>34</v>
      </c>
      <c r="W1069" s="1" t="s">
        <v>34</v>
      </c>
      <c r="X1069" t="s">
        <v>2757</v>
      </c>
      <c r="Y1069" s="1">
        <v>7.5</v>
      </c>
    </row>
    <row r="1070" spans="1:25" x14ac:dyDescent="0.3">
      <c r="A1070" s="1" t="s">
        <v>2084</v>
      </c>
      <c r="B1070" s="1" t="s">
        <v>197</v>
      </c>
      <c r="C1070" s="1" t="s">
        <v>198</v>
      </c>
      <c r="D1070" s="1" t="s">
        <v>104</v>
      </c>
      <c r="E1070" s="1" t="s">
        <v>74</v>
      </c>
      <c r="F1070" s="1" t="s">
        <v>30</v>
      </c>
      <c r="G1070" s="2">
        <v>204.81</v>
      </c>
      <c r="H1070" s="1">
        <v>10</v>
      </c>
      <c r="I1070" s="1">
        <v>285</v>
      </c>
      <c r="J1070" s="1">
        <v>246</v>
      </c>
      <c r="K1070" s="1">
        <v>94</v>
      </c>
      <c r="L1070" s="1">
        <v>136</v>
      </c>
      <c r="M1070" s="1" t="s">
        <v>41</v>
      </c>
      <c r="N1070" s="1" t="s">
        <v>32</v>
      </c>
      <c r="O1070" t="s">
        <v>377</v>
      </c>
      <c r="P1070" s="2">
        <v>143.37</v>
      </c>
      <c r="Q1070" s="1" t="str">
        <f>IF(J286&gt;K286,"YES","NO")</f>
        <v>YES</v>
      </c>
      <c r="R1070" s="2">
        <f>IF(Q286="YES",G286*0.9,G286)</f>
        <v>184.32900000000001</v>
      </c>
      <c r="S1070" s="2">
        <f>J286*G286</f>
        <v>50383.26</v>
      </c>
      <c r="T1070" s="1">
        <f ca="1">TODAY()-DATE(MID(O286,7,4),MID(O286,4,2),LEFT(O286,2))</f>
        <v>65</v>
      </c>
      <c r="U1070" s="1" t="s">
        <v>34</v>
      </c>
      <c r="V1070" s="1" t="s">
        <v>34</v>
      </c>
      <c r="W1070" s="1" t="s">
        <v>34</v>
      </c>
      <c r="X1070" t="s">
        <v>2677</v>
      </c>
      <c r="Y1070" s="1">
        <v>8</v>
      </c>
    </row>
    <row r="1071" spans="1:25" x14ac:dyDescent="0.3">
      <c r="A1071" s="1" t="s">
        <v>2085</v>
      </c>
      <c r="B1071" s="1" t="s">
        <v>45</v>
      </c>
      <c r="C1071" s="1" t="s">
        <v>46</v>
      </c>
      <c r="D1071" s="1" t="s">
        <v>47</v>
      </c>
      <c r="E1071" s="1" t="s">
        <v>74</v>
      </c>
      <c r="F1071" s="1" t="s">
        <v>48</v>
      </c>
      <c r="G1071" s="2">
        <v>155.65</v>
      </c>
      <c r="H1071" s="1">
        <v>17</v>
      </c>
      <c r="I1071" s="1">
        <v>291</v>
      </c>
      <c r="J1071" s="1">
        <v>256</v>
      </c>
      <c r="K1071" s="1">
        <v>108</v>
      </c>
      <c r="L1071" s="1">
        <v>86</v>
      </c>
      <c r="M1071" s="1" t="s">
        <v>41</v>
      </c>
      <c r="N1071" s="1" t="s">
        <v>60</v>
      </c>
      <c r="O1071" t="s">
        <v>302</v>
      </c>
      <c r="P1071" s="2">
        <v>108.95</v>
      </c>
      <c r="Q1071" s="1" t="str">
        <f>IF(J549&gt;K549,"YES","NO")</f>
        <v>YES</v>
      </c>
      <c r="R1071" s="2">
        <f>IF(Q549="YES",G549*0.9,G549)</f>
        <v>140.08500000000001</v>
      </c>
      <c r="S1071" s="2">
        <f>J549*G549</f>
        <v>39846.400000000001</v>
      </c>
      <c r="T1071" s="1">
        <f ca="1">TODAY()-DATE(MID(O549,7,4),MID(O549,4,2),LEFT(O549,2))</f>
        <v>133</v>
      </c>
      <c r="U1071" s="1" t="s">
        <v>34</v>
      </c>
      <c r="V1071" s="1" t="s">
        <v>34</v>
      </c>
      <c r="W1071" s="1" t="s">
        <v>34</v>
      </c>
      <c r="X1071" t="s">
        <v>2522</v>
      </c>
      <c r="Y1071" s="1">
        <v>9.5</v>
      </c>
    </row>
    <row r="1072" spans="1:25" x14ac:dyDescent="0.3">
      <c r="A1072" s="1" t="s">
        <v>2086</v>
      </c>
      <c r="B1072" s="1" t="s">
        <v>176</v>
      </c>
      <c r="C1072" s="1" t="s">
        <v>177</v>
      </c>
      <c r="D1072" s="1" t="s">
        <v>39</v>
      </c>
      <c r="E1072" s="1" t="s">
        <v>29</v>
      </c>
      <c r="F1072" s="1" t="s">
        <v>54</v>
      </c>
      <c r="G1072" s="2">
        <v>465.54</v>
      </c>
      <c r="H1072" s="1">
        <v>19</v>
      </c>
      <c r="I1072" s="1">
        <v>205</v>
      </c>
      <c r="J1072" s="1">
        <v>181</v>
      </c>
      <c r="K1072" s="1">
        <v>45</v>
      </c>
      <c r="L1072" s="1">
        <v>136</v>
      </c>
      <c r="M1072" s="1" t="s">
        <v>49</v>
      </c>
      <c r="N1072" s="1" t="s">
        <v>60</v>
      </c>
      <c r="O1072" t="s">
        <v>272</v>
      </c>
      <c r="P1072" s="2">
        <v>325.88</v>
      </c>
      <c r="Q1072" s="1" t="str">
        <f>IF(J487&gt;K487,"YES","NO")</f>
        <v>YES</v>
      </c>
      <c r="R1072" s="2">
        <f>IF(Q487="YES",G487*0.9,G487)</f>
        <v>418.98600000000005</v>
      </c>
      <c r="S1072" s="2">
        <f>J487*G487</f>
        <v>84262.74</v>
      </c>
      <c r="T1072" s="1">
        <f ca="1">TODAY()-DATE(MID(O487,7,4),MID(O487,4,2),LEFT(O487,2))</f>
        <v>72</v>
      </c>
      <c r="U1072" s="1" t="s">
        <v>34</v>
      </c>
      <c r="V1072" s="1" t="s">
        <v>34</v>
      </c>
      <c r="W1072" s="1" t="s">
        <v>34</v>
      </c>
      <c r="X1072" t="s">
        <v>2523</v>
      </c>
      <c r="Y1072" s="1">
        <v>8.5</v>
      </c>
    </row>
    <row r="1073" spans="1:25" x14ac:dyDescent="0.3">
      <c r="A1073" s="1" t="s">
        <v>2087</v>
      </c>
      <c r="B1073" s="1" t="s">
        <v>77</v>
      </c>
      <c r="C1073" s="1" t="s">
        <v>78</v>
      </c>
      <c r="D1073" s="1" t="s">
        <v>47</v>
      </c>
      <c r="E1073" s="1" t="s">
        <v>40</v>
      </c>
      <c r="F1073" s="1" t="s">
        <v>30</v>
      </c>
      <c r="G1073" s="2">
        <v>382.53</v>
      </c>
      <c r="H1073" s="1">
        <v>23</v>
      </c>
      <c r="I1073" s="1">
        <v>128</v>
      </c>
      <c r="J1073" s="1">
        <v>125</v>
      </c>
      <c r="K1073" s="1">
        <v>46</v>
      </c>
      <c r="L1073" s="1">
        <v>90</v>
      </c>
      <c r="M1073" s="1" t="s">
        <v>49</v>
      </c>
      <c r="N1073" s="1" t="s">
        <v>32</v>
      </c>
      <c r="O1073" t="s">
        <v>309</v>
      </c>
      <c r="P1073" s="2">
        <v>267.77</v>
      </c>
      <c r="Q1073" s="1" t="str">
        <f>IF(J369&gt;K369,"YES","NO")</f>
        <v>YES</v>
      </c>
      <c r="R1073" s="2">
        <f>IF(Q369="YES",G369*0.9,G369)</f>
        <v>344.27699999999999</v>
      </c>
      <c r="S1073" s="2">
        <f>J369*G369</f>
        <v>47816.25</v>
      </c>
      <c r="T1073" s="1">
        <f ca="1">TODAY()-DATE(MID(O369,7,4),MID(O369,4,2),LEFT(O369,2))</f>
        <v>67</v>
      </c>
      <c r="U1073" s="1" t="s">
        <v>34</v>
      </c>
      <c r="V1073" s="1" t="s">
        <v>34</v>
      </c>
      <c r="W1073" s="1" t="s">
        <v>34</v>
      </c>
      <c r="X1073" t="s">
        <v>2782</v>
      </c>
      <c r="Y1073" s="1">
        <v>9.5</v>
      </c>
    </row>
    <row r="1074" spans="1:25" x14ac:dyDescent="0.3">
      <c r="A1074" s="1" t="s">
        <v>2088</v>
      </c>
      <c r="B1074" s="1" t="s">
        <v>111</v>
      </c>
      <c r="C1074" s="1" t="s">
        <v>112</v>
      </c>
      <c r="D1074" s="1" t="s">
        <v>97</v>
      </c>
      <c r="E1074" s="1" t="s">
        <v>29</v>
      </c>
      <c r="F1074" s="1" t="s">
        <v>54</v>
      </c>
      <c r="G1074" s="2">
        <v>217.9</v>
      </c>
      <c r="H1074" s="1">
        <v>3</v>
      </c>
      <c r="I1074" s="1">
        <v>151</v>
      </c>
      <c r="J1074" s="1">
        <v>129</v>
      </c>
      <c r="K1074" s="1">
        <v>112</v>
      </c>
      <c r="L1074" s="1">
        <v>130</v>
      </c>
      <c r="M1074" s="1" t="s">
        <v>31</v>
      </c>
      <c r="N1074" s="1" t="s">
        <v>42</v>
      </c>
      <c r="O1074" t="s">
        <v>157</v>
      </c>
      <c r="P1074" s="2">
        <v>152.53</v>
      </c>
      <c r="Q1074" s="1" t="str">
        <f>IF(J760&gt;K760,"YES","NO")</f>
        <v>YES</v>
      </c>
      <c r="R1074" s="2">
        <f>IF(Q760="YES",G760*0.9,G760)</f>
        <v>196.11</v>
      </c>
      <c r="S1074" s="2">
        <f>J760*G760</f>
        <v>28109.100000000002</v>
      </c>
      <c r="T1074" s="1">
        <f ca="1">TODAY()-DATE(MID(O760,7,4),MID(O760,4,2),LEFT(O760,2))</f>
        <v>103</v>
      </c>
      <c r="U1074" s="1" t="s">
        <v>34</v>
      </c>
      <c r="V1074" s="1" t="s">
        <v>34</v>
      </c>
      <c r="W1074" s="1" t="s">
        <v>34</v>
      </c>
      <c r="X1074" t="s">
        <v>2898</v>
      </c>
      <c r="Y1074" s="1">
        <v>5</v>
      </c>
    </row>
    <row r="1075" spans="1:25" x14ac:dyDescent="0.3">
      <c r="A1075" s="1" t="s">
        <v>2089</v>
      </c>
      <c r="B1075" s="1" t="s">
        <v>63</v>
      </c>
      <c r="C1075" s="1" t="s">
        <v>64</v>
      </c>
      <c r="D1075" s="1" t="s">
        <v>28</v>
      </c>
      <c r="E1075" s="1" t="s">
        <v>29</v>
      </c>
      <c r="F1075" s="1" t="s">
        <v>48</v>
      </c>
      <c r="G1075" s="2">
        <v>280.77999999999997</v>
      </c>
      <c r="H1075" s="1">
        <v>11</v>
      </c>
      <c r="I1075" s="1">
        <v>269</v>
      </c>
      <c r="J1075" s="1">
        <v>255</v>
      </c>
      <c r="K1075" s="1">
        <v>96</v>
      </c>
      <c r="L1075" s="1">
        <v>107</v>
      </c>
      <c r="M1075" s="1" t="s">
        <v>41</v>
      </c>
      <c r="N1075" s="1" t="s">
        <v>60</v>
      </c>
      <c r="O1075" t="s">
        <v>92</v>
      </c>
      <c r="P1075" s="2">
        <v>196.55</v>
      </c>
      <c r="Q1075" s="1" t="str">
        <f>IF(J16&gt;K16,"YES","NO")</f>
        <v>YES</v>
      </c>
      <c r="R1075" s="2">
        <f>IF(Q16="YES",G16*0.9,G16)</f>
        <v>252.70199999999997</v>
      </c>
      <c r="S1075" s="2">
        <f>J16*G16</f>
        <v>71598.899999999994</v>
      </c>
      <c r="T1075" s="1">
        <f ca="1">TODAY()-DATE(MID(O16,7,4),MID(O16,4,2),LEFT(O16,2))</f>
        <v>64</v>
      </c>
      <c r="U1075" s="1" t="s">
        <v>34</v>
      </c>
      <c r="V1075" s="1" t="s">
        <v>34</v>
      </c>
      <c r="W1075" s="1" t="s">
        <v>34</v>
      </c>
      <c r="X1075" t="s">
        <v>2555</v>
      </c>
      <c r="Y1075" s="1">
        <v>8</v>
      </c>
    </row>
    <row r="1076" spans="1:25" x14ac:dyDescent="0.3">
      <c r="A1076" s="1" t="s">
        <v>2090</v>
      </c>
      <c r="B1076" s="1" t="s">
        <v>189</v>
      </c>
      <c r="C1076" s="1" t="s">
        <v>190</v>
      </c>
      <c r="D1076" s="1" t="s">
        <v>59</v>
      </c>
      <c r="E1076" s="1" t="s">
        <v>29</v>
      </c>
      <c r="F1076" s="1" t="s">
        <v>54</v>
      </c>
      <c r="G1076" s="2">
        <v>298.57</v>
      </c>
      <c r="H1076" s="1">
        <v>19</v>
      </c>
      <c r="I1076" s="1">
        <v>236</v>
      </c>
      <c r="J1076" s="1">
        <v>202</v>
      </c>
      <c r="K1076" s="1">
        <v>92</v>
      </c>
      <c r="L1076" s="1">
        <v>133</v>
      </c>
      <c r="M1076" s="1" t="s">
        <v>49</v>
      </c>
      <c r="N1076" s="1" t="s">
        <v>32</v>
      </c>
      <c r="O1076" t="s">
        <v>284</v>
      </c>
      <c r="P1076" s="2">
        <v>209</v>
      </c>
      <c r="Q1076" s="1" t="str">
        <f>IF(J276&gt;K276,"YES","NO")</f>
        <v>YES</v>
      </c>
      <c r="R1076" s="2">
        <f>IF(Q276="YES",G276*0.9,G276)</f>
        <v>268.71300000000002</v>
      </c>
      <c r="S1076" s="2">
        <f>J276*G276</f>
        <v>60311.14</v>
      </c>
      <c r="T1076" s="1">
        <f ca="1">TODAY()-DATE(MID(O276,7,4),MID(O276,4,2),LEFT(O276,2))</f>
        <v>119</v>
      </c>
      <c r="U1076" s="1" t="s">
        <v>34</v>
      </c>
      <c r="V1076" s="1" t="s">
        <v>34</v>
      </c>
      <c r="W1076" s="1" t="s">
        <v>34</v>
      </c>
      <c r="X1076" t="s">
        <v>2763</v>
      </c>
      <c r="Y1076" s="1">
        <v>8</v>
      </c>
    </row>
    <row r="1077" spans="1:25" x14ac:dyDescent="0.3">
      <c r="A1077" s="1" t="s">
        <v>2091</v>
      </c>
      <c r="B1077" s="1" t="s">
        <v>37</v>
      </c>
      <c r="C1077" s="1" t="s">
        <v>38</v>
      </c>
      <c r="D1077" s="1" t="s">
        <v>39</v>
      </c>
      <c r="E1077" s="1" t="s">
        <v>74</v>
      </c>
      <c r="F1077" s="1" t="s">
        <v>54</v>
      </c>
      <c r="G1077" s="2">
        <v>335.15</v>
      </c>
      <c r="H1077" s="1">
        <v>3</v>
      </c>
      <c r="I1077" s="1">
        <v>137</v>
      </c>
      <c r="J1077" s="1">
        <v>133</v>
      </c>
      <c r="K1077" s="1">
        <v>99</v>
      </c>
      <c r="L1077" s="1">
        <v>79</v>
      </c>
      <c r="M1077" s="1" t="s">
        <v>41</v>
      </c>
      <c r="N1077" s="1" t="s">
        <v>60</v>
      </c>
      <c r="O1077" t="s">
        <v>137</v>
      </c>
      <c r="P1077" s="2">
        <v>234.6</v>
      </c>
      <c r="Q1077" s="1" t="str">
        <f>IF(J530&gt;K530,"YES","NO")</f>
        <v>YES</v>
      </c>
      <c r="R1077" s="2">
        <f>IF(Q530="YES",G530*0.9,G530)</f>
        <v>301.63499999999999</v>
      </c>
      <c r="S1077" s="2">
        <f>J530*G530</f>
        <v>44574.95</v>
      </c>
      <c r="T1077" s="1">
        <f ca="1">TODAY()-DATE(MID(O530,7,4),MID(O530,4,2),LEFT(O530,2))</f>
        <v>107</v>
      </c>
      <c r="U1077" s="1" t="s">
        <v>34</v>
      </c>
      <c r="V1077" s="1" t="s">
        <v>34</v>
      </c>
      <c r="W1077" s="1" t="s">
        <v>34</v>
      </c>
      <c r="X1077" t="s">
        <v>2720</v>
      </c>
      <c r="Y1077" s="1">
        <v>5</v>
      </c>
    </row>
    <row r="1078" spans="1:25" x14ac:dyDescent="0.3">
      <c r="A1078" s="1" t="s">
        <v>2092</v>
      </c>
      <c r="B1078" s="1" t="s">
        <v>45</v>
      </c>
      <c r="C1078" s="1" t="s">
        <v>46</v>
      </c>
      <c r="D1078" s="1" t="s">
        <v>47</v>
      </c>
      <c r="E1078" s="1" t="s">
        <v>74</v>
      </c>
      <c r="F1078" s="1" t="s">
        <v>48</v>
      </c>
      <c r="G1078" s="2">
        <v>155.65</v>
      </c>
      <c r="H1078" s="1">
        <v>17</v>
      </c>
      <c r="I1078" s="1">
        <v>291</v>
      </c>
      <c r="J1078" s="1">
        <v>256</v>
      </c>
      <c r="K1078" s="1">
        <v>108</v>
      </c>
      <c r="L1078" s="1">
        <v>86</v>
      </c>
      <c r="M1078" s="1" t="s">
        <v>41</v>
      </c>
      <c r="N1078" s="1" t="s">
        <v>60</v>
      </c>
      <c r="O1078" t="s">
        <v>302</v>
      </c>
      <c r="P1078" s="2">
        <v>108.95</v>
      </c>
      <c r="Q1078" s="1" t="str">
        <f>IF(J549&gt;K549,"YES","NO")</f>
        <v>YES</v>
      </c>
      <c r="R1078" s="2">
        <f>IF(Q549="YES",G549*0.9,G549)</f>
        <v>140.08500000000001</v>
      </c>
      <c r="S1078" s="2">
        <f>J549*G549</f>
        <v>39846.400000000001</v>
      </c>
      <c r="T1078" s="1">
        <f ca="1">TODAY()-DATE(MID(O549,7,4),MID(O549,4,2),LEFT(O549,2))</f>
        <v>133</v>
      </c>
      <c r="U1078" s="1" t="s">
        <v>34</v>
      </c>
      <c r="V1078" s="1" t="s">
        <v>34</v>
      </c>
      <c r="W1078" s="1" t="s">
        <v>34</v>
      </c>
      <c r="X1078" t="s">
        <v>2878</v>
      </c>
      <c r="Y1078" s="1">
        <v>9.5</v>
      </c>
    </row>
    <row r="1079" spans="1:25" x14ac:dyDescent="0.3">
      <c r="A1079" s="1" t="s">
        <v>2093</v>
      </c>
      <c r="B1079" s="1" t="s">
        <v>176</v>
      </c>
      <c r="C1079" s="1" t="s">
        <v>177</v>
      </c>
      <c r="D1079" s="1" t="s">
        <v>39</v>
      </c>
      <c r="E1079" s="1" t="s">
        <v>74</v>
      </c>
      <c r="F1079" s="1" t="s">
        <v>48</v>
      </c>
      <c r="G1079" s="2">
        <v>280.01</v>
      </c>
      <c r="H1079" s="1">
        <v>9</v>
      </c>
      <c r="I1079" s="1">
        <v>196</v>
      </c>
      <c r="J1079" s="1">
        <v>163</v>
      </c>
      <c r="K1079" s="1">
        <v>79</v>
      </c>
      <c r="L1079" s="1">
        <v>106</v>
      </c>
      <c r="M1079" s="1" t="s">
        <v>41</v>
      </c>
      <c r="N1079" s="1" t="s">
        <v>32</v>
      </c>
      <c r="O1079" t="s">
        <v>81</v>
      </c>
      <c r="P1079" s="2">
        <v>196.01</v>
      </c>
      <c r="Q1079" s="1" t="str">
        <f>IF(J734&gt;K734,"YES","NO")</f>
        <v>YES</v>
      </c>
      <c r="R1079" s="2">
        <f>IF(Q734="YES",G734*0.9,G734)</f>
        <v>252.00899999999999</v>
      </c>
      <c r="S1079" s="2">
        <f>J734*G734</f>
        <v>45641.63</v>
      </c>
      <c r="T1079" s="1">
        <f ca="1">TODAY()-DATE(MID(O734,7,4),MID(O734,4,2),LEFT(O734,2))</f>
        <v>81</v>
      </c>
      <c r="U1079" s="1" t="s">
        <v>34</v>
      </c>
      <c r="V1079" s="1" t="s">
        <v>34</v>
      </c>
      <c r="W1079" s="1" t="s">
        <v>34</v>
      </c>
      <c r="X1079" t="s">
        <v>2638</v>
      </c>
      <c r="Y1079" s="1">
        <v>7</v>
      </c>
    </row>
    <row r="1080" spans="1:25" x14ac:dyDescent="0.3">
      <c r="A1080" s="1" t="s">
        <v>2094</v>
      </c>
      <c r="B1080" s="1" t="s">
        <v>95</v>
      </c>
      <c r="C1080" s="1" t="s">
        <v>96</v>
      </c>
      <c r="D1080" s="1" t="s">
        <v>97</v>
      </c>
      <c r="E1080" s="1" t="s">
        <v>40</v>
      </c>
      <c r="F1080" s="1" t="s">
        <v>54</v>
      </c>
      <c r="G1080" s="2">
        <v>281.06</v>
      </c>
      <c r="H1080" s="1">
        <v>8</v>
      </c>
      <c r="I1080" s="1">
        <v>214</v>
      </c>
      <c r="J1080" s="1">
        <v>185</v>
      </c>
      <c r="K1080" s="1">
        <v>78</v>
      </c>
      <c r="L1080" s="1">
        <v>99</v>
      </c>
      <c r="M1080" s="1" t="s">
        <v>31</v>
      </c>
      <c r="N1080" s="1" t="s">
        <v>32</v>
      </c>
      <c r="O1080" t="s">
        <v>178</v>
      </c>
      <c r="P1080" s="2">
        <v>196.74</v>
      </c>
      <c r="Q1080" s="1" t="str">
        <f>IF(J202&gt;K202,"YES","NO")</f>
        <v>YES</v>
      </c>
      <c r="R1080" s="2">
        <f>IF(Q202="YES",G202*0.9,G202)</f>
        <v>252.95400000000001</v>
      </c>
      <c r="S1080" s="2">
        <f>J202*G202</f>
        <v>51996.1</v>
      </c>
      <c r="T1080" s="1">
        <f ca="1">TODAY()-DATE(MID(O202,7,4),MID(O202,4,2),LEFT(O202,2))</f>
        <v>90</v>
      </c>
      <c r="U1080" s="1" t="s">
        <v>34</v>
      </c>
      <c r="V1080" s="1" t="s">
        <v>34</v>
      </c>
      <c r="W1080" s="1" t="s">
        <v>34</v>
      </c>
      <c r="X1080" t="s">
        <v>2899</v>
      </c>
      <c r="Y1080" s="1">
        <v>6</v>
      </c>
    </row>
    <row r="1081" spans="1:25" x14ac:dyDescent="0.3">
      <c r="A1081" s="1" t="s">
        <v>2095</v>
      </c>
      <c r="B1081" s="1" t="s">
        <v>83</v>
      </c>
      <c r="C1081" s="1" t="s">
        <v>84</v>
      </c>
      <c r="D1081" s="1" t="s">
        <v>85</v>
      </c>
      <c r="E1081" s="1" t="s">
        <v>29</v>
      </c>
      <c r="F1081" s="1" t="s">
        <v>30</v>
      </c>
      <c r="G1081" s="2">
        <v>196.29</v>
      </c>
      <c r="H1081" s="1">
        <v>3</v>
      </c>
      <c r="I1081" s="1">
        <v>88</v>
      </c>
      <c r="J1081" s="1">
        <v>67</v>
      </c>
      <c r="K1081" s="1">
        <v>70</v>
      </c>
      <c r="L1081" s="1">
        <v>101</v>
      </c>
      <c r="M1081" s="1" t="s">
        <v>49</v>
      </c>
      <c r="N1081" s="1" t="s">
        <v>32</v>
      </c>
      <c r="O1081" t="s">
        <v>141</v>
      </c>
      <c r="P1081" s="2">
        <v>137.4</v>
      </c>
      <c r="Q1081" s="1" t="str">
        <f>IF(J518&gt;K518,"YES","NO")</f>
        <v>NO</v>
      </c>
      <c r="R1081" s="2">
        <f>IF(Q518="YES",G518*0.9,G518)</f>
        <v>196.29</v>
      </c>
      <c r="S1081" s="2">
        <f>J518*G518</f>
        <v>13151.43</v>
      </c>
      <c r="T1081" s="1">
        <f ca="1">TODAY()-DATE(MID(O518,7,4),MID(O518,4,2),LEFT(O518,2))</f>
        <v>118</v>
      </c>
      <c r="U1081" s="1" t="s">
        <v>34</v>
      </c>
      <c r="V1081" s="1" t="s">
        <v>34</v>
      </c>
      <c r="W1081" s="1" t="s">
        <v>34</v>
      </c>
      <c r="X1081" t="s">
        <v>2741</v>
      </c>
      <c r="Y1081" s="1">
        <v>9</v>
      </c>
    </row>
    <row r="1082" spans="1:25" x14ac:dyDescent="0.3">
      <c r="A1082" s="1" t="s">
        <v>2096</v>
      </c>
      <c r="B1082" s="1" t="s">
        <v>130</v>
      </c>
      <c r="C1082" s="1" t="s">
        <v>131</v>
      </c>
      <c r="D1082" s="1" t="s">
        <v>132</v>
      </c>
      <c r="E1082" s="1" t="s">
        <v>29</v>
      </c>
      <c r="F1082" s="1" t="s">
        <v>54</v>
      </c>
      <c r="G1082" s="2">
        <v>346.13</v>
      </c>
      <c r="H1082" s="1">
        <v>15</v>
      </c>
      <c r="I1082" s="1">
        <v>196</v>
      </c>
      <c r="J1082" s="1">
        <v>163</v>
      </c>
      <c r="K1082" s="1">
        <v>99</v>
      </c>
      <c r="L1082" s="1">
        <v>77</v>
      </c>
      <c r="M1082" s="1" t="s">
        <v>31</v>
      </c>
      <c r="N1082" s="1" t="s">
        <v>60</v>
      </c>
      <c r="O1082" t="s">
        <v>109</v>
      </c>
      <c r="P1082" s="2">
        <v>242.29</v>
      </c>
      <c r="Q1082" s="1" t="str">
        <f>IF(J589&gt;K589,"YES","NO")</f>
        <v>YES</v>
      </c>
      <c r="R1082" s="2">
        <f>IF(Q589="YES",G589*0.9,G589)</f>
        <v>311.517</v>
      </c>
      <c r="S1082" s="2">
        <f>J589*G589</f>
        <v>56419.19</v>
      </c>
      <c r="T1082" s="1">
        <f ca="1">TODAY()-DATE(MID(O589,7,4),MID(O589,4,2),LEFT(O589,2))</f>
        <v>89</v>
      </c>
      <c r="U1082" s="1" t="s">
        <v>34</v>
      </c>
      <c r="V1082" s="1" t="s">
        <v>34</v>
      </c>
      <c r="W1082" s="1" t="s">
        <v>34</v>
      </c>
      <c r="X1082" t="s">
        <v>2737</v>
      </c>
      <c r="Y1082" s="1">
        <v>9.5</v>
      </c>
    </row>
    <row r="1083" spans="1:25" x14ac:dyDescent="0.3">
      <c r="A1083" s="1" t="s">
        <v>2097</v>
      </c>
      <c r="B1083" s="1" t="s">
        <v>107</v>
      </c>
      <c r="C1083" s="1" t="s">
        <v>108</v>
      </c>
      <c r="D1083" s="1" t="s">
        <v>39</v>
      </c>
      <c r="E1083" s="1" t="s">
        <v>74</v>
      </c>
      <c r="F1083" s="1" t="s">
        <v>30</v>
      </c>
      <c r="G1083" s="2">
        <v>331.79</v>
      </c>
      <c r="H1083" s="1">
        <v>12</v>
      </c>
      <c r="I1083" s="1">
        <v>157</v>
      </c>
      <c r="J1083" s="1">
        <v>136</v>
      </c>
      <c r="K1083" s="1">
        <v>103</v>
      </c>
      <c r="L1083" s="1">
        <v>146</v>
      </c>
      <c r="M1083" s="1" t="s">
        <v>31</v>
      </c>
      <c r="N1083" s="1" t="s">
        <v>32</v>
      </c>
      <c r="O1083" t="s">
        <v>67</v>
      </c>
      <c r="P1083" s="2">
        <v>232.25</v>
      </c>
      <c r="Q1083" s="1" t="str">
        <f>IF(J446&gt;K446,"YES","NO")</f>
        <v>YES</v>
      </c>
      <c r="R1083" s="2">
        <f>IF(Q446="YES",G446*0.9,G446)</f>
        <v>298.61100000000005</v>
      </c>
      <c r="S1083" s="2">
        <f>J446*G446</f>
        <v>45123.44</v>
      </c>
      <c r="T1083" s="1">
        <f ca="1">TODAY()-DATE(MID(O446,7,4),MID(O446,4,2),LEFT(O446,2))</f>
        <v>97</v>
      </c>
      <c r="U1083" s="1" t="s">
        <v>34</v>
      </c>
      <c r="V1083" s="1" t="s">
        <v>34</v>
      </c>
      <c r="W1083" s="1" t="s">
        <v>34</v>
      </c>
      <c r="X1083" t="s">
        <v>2765</v>
      </c>
      <c r="Y1083" s="1">
        <v>8</v>
      </c>
    </row>
    <row r="1084" spans="1:25" x14ac:dyDescent="0.3">
      <c r="A1084" s="1" t="s">
        <v>2098</v>
      </c>
      <c r="B1084" s="1" t="s">
        <v>72</v>
      </c>
      <c r="C1084" s="1" t="s">
        <v>73</v>
      </c>
      <c r="D1084" s="1" t="s">
        <v>47</v>
      </c>
      <c r="E1084" s="1" t="s">
        <v>29</v>
      </c>
      <c r="F1084" s="1" t="s">
        <v>30</v>
      </c>
      <c r="G1084" s="2">
        <v>98.19</v>
      </c>
      <c r="H1084" s="1">
        <v>13</v>
      </c>
      <c r="I1084" s="1">
        <v>132</v>
      </c>
      <c r="J1084" s="1">
        <v>102</v>
      </c>
      <c r="K1084" s="1">
        <v>56</v>
      </c>
      <c r="L1084" s="1">
        <v>94</v>
      </c>
      <c r="M1084" s="1" t="s">
        <v>31</v>
      </c>
      <c r="N1084" s="1" t="s">
        <v>32</v>
      </c>
      <c r="O1084" t="s">
        <v>220</v>
      </c>
      <c r="P1084" s="2">
        <v>68.73</v>
      </c>
      <c r="Q1084" s="1" t="str">
        <f>IF(J438&gt;K438,"YES","NO")</f>
        <v>YES</v>
      </c>
      <c r="R1084" s="2">
        <f>IF(Q438="YES",G438*0.9,G438)</f>
        <v>88.370999999999995</v>
      </c>
      <c r="S1084" s="2">
        <f>J438*G438</f>
        <v>10015.379999999999</v>
      </c>
      <c r="T1084" s="1">
        <f ca="1">TODAY()-DATE(MID(O438,7,4),MID(O438,4,2),LEFT(O438,2))</f>
        <v>106</v>
      </c>
      <c r="U1084" s="1" t="s">
        <v>34</v>
      </c>
      <c r="V1084" s="1" t="s">
        <v>34</v>
      </c>
      <c r="W1084" s="1" t="s">
        <v>34</v>
      </c>
      <c r="X1084" t="s">
        <v>2547</v>
      </c>
      <c r="Y1084" s="1">
        <v>9</v>
      </c>
    </row>
    <row r="1085" spans="1:25" x14ac:dyDescent="0.3">
      <c r="A1085" s="1" t="s">
        <v>2099</v>
      </c>
      <c r="B1085" s="1" t="s">
        <v>192</v>
      </c>
      <c r="C1085" s="1" t="s">
        <v>193</v>
      </c>
      <c r="D1085" s="1" t="s">
        <v>85</v>
      </c>
      <c r="E1085" s="1" t="s">
        <v>29</v>
      </c>
      <c r="F1085" s="1" t="s">
        <v>48</v>
      </c>
      <c r="G1085" s="2">
        <v>138.66999999999999</v>
      </c>
      <c r="H1085" s="1">
        <v>4</v>
      </c>
      <c r="I1085" s="1">
        <v>180</v>
      </c>
      <c r="J1085" s="1">
        <v>144</v>
      </c>
      <c r="K1085" s="1">
        <v>120</v>
      </c>
      <c r="L1085" s="1">
        <v>82</v>
      </c>
      <c r="M1085" s="1" t="s">
        <v>49</v>
      </c>
      <c r="N1085" s="1" t="s">
        <v>60</v>
      </c>
      <c r="O1085" t="s">
        <v>247</v>
      </c>
      <c r="P1085" s="2">
        <v>97.07</v>
      </c>
      <c r="Q1085" s="1" t="str">
        <f>IF(J716&gt;K716,"YES","NO")</f>
        <v>YES</v>
      </c>
      <c r="R1085" s="2">
        <f>IF(Q716="YES",G716*0.9,G716)</f>
        <v>124.803</v>
      </c>
      <c r="S1085" s="2">
        <f>J716*G716</f>
        <v>19968.48</v>
      </c>
      <c r="T1085" s="1">
        <f ca="1">TODAY()-DATE(MID(O716,7,4),MID(O716,4,2),LEFT(O716,2))</f>
        <v>125</v>
      </c>
      <c r="U1085" s="1" t="s">
        <v>34</v>
      </c>
      <c r="V1085" s="1" t="s">
        <v>34</v>
      </c>
      <c r="W1085" s="1" t="s">
        <v>34</v>
      </c>
      <c r="X1085" t="s">
        <v>2618</v>
      </c>
      <c r="Y1085" s="1">
        <v>8</v>
      </c>
    </row>
    <row r="1086" spans="1:25" x14ac:dyDescent="0.3">
      <c r="A1086" s="1" t="s">
        <v>2100</v>
      </c>
      <c r="B1086" s="1" t="s">
        <v>143</v>
      </c>
      <c r="C1086" s="1" t="s">
        <v>144</v>
      </c>
      <c r="D1086" s="1" t="s">
        <v>47</v>
      </c>
      <c r="E1086" s="1" t="s">
        <v>74</v>
      </c>
      <c r="F1086" s="1" t="s">
        <v>48</v>
      </c>
      <c r="G1086" s="2">
        <v>264.79000000000002</v>
      </c>
      <c r="H1086" s="1">
        <v>3</v>
      </c>
      <c r="I1086" s="1">
        <v>239</v>
      </c>
      <c r="J1086" s="1">
        <v>210</v>
      </c>
      <c r="K1086" s="1">
        <v>109</v>
      </c>
      <c r="L1086" s="1">
        <v>105</v>
      </c>
      <c r="M1086" s="1" t="s">
        <v>49</v>
      </c>
      <c r="N1086" s="1" t="s">
        <v>32</v>
      </c>
      <c r="O1086" t="s">
        <v>361</v>
      </c>
      <c r="P1086" s="2">
        <v>185.35</v>
      </c>
      <c r="Q1086" s="1" t="str">
        <f>IF(J712&gt;K712,"YES","NO")</f>
        <v>YES</v>
      </c>
      <c r="R1086" s="2">
        <f>IF(Q712="YES",G712*0.9,G712)</f>
        <v>238.31100000000004</v>
      </c>
      <c r="S1086" s="2">
        <f>J712*G712</f>
        <v>55605.9</v>
      </c>
      <c r="T1086" s="1">
        <f ca="1">TODAY()-DATE(MID(O712,7,4),MID(O712,4,2),LEFT(O712,2))</f>
        <v>99</v>
      </c>
      <c r="U1086" s="1" t="s">
        <v>34</v>
      </c>
      <c r="V1086" s="1" t="s">
        <v>34</v>
      </c>
      <c r="W1086" s="1" t="s">
        <v>34</v>
      </c>
      <c r="X1086" t="s">
        <v>2626</v>
      </c>
      <c r="Y1086" s="1">
        <v>6</v>
      </c>
    </row>
    <row r="1087" spans="1:25" x14ac:dyDescent="0.3">
      <c r="A1087" s="1" t="s">
        <v>2101</v>
      </c>
      <c r="B1087" s="1" t="s">
        <v>262</v>
      </c>
      <c r="C1087" s="1" t="s">
        <v>263</v>
      </c>
      <c r="D1087" s="1" t="s">
        <v>104</v>
      </c>
      <c r="E1087" s="1" t="s">
        <v>40</v>
      </c>
      <c r="F1087" s="1" t="s">
        <v>54</v>
      </c>
      <c r="G1087" s="2">
        <v>341.69</v>
      </c>
      <c r="H1087" s="1">
        <v>14</v>
      </c>
      <c r="I1087" s="1">
        <v>258</v>
      </c>
      <c r="J1087" s="1">
        <v>257</v>
      </c>
      <c r="K1087" s="1">
        <v>84</v>
      </c>
      <c r="L1087" s="1">
        <v>132</v>
      </c>
      <c r="M1087" s="1" t="s">
        <v>49</v>
      </c>
      <c r="N1087" s="1" t="s">
        <v>32</v>
      </c>
      <c r="O1087" t="s">
        <v>133</v>
      </c>
      <c r="P1087" s="2">
        <v>239.18</v>
      </c>
      <c r="Q1087" s="1" t="str">
        <f>IF(J694&gt;K694,"YES","NO")</f>
        <v>YES</v>
      </c>
      <c r="R1087" s="2">
        <f>IF(Q694="YES",G694*0.9,G694)</f>
        <v>307.52100000000002</v>
      </c>
      <c r="S1087" s="2">
        <f>J694*G694</f>
        <v>87814.33</v>
      </c>
      <c r="T1087" s="1">
        <f ca="1">TODAY()-DATE(MID(O694,7,4),MID(O694,4,2),LEFT(O694,2))</f>
        <v>76</v>
      </c>
      <c r="U1087" s="1" t="s">
        <v>34</v>
      </c>
      <c r="V1087" s="1" t="s">
        <v>34</v>
      </c>
      <c r="W1087" s="1" t="s">
        <v>34</v>
      </c>
      <c r="X1087" t="s">
        <v>2826</v>
      </c>
      <c r="Y1087" s="1">
        <v>7</v>
      </c>
    </row>
    <row r="1088" spans="1:25" x14ac:dyDescent="0.3">
      <c r="A1088" s="1" t="s">
        <v>2102</v>
      </c>
      <c r="B1088" s="1" t="s">
        <v>95</v>
      </c>
      <c r="C1088" s="1" t="s">
        <v>96</v>
      </c>
      <c r="D1088" s="1" t="s">
        <v>97</v>
      </c>
      <c r="E1088" s="1" t="s">
        <v>29</v>
      </c>
      <c r="F1088" s="1" t="s">
        <v>54</v>
      </c>
      <c r="G1088" s="2">
        <v>242.61</v>
      </c>
      <c r="H1088" s="1">
        <v>3</v>
      </c>
      <c r="I1088" s="1">
        <v>210</v>
      </c>
      <c r="J1088" s="1">
        <v>205</v>
      </c>
      <c r="K1088" s="1">
        <v>50</v>
      </c>
      <c r="L1088" s="1">
        <v>71</v>
      </c>
      <c r="M1088" s="1" t="s">
        <v>49</v>
      </c>
      <c r="N1088" s="1" t="s">
        <v>32</v>
      </c>
      <c r="O1088" t="s">
        <v>287</v>
      </c>
      <c r="P1088" s="2">
        <v>169.83</v>
      </c>
      <c r="Q1088" s="1" t="str">
        <f>IF(J690&gt;K690,"YES","NO")</f>
        <v>YES</v>
      </c>
      <c r="R1088" s="2">
        <f>IF(Q690="YES",G690*0.9,G690)</f>
        <v>218.34900000000002</v>
      </c>
      <c r="S1088" s="2">
        <f>J690*G690</f>
        <v>49735.05</v>
      </c>
      <c r="T1088" s="1">
        <f ca="1">TODAY()-DATE(MID(O690,7,4),MID(O690,4,2),LEFT(O690,2))</f>
        <v>143</v>
      </c>
      <c r="U1088" s="1" t="s">
        <v>34</v>
      </c>
      <c r="V1088" s="1" t="s">
        <v>34</v>
      </c>
      <c r="W1088" s="1" t="s">
        <v>34</v>
      </c>
      <c r="X1088" t="s">
        <v>2664</v>
      </c>
      <c r="Y1088" s="1">
        <v>5</v>
      </c>
    </row>
    <row r="1089" spans="1:25" x14ac:dyDescent="0.3">
      <c r="A1089" s="1" t="s">
        <v>2103</v>
      </c>
      <c r="B1089" s="1" t="s">
        <v>172</v>
      </c>
      <c r="C1089" s="1" t="s">
        <v>173</v>
      </c>
      <c r="D1089" s="1" t="s">
        <v>132</v>
      </c>
      <c r="E1089" s="1" t="s">
        <v>29</v>
      </c>
      <c r="F1089" s="1" t="s">
        <v>48</v>
      </c>
      <c r="G1089" s="2">
        <v>367.14</v>
      </c>
      <c r="H1089" s="1">
        <v>19</v>
      </c>
      <c r="I1089" s="1">
        <v>299</v>
      </c>
      <c r="J1089" s="1">
        <v>293</v>
      </c>
      <c r="K1089" s="1">
        <v>48</v>
      </c>
      <c r="L1089" s="1">
        <v>56</v>
      </c>
      <c r="M1089" s="1" t="s">
        <v>41</v>
      </c>
      <c r="N1089" s="1" t="s">
        <v>32</v>
      </c>
      <c r="O1089" t="s">
        <v>333</v>
      </c>
      <c r="P1089" s="2">
        <v>257</v>
      </c>
      <c r="Q1089" s="1" t="str">
        <f>IF(J413&gt;K413,"YES","NO")</f>
        <v>YES</v>
      </c>
      <c r="R1089" s="2">
        <f>IF(Q413="YES",G413*0.9,G413)</f>
        <v>330.42599999999999</v>
      </c>
      <c r="S1089" s="2">
        <f>J413*G413</f>
        <v>107572.01999999999</v>
      </c>
      <c r="T1089" s="1">
        <f ca="1">TODAY()-DATE(MID(O413,7,4),MID(O413,4,2),LEFT(O413,2))</f>
        <v>109</v>
      </c>
      <c r="U1089" s="1" t="s">
        <v>34</v>
      </c>
      <c r="V1089" s="1" t="s">
        <v>34</v>
      </c>
      <c r="W1089" s="1" t="s">
        <v>34</v>
      </c>
      <c r="X1089" t="s">
        <v>2753</v>
      </c>
      <c r="Y1089" s="1">
        <v>6.5</v>
      </c>
    </row>
    <row r="1090" spans="1:25" x14ac:dyDescent="0.3">
      <c r="A1090" s="1" t="s">
        <v>2104</v>
      </c>
      <c r="B1090" s="1" t="s">
        <v>111</v>
      </c>
      <c r="C1090" s="1" t="s">
        <v>112</v>
      </c>
      <c r="D1090" s="1" t="s">
        <v>97</v>
      </c>
      <c r="E1090" s="1" t="s">
        <v>40</v>
      </c>
      <c r="F1090" s="1" t="s">
        <v>30</v>
      </c>
      <c r="G1090" s="2">
        <v>340.19</v>
      </c>
      <c r="H1090" s="1">
        <v>4</v>
      </c>
      <c r="I1090" s="1">
        <v>292</v>
      </c>
      <c r="J1090" s="1">
        <v>286</v>
      </c>
      <c r="K1090" s="1">
        <v>43</v>
      </c>
      <c r="L1090" s="1">
        <v>89</v>
      </c>
      <c r="M1090" s="1" t="s">
        <v>49</v>
      </c>
      <c r="N1090" s="1" t="s">
        <v>60</v>
      </c>
      <c r="O1090" t="s">
        <v>257</v>
      </c>
      <c r="P1090" s="2">
        <v>238.13</v>
      </c>
      <c r="Q1090" s="1" t="str">
        <f>IF(J266&gt;K266,"YES","NO")</f>
        <v>YES</v>
      </c>
      <c r="R1090" s="2">
        <f>IF(Q266="YES",G266*0.9,G266)</f>
        <v>306.17099999999999</v>
      </c>
      <c r="S1090" s="2">
        <f>J266*G266</f>
        <v>97294.34</v>
      </c>
      <c r="T1090" s="1">
        <f ca="1">TODAY()-DATE(MID(O266,7,4),MID(O266,4,2),LEFT(O266,2))</f>
        <v>113</v>
      </c>
      <c r="U1090" s="1" t="s">
        <v>34</v>
      </c>
      <c r="V1090" s="1" t="s">
        <v>34</v>
      </c>
      <c r="W1090" s="1" t="s">
        <v>34</v>
      </c>
      <c r="X1090" t="s">
        <v>2804</v>
      </c>
      <c r="Y1090" s="1">
        <v>8</v>
      </c>
    </row>
    <row r="1091" spans="1:25" x14ac:dyDescent="0.3">
      <c r="A1091" s="1" t="s">
        <v>2105</v>
      </c>
      <c r="B1091" s="1" t="s">
        <v>63</v>
      </c>
      <c r="C1091" s="1" t="s">
        <v>64</v>
      </c>
      <c r="D1091" s="1" t="s">
        <v>28</v>
      </c>
      <c r="E1091" s="1" t="s">
        <v>40</v>
      </c>
      <c r="F1091" s="1" t="s">
        <v>54</v>
      </c>
      <c r="G1091" s="2">
        <v>241.1</v>
      </c>
      <c r="H1091" s="1">
        <v>20</v>
      </c>
      <c r="I1091" s="1">
        <v>133</v>
      </c>
      <c r="J1091" s="1">
        <v>115</v>
      </c>
      <c r="K1091" s="1">
        <v>97</v>
      </c>
      <c r="L1091" s="1">
        <v>112</v>
      </c>
      <c r="M1091" s="1" t="s">
        <v>41</v>
      </c>
      <c r="N1091" s="1" t="s">
        <v>42</v>
      </c>
      <c r="O1091" t="s">
        <v>272</v>
      </c>
      <c r="P1091" s="2">
        <v>168.77</v>
      </c>
      <c r="Q1091" s="1" t="str">
        <f>IF(J464&gt;K464,"YES","NO")</f>
        <v>YES</v>
      </c>
      <c r="R1091" s="2">
        <f>IF(Q464="YES",G464*0.9,G464)</f>
        <v>216.99</v>
      </c>
      <c r="S1091" s="2">
        <f>J464*G464</f>
        <v>27726.5</v>
      </c>
      <c r="T1091" s="1">
        <f ca="1">TODAY()-DATE(MID(O464,7,4),MID(O464,4,2),LEFT(O464,2))</f>
        <v>72</v>
      </c>
      <c r="U1091" s="1" t="s">
        <v>34</v>
      </c>
      <c r="V1091" s="1" t="s">
        <v>34</v>
      </c>
      <c r="W1091" s="1" t="s">
        <v>34</v>
      </c>
      <c r="X1091" t="s">
        <v>2820</v>
      </c>
      <c r="Y1091" s="1">
        <v>7</v>
      </c>
    </row>
    <row r="1092" spans="1:25" x14ac:dyDescent="0.3">
      <c r="A1092" s="1" t="s">
        <v>2106</v>
      </c>
      <c r="B1092" s="1" t="s">
        <v>52</v>
      </c>
      <c r="C1092" s="1" t="s">
        <v>53</v>
      </c>
      <c r="D1092" s="1" t="s">
        <v>47</v>
      </c>
      <c r="E1092" s="1" t="s">
        <v>40</v>
      </c>
      <c r="F1092" s="1" t="s">
        <v>30</v>
      </c>
      <c r="G1092" s="2">
        <v>114.38</v>
      </c>
      <c r="H1092" s="1">
        <v>1</v>
      </c>
      <c r="I1092" s="1">
        <v>291</v>
      </c>
      <c r="J1092" s="1">
        <v>257</v>
      </c>
      <c r="K1092" s="1">
        <v>118</v>
      </c>
      <c r="L1092" s="1">
        <v>69</v>
      </c>
      <c r="M1092" s="1" t="s">
        <v>41</v>
      </c>
      <c r="N1092" s="1" t="s">
        <v>60</v>
      </c>
      <c r="O1092" t="s">
        <v>240</v>
      </c>
      <c r="P1092" s="2">
        <v>80.069999999999993</v>
      </c>
      <c r="Q1092" s="1" t="str">
        <f>IF(J145&gt;K145,"YES","NO")</f>
        <v>YES</v>
      </c>
      <c r="R1092" s="2">
        <f>IF(Q145="YES",G145*0.9,G145)</f>
        <v>102.94199999999999</v>
      </c>
      <c r="S1092" s="2">
        <f>J145*G145</f>
        <v>29395.66</v>
      </c>
      <c r="T1092" s="1">
        <f ca="1">TODAY()-DATE(MID(O145,7,4),MID(O145,4,2),LEFT(O145,2))</f>
        <v>111</v>
      </c>
      <c r="U1092" s="1" t="s">
        <v>34</v>
      </c>
      <c r="V1092" s="1" t="s">
        <v>34</v>
      </c>
      <c r="W1092" s="1" t="s">
        <v>34</v>
      </c>
      <c r="X1092" t="s">
        <v>2642</v>
      </c>
      <c r="Y1092" s="1">
        <v>7.5</v>
      </c>
    </row>
    <row r="1093" spans="1:25" x14ac:dyDescent="0.3">
      <c r="A1093" s="1" t="s">
        <v>2107</v>
      </c>
      <c r="B1093" s="1" t="s">
        <v>37</v>
      </c>
      <c r="C1093" s="1" t="s">
        <v>38</v>
      </c>
      <c r="D1093" s="1" t="s">
        <v>39</v>
      </c>
      <c r="E1093" s="1" t="s">
        <v>74</v>
      </c>
      <c r="F1093" s="1" t="s">
        <v>54</v>
      </c>
      <c r="G1093" s="2">
        <v>264.35000000000002</v>
      </c>
      <c r="H1093" s="1">
        <v>4</v>
      </c>
      <c r="I1093" s="1">
        <v>135</v>
      </c>
      <c r="J1093" s="1">
        <v>101</v>
      </c>
      <c r="K1093" s="1">
        <v>110</v>
      </c>
      <c r="L1093" s="1">
        <v>113</v>
      </c>
      <c r="M1093" s="1" t="s">
        <v>41</v>
      </c>
      <c r="N1093" s="1" t="s">
        <v>32</v>
      </c>
      <c r="O1093" t="s">
        <v>92</v>
      </c>
      <c r="P1093" s="2">
        <v>185.05</v>
      </c>
      <c r="Q1093" s="1" t="str">
        <f>IF(J495&gt;K495,"YES","NO")</f>
        <v>NO</v>
      </c>
      <c r="R1093" s="2">
        <f>IF(Q495="YES",G495*0.9,G495)</f>
        <v>264.35000000000002</v>
      </c>
      <c r="S1093" s="2">
        <f>J495*G495</f>
        <v>26699.350000000002</v>
      </c>
      <c r="T1093" s="1">
        <f ca="1">TODAY()-DATE(MID(O495,7,4),MID(O495,4,2),LEFT(O495,2))</f>
        <v>64</v>
      </c>
      <c r="U1093" s="1" t="s">
        <v>34</v>
      </c>
      <c r="V1093" s="1" t="s">
        <v>34</v>
      </c>
      <c r="W1093" s="1" t="s">
        <v>34</v>
      </c>
      <c r="X1093" t="s">
        <v>2785</v>
      </c>
      <c r="Y1093" s="1">
        <v>7.5</v>
      </c>
    </row>
    <row r="1094" spans="1:25" x14ac:dyDescent="0.3">
      <c r="A1094" s="1" t="s">
        <v>2108</v>
      </c>
      <c r="B1094" s="1" t="s">
        <v>262</v>
      </c>
      <c r="C1094" s="1" t="s">
        <v>263</v>
      </c>
      <c r="D1094" s="1" t="s">
        <v>104</v>
      </c>
      <c r="E1094" s="1" t="s">
        <v>74</v>
      </c>
      <c r="F1094" s="1" t="s">
        <v>30</v>
      </c>
      <c r="G1094" s="2">
        <v>197.54</v>
      </c>
      <c r="H1094" s="1">
        <v>25</v>
      </c>
      <c r="I1094" s="1">
        <v>158</v>
      </c>
      <c r="J1094" s="1">
        <v>122</v>
      </c>
      <c r="K1094" s="1">
        <v>65</v>
      </c>
      <c r="L1094" s="1">
        <v>102</v>
      </c>
      <c r="M1094" s="1" t="s">
        <v>41</v>
      </c>
      <c r="N1094" s="1" t="s">
        <v>42</v>
      </c>
      <c r="O1094" t="s">
        <v>257</v>
      </c>
      <c r="P1094" s="2">
        <v>138.28</v>
      </c>
      <c r="Q1094" s="1" t="str">
        <f>IF(J604&gt;K604,"YES","NO")</f>
        <v>YES</v>
      </c>
      <c r="R1094" s="2">
        <f>IF(Q604="YES",G604*0.9,G604)</f>
        <v>177.786</v>
      </c>
      <c r="S1094" s="2">
        <f>J604*G604</f>
        <v>24099.879999999997</v>
      </c>
      <c r="T1094" s="1">
        <f ca="1">TODAY()-DATE(MID(O604,7,4),MID(O604,4,2),LEFT(O604,2))</f>
        <v>113</v>
      </c>
      <c r="U1094" s="1" t="s">
        <v>34</v>
      </c>
      <c r="V1094" s="1" t="s">
        <v>34</v>
      </c>
      <c r="W1094" s="1" t="s">
        <v>34</v>
      </c>
      <c r="X1094" t="s">
        <v>2570</v>
      </c>
      <c r="Y1094" s="1">
        <v>7</v>
      </c>
    </row>
    <row r="1095" spans="1:25" x14ac:dyDescent="0.3">
      <c r="A1095" s="1" t="s">
        <v>2109</v>
      </c>
      <c r="B1095" s="1" t="s">
        <v>57</v>
      </c>
      <c r="C1095" s="1" t="s">
        <v>58</v>
      </c>
      <c r="D1095" s="1" t="s">
        <v>59</v>
      </c>
      <c r="E1095" s="1" t="s">
        <v>40</v>
      </c>
      <c r="F1095" s="1" t="s">
        <v>48</v>
      </c>
      <c r="G1095" s="2">
        <v>454.2</v>
      </c>
      <c r="H1095" s="1">
        <v>4</v>
      </c>
      <c r="I1095" s="1">
        <v>129</v>
      </c>
      <c r="J1095" s="1">
        <v>109</v>
      </c>
      <c r="K1095" s="1">
        <v>71</v>
      </c>
      <c r="L1095" s="1">
        <v>101</v>
      </c>
      <c r="M1095" s="1" t="s">
        <v>31</v>
      </c>
      <c r="N1095" s="1" t="s">
        <v>42</v>
      </c>
      <c r="O1095" t="s">
        <v>98</v>
      </c>
      <c r="P1095" s="2">
        <v>317.94</v>
      </c>
      <c r="Q1095" s="1" t="str">
        <f>IF(J36&gt;K36,"YES","NO")</f>
        <v>YES</v>
      </c>
      <c r="R1095" s="2">
        <f>IF(Q36="YES",G36*0.9,G36)</f>
        <v>408.78</v>
      </c>
      <c r="S1095" s="2">
        <f>J36*G36</f>
        <v>49507.799999999996</v>
      </c>
      <c r="T1095" s="1">
        <f ca="1">TODAY()-DATE(MID(O36,7,4),MID(O36,4,2),LEFT(O36,2))</f>
        <v>96</v>
      </c>
      <c r="U1095" s="1" t="s">
        <v>34</v>
      </c>
      <c r="V1095" s="1" t="s">
        <v>34</v>
      </c>
      <c r="W1095" s="1" t="s">
        <v>34</v>
      </c>
      <c r="X1095" t="s">
        <v>2881</v>
      </c>
      <c r="Y1095" s="1">
        <v>8</v>
      </c>
    </row>
    <row r="1096" spans="1:25" x14ac:dyDescent="0.3">
      <c r="A1096" s="1" t="s">
        <v>2110</v>
      </c>
      <c r="B1096" s="1" t="s">
        <v>63</v>
      </c>
      <c r="C1096" s="1" t="s">
        <v>64</v>
      </c>
      <c r="D1096" s="1" t="s">
        <v>28</v>
      </c>
      <c r="E1096" s="1" t="s">
        <v>29</v>
      </c>
      <c r="F1096" s="1" t="s">
        <v>48</v>
      </c>
      <c r="G1096" s="2">
        <v>40.700000000000003</v>
      </c>
      <c r="H1096" s="1">
        <v>14</v>
      </c>
      <c r="I1096" s="1">
        <v>209</v>
      </c>
      <c r="J1096" s="1">
        <v>207</v>
      </c>
      <c r="K1096" s="1">
        <v>88</v>
      </c>
      <c r="L1096" s="1">
        <v>56</v>
      </c>
      <c r="M1096" s="1" t="s">
        <v>49</v>
      </c>
      <c r="N1096" s="1" t="s">
        <v>32</v>
      </c>
      <c r="O1096" t="s">
        <v>61</v>
      </c>
      <c r="P1096" s="2">
        <v>28.49</v>
      </c>
      <c r="Q1096" s="1" t="str">
        <f>IF(J772&gt;K772,"YES","NO")</f>
        <v>YES</v>
      </c>
      <c r="R1096" s="2">
        <f>IF(Q772="YES",G772*0.9,G772)</f>
        <v>36.630000000000003</v>
      </c>
      <c r="S1096" s="2">
        <f>J772*G772</f>
        <v>8424.9000000000015</v>
      </c>
      <c r="T1096" s="1">
        <f ca="1">TODAY()-DATE(MID(O772,7,4),MID(O772,4,2),LEFT(O772,2))</f>
        <v>73</v>
      </c>
      <c r="U1096" s="1" t="s">
        <v>34</v>
      </c>
      <c r="V1096" s="1" t="s">
        <v>34</v>
      </c>
      <c r="W1096" s="1" t="s">
        <v>34</v>
      </c>
      <c r="X1096" t="s">
        <v>2724</v>
      </c>
      <c r="Y1096" s="1">
        <v>6</v>
      </c>
    </row>
    <row r="1097" spans="1:25" x14ac:dyDescent="0.3">
      <c r="A1097" s="1" t="s">
        <v>2111</v>
      </c>
      <c r="B1097" s="1" t="s">
        <v>166</v>
      </c>
      <c r="C1097" s="1" t="s">
        <v>167</v>
      </c>
      <c r="D1097" s="1" t="s">
        <v>59</v>
      </c>
      <c r="E1097" s="1" t="s">
        <v>74</v>
      </c>
      <c r="F1097" s="1" t="s">
        <v>54</v>
      </c>
      <c r="G1097" s="2">
        <v>77.09</v>
      </c>
      <c r="H1097" s="1">
        <v>23</v>
      </c>
      <c r="I1097" s="1">
        <v>200</v>
      </c>
      <c r="J1097" s="1">
        <v>181</v>
      </c>
      <c r="K1097" s="1">
        <v>54</v>
      </c>
      <c r="L1097" s="1">
        <v>105</v>
      </c>
      <c r="M1097" s="1" t="s">
        <v>41</v>
      </c>
      <c r="N1097" s="1" t="s">
        <v>42</v>
      </c>
      <c r="O1097" t="s">
        <v>336</v>
      </c>
      <c r="P1097" s="2">
        <v>53.96</v>
      </c>
      <c r="Q1097" s="1" t="str">
        <f>IF(J163&gt;K163,"YES","NO")</f>
        <v>YES</v>
      </c>
      <c r="R1097" s="2">
        <f>IF(Q163="YES",G163*0.9,G163)</f>
        <v>69.381</v>
      </c>
      <c r="S1097" s="2">
        <f>J163*G163</f>
        <v>13953.29</v>
      </c>
      <c r="T1097" s="1">
        <f ca="1">TODAY()-DATE(MID(O163,7,4),MID(O163,4,2),LEFT(O163,2))</f>
        <v>131</v>
      </c>
      <c r="U1097" s="1" t="s">
        <v>34</v>
      </c>
      <c r="V1097" s="1" t="s">
        <v>34</v>
      </c>
      <c r="W1097" s="1" t="s">
        <v>34</v>
      </c>
      <c r="X1097" t="s">
        <v>2752</v>
      </c>
      <c r="Y1097" s="1">
        <v>6.5</v>
      </c>
    </row>
    <row r="1098" spans="1:25" x14ac:dyDescent="0.3">
      <c r="A1098" s="1" t="s">
        <v>2112</v>
      </c>
      <c r="B1098" s="1" t="s">
        <v>52</v>
      </c>
      <c r="C1098" s="1" t="s">
        <v>53</v>
      </c>
      <c r="D1098" s="1" t="s">
        <v>47</v>
      </c>
      <c r="E1098" s="1" t="s">
        <v>74</v>
      </c>
      <c r="F1098" s="1" t="s">
        <v>48</v>
      </c>
      <c r="G1098" s="2">
        <v>115.62</v>
      </c>
      <c r="H1098" s="1">
        <v>6</v>
      </c>
      <c r="I1098" s="1">
        <v>230</v>
      </c>
      <c r="J1098" s="1">
        <v>198</v>
      </c>
      <c r="K1098" s="1">
        <v>73</v>
      </c>
      <c r="L1098" s="1">
        <v>110</v>
      </c>
      <c r="M1098" s="1" t="s">
        <v>31</v>
      </c>
      <c r="N1098" s="1" t="s">
        <v>60</v>
      </c>
      <c r="O1098" t="s">
        <v>128</v>
      </c>
      <c r="P1098" s="2">
        <v>80.930000000000007</v>
      </c>
      <c r="Q1098" s="1" t="str">
        <f>IF(J615&gt;K615,"YES","NO")</f>
        <v>YES</v>
      </c>
      <c r="R1098" s="2">
        <f>IF(Q615="YES",G615*0.9,G615)</f>
        <v>104.05800000000001</v>
      </c>
      <c r="S1098" s="2">
        <f>J615*G615</f>
        <v>22892.760000000002</v>
      </c>
      <c r="T1098" s="1">
        <f ca="1">TODAY()-DATE(MID(O615,7,4),MID(O615,4,2),LEFT(O615,2))</f>
        <v>77</v>
      </c>
      <c r="U1098" s="1" t="s">
        <v>34</v>
      </c>
      <c r="V1098" s="1" t="s">
        <v>34</v>
      </c>
      <c r="W1098" s="1" t="s">
        <v>34</v>
      </c>
      <c r="X1098" t="s">
        <v>2626</v>
      </c>
      <c r="Y1098" s="1">
        <v>7.5</v>
      </c>
    </row>
    <row r="1099" spans="1:25" x14ac:dyDescent="0.3">
      <c r="A1099" s="1" t="s">
        <v>2113</v>
      </c>
      <c r="B1099" s="1" t="s">
        <v>77</v>
      </c>
      <c r="C1099" s="1" t="s">
        <v>78</v>
      </c>
      <c r="D1099" s="1" t="s">
        <v>47</v>
      </c>
      <c r="E1099" s="1" t="s">
        <v>74</v>
      </c>
      <c r="F1099" s="1" t="s">
        <v>30</v>
      </c>
      <c r="G1099" s="2">
        <v>55.08</v>
      </c>
      <c r="H1099" s="1">
        <v>23</v>
      </c>
      <c r="I1099" s="1">
        <v>212</v>
      </c>
      <c r="J1099" s="1">
        <v>172</v>
      </c>
      <c r="K1099" s="1">
        <v>57</v>
      </c>
      <c r="L1099" s="1">
        <v>84</v>
      </c>
      <c r="M1099" s="1" t="s">
        <v>41</v>
      </c>
      <c r="N1099" s="1" t="s">
        <v>42</v>
      </c>
      <c r="O1099" t="s">
        <v>292</v>
      </c>
      <c r="P1099" s="2">
        <v>38.56</v>
      </c>
      <c r="Q1099" s="1" t="str">
        <f>IF(J297&gt;K297,"YES","NO")</f>
        <v>YES</v>
      </c>
      <c r="R1099" s="2">
        <f>IF(Q297="YES",G297*0.9,G297)</f>
        <v>49.572000000000003</v>
      </c>
      <c r="S1099" s="2">
        <f>J297*G297</f>
        <v>9473.76</v>
      </c>
      <c r="T1099" s="1">
        <f ca="1">TODAY()-DATE(MID(O297,7,4),MID(O297,4,2),LEFT(O297,2))</f>
        <v>83</v>
      </c>
      <c r="U1099" s="1" t="s">
        <v>34</v>
      </c>
      <c r="V1099" s="1" t="s">
        <v>34</v>
      </c>
      <c r="W1099" s="1" t="s">
        <v>34</v>
      </c>
      <c r="X1099" t="s">
        <v>2847</v>
      </c>
      <c r="Y1099" s="1">
        <v>8.5</v>
      </c>
    </row>
    <row r="1100" spans="1:25" x14ac:dyDescent="0.3">
      <c r="A1100" s="1" t="s">
        <v>2114</v>
      </c>
      <c r="B1100" s="1" t="s">
        <v>107</v>
      </c>
      <c r="C1100" s="1" t="s">
        <v>108</v>
      </c>
      <c r="D1100" s="1" t="s">
        <v>39</v>
      </c>
      <c r="E1100" s="1" t="s">
        <v>29</v>
      </c>
      <c r="F1100" s="1" t="s">
        <v>48</v>
      </c>
      <c r="G1100" s="2">
        <v>81.09</v>
      </c>
      <c r="H1100" s="1">
        <v>0</v>
      </c>
      <c r="I1100" s="1">
        <v>275</v>
      </c>
      <c r="J1100" s="1">
        <v>271</v>
      </c>
      <c r="K1100" s="1">
        <v>62</v>
      </c>
      <c r="L1100" s="1">
        <v>90</v>
      </c>
      <c r="M1100" s="1" t="s">
        <v>49</v>
      </c>
      <c r="N1100" s="1" t="s">
        <v>60</v>
      </c>
      <c r="O1100" t="s">
        <v>135</v>
      </c>
      <c r="P1100" s="2">
        <v>56.76</v>
      </c>
      <c r="Q1100" s="1" t="str">
        <f>IF(J84&gt;K84,"YES","NO")</f>
        <v>YES</v>
      </c>
      <c r="R1100" s="2">
        <f>IF(Q84="YES",G84*0.9,G84)</f>
        <v>72.981000000000009</v>
      </c>
      <c r="S1100" s="2">
        <f>J84*G84</f>
        <v>21975.39</v>
      </c>
      <c r="T1100" s="1">
        <f ca="1">TODAY()-DATE(MID(O84,7,4),MID(O84,4,2),LEFT(O84,2))</f>
        <v>71</v>
      </c>
      <c r="U1100" s="1" t="s">
        <v>34</v>
      </c>
      <c r="V1100" s="1" t="s">
        <v>34</v>
      </c>
      <c r="W1100" s="1" t="s">
        <v>34</v>
      </c>
      <c r="X1100" t="s">
        <v>2562</v>
      </c>
      <c r="Y1100" s="1">
        <v>7</v>
      </c>
    </row>
    <row r="1101" spans="1:25" x14ac:dyDescent="0.3">
      <c r="A1101" s="1" t="s">
        <v>2115</v>
      </c>
      <c r="B1101" s="1" t="s">
        <v>83</v>
      </c>
      <c r="C1101" s="1" t="s">
        <v>84</v>
      </c>
      <c r="D1101" s="1" t="s">
        <v>85</v>
      </c>
      <c r="E1101" s="1" t="s">
        <v>74</v>
      </c>
      <c r="F1101" s="1" t="s">
        <v>48</v>
      </c>
      <c r="G1101" s="2">
        <v>422.86</v>
      </c>
      <c r="H1101" s="1">
        <v>6</v>
      </c>
      <c r="I1101" s="1">
        <v>87</v>
      </c>
      <c r="J1101" s="1">
        <v>70</v>
      </c>
      <c r="K1101" s="1">
        <v>71</v>
      </c>
      <c r="L1101" s="1">
        <v>111</v>
      </c>
      <c r="M1101" s="1" t="s">
        <v>41</v>
      </c>
      <c r="N1101" s="1" t="s">
        <v>42</v>
      </c>
      <c r="O1101" t="s">
        <v>311</v>
      </c>
      <c r="P1101" s="2">
        <v>296</v>
      </c>
      <c r="Q1101" s="1" t="str">
        <f>IF(J246&gt;K246,"YES","NO")</f>
        <v>NO</v>
      </c>
      <c r="R1101" s="2">
        <f>IF(Q246="YES",G246*0.9,G246)</f>
        <v>422.86</v>
      </c>
      <c r="S1101" s="2">
        <f>J246*G246</f>
        <v>29600.2</v>
      </c>
      <c r="T1101" s="1">
        <f ca="1">TODAY()-DATE(MID(O246,7,4),MID(O246,4,2),LEFT(O246,2))</f>
        <v>80</v>
      </c>
      <c r="U1101" s="1" t="s">
        <v>34</v>
      </c>
      <c r="V1101" s="1" t="s">
        <v>34</v>
      </c>
      <c r="W1101" s="1" t="s">
        <v>34</v>
      </c>
      <c r="X1101" t="s">
        <v>2900</v>
      </c>
      <c r="Y1101" s="1">
        <v>8</v>
      </c>
    </row>
    <row r="1102" spans="1:25" x14ac:dyDescent="0.3">
      <c r="A1102" s="1" t="s">
        <v>2116</v>
      </c>
      <c r="B1102" s="1" t="s">
        <v>189</v>
      </c>
      <c r="C1102" s="1" t="s">
        <v>190</v>
      </c>
      <c r="D1102" s="1" t="s">
        <v>59</v>
      </c>
      <c r="E1102" s="1" t="s">
        <v>74</v>
      </c>
      <c r="F1102" s="1" t="s">
        <v>54</v>
      </c>
      <c r="G1102" s="2">
        <v>65.87</v>
      </c>
      <c r="H1102" s="1">
        <v>3</v>
      </c>
      <c r="I1102" s="1">
        <v>113</v>
      </c>
      <c r="J1102" s="1">
        <v>107</v>
      </c>
      <c r="K1102" s="1">
        <v>90</v>
      </c>
      <c r="L1102" s="1">
        <v>76</v>
      </c>
      <c r="M1102" s="1" t="s">
        <v>41</v>
      </c>
      <c r="N1102" s="1" t="s">
        <v>60</v>
      </c>
      <c r="O1102" t="s">
        <v>347</v>
      </c>
      <c r="P1102" s="2">
        <v>46.11</v>
      </c>
      <c r="Q1102" s="1" t="str">
        <f>IF(J172&gt;K172,"YES","NO")</f>
        <v>YES</v>
      </c>
      <c r="R1102" s="2">
        <f>IF(Q172="YES",G172*0.9,G172)</f>
        <v>59.283000000000008</v>
      </c>
      <c r="S1102" s="2">
        <f>J172*G172</f>
        <v>7048.09</v>
      </c>
      <c r="T1102" s="1">
        <f ca="1">TODAY()-DATE(MID(O172,7,4),MID(O172,4,2),LEFT(O172,2))</f>
        <v>79</v>
      </c>
      <c r="U1102" s="1" t="s">
        <v>34</v>
      </c>
      <c r="V1102" s="1" t="s">
        <v>34</v>
      </c>
      <c r="W1102" s="1" t="s">
        <v>34</v>
      </c>
      <c r="X1102" t="s">
        <v>2901</v>
      </c>
      <c r="Y1102" s="1">
        <v>6</v>
      </c>
    </row>
    <row r="1103" spans="1:25" x14ac:dyDescent="0.3">
      <c r="A1103" s="1" t="s">
        <v>2117</v>
      </c>
      <c r="B1103" s="1" t="s">
        <v>176</v>
      </c>
      <c r="C1103" s="1" t="s">
        <v>177</v>
      </c>
      <c r="D1103" s="1" t="s">
        <v>39</v>
      </c>
      <c r="E1103" s="1" t="s">
        <v>40</v>
      </c>
      <c r="F1103" s="1" t="s">
        <v>54</v>
      </c>
      <c r="G1103" s="2">
        <v>301.61</v>
      </c>
      <c r="H1103" s="1">
        <v>20</v>
      </c>
      <c r="I1103" s="1">
        <v>103</v>
      </c>
      <c r="J1103" s="1">
        <v>64</v>
      </c>
      <c r="K1103" s="1">
        <v>56</v>
      </c>
      <c r="L1103" s="1">
        <v>50</v>
      </c>
      <c r="M1103" s="1" t="s">
        <v>31</v>
      </c>
      <c r="N1103" s="1" t="s">
        <v>32</v>
      </c>
      <c r="O1103" t="s">
        <v>229</v>
      </c>
      <c r="P1103" s="2">
        <v>211.13</v>
      </c>
      <c r="Q1103" s="1" t="str">
        <f>IF(J81&gt;K81,"YES","NO")</f>
        <v>YES</v>
      </c>
      <c r="R1103" s="2">
        <f>IF(Q81="YES",G81*0.9,G81)</f>
        <v>271.44900000000001</v>
      </c>
      <c r="S1103" s="2">
        <f>J81*G81</f>
        <v>19303.04</v>
      </c>
      <c r="T1103" s="1">
        <f ca="1">TODAY()-DATE(MID(O81,7,4),MID(O81,4,2),LEFT(O81,2))</f>
        <v>128</v>
      </c>
      <c r="U1103" s="1" t="s">
        <v>34</v>
      </c>
      <c r="V1103" s="1" t="s">
        <v>34</v>
      </c>
      <c r="W1103" s="1" t="s">
        <v>34</v>
      </c>
      <c r="X1103" t="s">
        <v>2721</v>
      </c>
      <c r="Y1103" s="1">
        <v>5.5</v>
      </c>
    </row>
    <row r="1104" spans="1:25" x14ac:dyDescent="0.3">
      <c r="A1104" s="1" t="s">
        <v>2118</v>
      </c>
      <c r="B1104" s="1" t="s">
        <v>95</v>
      </c>
      <c r="C1104" s="1" t="s">
        <v>96</v>
      </c>
      <c r="D1104" s="1" t="s">
        <v>97</v>
      </c>
      <c r="E1104" s="1" t="s">
        <v>74</v>
      </c>
      <c r="F1104" s="1" t="s">
        <v>30</v>
      </c>
      <c r="G1104" s="2">
        <v>216.71</v>
      </c>
      <c r="H1104" s="1">
        <v>1</v>
      </c>
      <c r="I1104" s="1">
        <v>193</v>
      </c>
      <c r="J1104" s="1">
        <v>174</v>
      </c>
      <c r="K1104" s="1">
        <v>60</v>
      </c>
      <c r="L1104" s="1">
        <v>114</v>
      </c>
      <c r="M1104" s="1" t="s">
        <v>41</v>
      </c>
      <c r="N1104" s="1" t="s">
        <v>42</v>
      </c>
      <c r="O1104" t="s">
        <v>137</v>
      </c>
      <c r="P1104" s="2">
        <v>151.69999999999999</v>
      </c>
      <c r="Q1104" s="1" t="str">
        <f>IF(J721&gt;K721,"YES","NO")</f>
        <v>YES</v>
      </c>
      <c r="R1104" s="2">
        <f>IF(Q721="YES",G721*0.9,G721)</f>
        <v>195.03900000000002</v>
      </c>
      <c r="S1104" s="2">
        <f>J721*G721</f>
        <v>37707.54</v>
      </c>
      <c r="T1104" s="1">
        <f ca="1">TODAY()-DATE(MID(O721,7,4),MID(O721,4,2),LEFT(O721,2))</f>
        <v>107</v>
      </c>
      <c r="U1104" s="1" t="s">
        <v>34</v>
      </c>
      <c r="V1104" s="1" t="s">
        <v>34</v>
      </c>
      <c r="W1104" s="1" t="s">
        <v>34</v>
      </c>
      <c r="X1104" t="s">
        <v>2524</v>
      </c>
      <c r="Y1104" s="1">
        <v>5.5</v>
      </c>
    </row>
    <row r="1105" spans="1:25" x14ac:dyDescent="0.3">
      <c r="A1105" s="1" t="s">
        <v>2119</v>
      </c>
      <c r="B1105" s="1" t="s">
        <v>95</v>
      </c>
      <c r="C1105" s="1" t="s">
        <v>96</v>
      </c>
      <c r="D1105" s="1" t="s">
        <v>97</v>
      </c>
      <c r="E1105" s="1" t="s">
        <v>29</v>
      </c>
      <c r="F1105" s="1" t="s">
        <v>54</v>
      </c>
      <c r="G1105" s="2">
        <v>205.43</v>
      </c>
      <c r="H1105" s="1">
        <v>6</v>
      </c>
      <c r="I1105" s="1">
        <v>190</v>
      </c>
      <c r="J1105" s="1">
        <v>184</v>
      </c>
      <c r="K1105" s="1">
        <v>108</v>
      </c>
      <c r="L1105" s="1">
        <v>140</v>
      </c>
      <c r="M1105" s="1" t="s">
        <v>31</v>
      </c>
      <c r="N1105" s="1" t="s">
        <v>32</v>
      </c>
      <c r="O1105" t="s">
        <v>311</v>
      </c>
      <c r="P1105" s="2">
        <v>143.80000000000001</v>
      </c>
      <c r="Q1105" s="1" t="str">
        <f>IF(J140&gt;K140,"YES","NO")</f>
        <v>YES</v>
      </c>
      <c r="R1105" s="2">
        <f>IF(Q140="YES",G140*0.9,G140)</f>
        <v>184.887</v>
      </c>
      <c r="S1105" s="2">
        <f>J140*G140</f>
        <v>37799.120000000003</v>
      </c>
      <c r="T1105" s="1">
        <f ca="1">TODAY()-DATE(MID(O140,7,4),MID(O140,4,2),LEFT(O140,2))</f>
        <v>80</v>
      </c>
      <c r="U1105" s="1" t="s">
        <v>34</v>
      </c>
      <c r="V1105" s="1" t="s">
        <v>34</v>
      </c>
      <c r="W1105" s="1" t="s">
        <v>34</v>
      </c>
      <c r="X1105" t="s">
        <v>2544</v>
      </c>
      <c r="Y1105" s="1">
        <v>5</v>
      </c>
    </row>
    <row r="1106" spans="1:25" x14ac:dyDescent="0.3">
      <c r="A1106" s="1" t="s">
        <v>2120</v>
      </c>
      <c r="B1106" s="1" t="s">
        <v>111</v>
      </c>
      <c r="C1106" s="1" t="s">
        <v>112</v>
      </c>
      <c r="D1106" s="1" t="s">
        <v>97</v>
      </c>
      <c r="E1106" s="1" t="s">
        <v>29</v>
      </c>
      <c r="F1106" s="1" t="s">
        <v>54</v>
      </c>
      <c r="G1106" s="2">
        <v>412.01</v>
      </c>
      <c r="H1106" s="1">
        <v>17</v>
      </c>
      <c r="I1106" s="1">
        <v>158</v>
      </c>
      <c r="J1106" s="1">
        <v>144</v>
      </c>
      <c r="K1106" s="1">
        <v>75</v>
      </c>
      <c r="L1106" s="1">
        <v>86</v>
      </c>
      <c r="M1106" s="1" t="s">
        <v>31</v>
      </c>
      <c r="N1106" s="1" t="s">
        <v>60</v>
      </c>
      <c r="O1106" t="s">
        <v>35</v>
      </c>
      <c r="P1106" s="2">
        <v>288.41000000000003</v>
      </c>
      <c r="Q1106" s="1" t="str">
        <f>IF(J730&gt;K730,"YES","NO")</f>
        <v>YES</v>
      </c>
      <c r="R1106" s="2">
        <f>IF(Q730="YES",G730*0.9,G730)</f>
        <v>370.80900000000003</v>
      </c>
      <c r="S1106" s="2">
        <f>J730*G730</f>
        <v>59329.440000000002</v>
      </c>
      <c r="T1106" s="1">
        <f ca="1">TODAY()-DATE(MID(O730,7,4),MID(O730,4,2),LEFT(O730,2))</f>
        <v>85</v>
      </c>
      <c r="U1106" s="1" t="s">
        <v>34</v>
      </c>
      <c r="V1106" s="1" t="s">
        <v>34</v>
      </c>
      <c r="W1106" s="1" t="s">
        <v>34</v>
      </c>
      <c r="X1106" t="s">
        <v>2902</v>
      </c>
      <c r="Y1106" s="1">
        <v>5</v>
      </c>
    </row>
    <row r="1107" spans="1:25" x14ac:dyDescent="0.3">
      <c r="A1107" s="1" t="s">
        <v>2121</v>
      </c>
      <c r="B1107" s="1" t="s">
        <v>111</v>
      </c>
      <c r="C1107" s="1" t="s">
        <v>112</v>
      </c>
      <c r="D1107" s="1" t="s">
        <v>97</v>
      </c>
      <c r="E1107" s="1" t="s">
        <v>40</v>
      </c>
      <c r="F1107" s="1" t="s">
        <v>48</v>
      </c>
      <c r="G1107" s="2">
        <v>269.20999999999998</v>
      </c>
      <c r="H1107" s="1">
        <v>24</v>
      </c>
      <c r="I1107" s="1">
        <v>261</v>
      </c>
      <c r="J1107" s="1">
        <v>248</v>
      </c>
      <c r="K1107" s="1">
        <v>47</v>
      </c>
      <c r="L1107" s="1">
        <v>79</v>
      </c>
      <c r="M1107" s="1" t="s">
        <v>41</v>
      </c>
      <c r="N1107" s="1" t="s">
        <v>60</v>
      </c>
      <c r="O1107" t="s">
        <v>212</v>
      </c>
      <c r="P1107" s="2">
        <v>188.45</v>
      </c>
      <c r="Q1107" s="1" t="str">
        <f>IF(J385&gt;K385,"YES","NO")</f>
        <v>YES</v>
      </c>
      <c r="R1107" s="2">
        <f>IF(Q385="YES",G385*0.9,G385)</f>
        <v>242.28899999999999</v>
      </c>
      <c r="S1107" s="2">
        <f>J385*G385</f>
        <v>66764.08</v>
      </c>
      <c r="T1107" s="1">
        <f ca="1">TODAY()-DATE(MID(O385,7,4),MID(O385,4,2),LEFT(O385,2))</f>
        <v>78</v>
      </c>
      <c r="U1107" s="1" t="s">
        <v>34</v>
      </c>
      <c r="V1107" s="1" t="s">
        <v>34</v>
      </c>
      <c r="W1107" s="1" t="s">
        <v>34</v>
      </c>
      <c r="X1107" t="s">
        <v>2517</v>
      </c>
      <c r="Y1107" s="1">
        <v>7.5</v>
      </c>
    </row>
    <row r="1108" spans="1:25" x14ac:dyDescent="0.3">
      <c r="A1108" s="1" t="s">
        <v>2122</v>
      </c>
      <c r="B1108" s="1" t="s">
        <v>172</v>
      </c>
      <c r="C1108" s="1" t="s">
        <v>173</v>
      </c>
      <c r="D1108" s="1" t="s">
        <v>132</v>
      </c>
      <c r="E1108" s="1" t="s">
        <v>29</v>
      </c>
      <c r="F1108" s="1" t="s">
        <v>30</v>
      </c>
      <c r="G1108" s="2">
        <v>404</v>
      </c>
      <c r="H1108" s="1">
        <v>23</v>
      </c>
      <c r="I1108" s="1">
        <v>163</v>
      </c>
      <c r="J1108" s="1">
        <v>143</v>
      </c>
      <c r="K1108" s="1">
        <v>119</v>
      </c>
      <c r="L1108" s="1">
        <v>144</v>
      </c>
      <c r="M1108" s="1" t="s">
        <v>41</v>
      </c>
      <c r="N1108" s="1" t="s">
        <v>60</v>
      </c>
      <c r="O1108" t="s">
        <v>209</v>
      </c>
      <c r="P1108" s="2">
        <v>282.8</v>
      </c>
      <c r="Q1108" s="1" t="str">
        <f>IF(J136&gt;K136,"YES","NO")</f>
        <v>YES</v>
      </c>
      <c r="R1108" s="2">
        <f>IF(Q136="YES",G136*0.9,G136)</f>
        <v>363.6</v>
      </c>
      <c r="S1108" s="2">
        <f>J136*G136</f>
        <v>57772</v>
      </c>
      <c r="T1108" s="1">
        <f ca="1">TODAY()-DATE(MID(O136,7,4),MID(O136,4,2),LEFT(O136,2))</f>
        <v>127</v>
      </c>
      <c r="U1108" s="1" t="s">
        <v>34</v>
      </c>
      <c r="V1108" s="1" t="s">
        <v>34</v>
      </c>
      <c r="W1108" s="1" t="s">
        <v>34</v>
      </c>
      <c r="X1108" t="s">
        <v>2903</v>
      </c>
      <c r="Y1108" s="1">
        <v>8</v>
      </c>
    </row>
    <row r="1109" spans="1:25" x14ac:dyDescent="0.3">
      <c r="A1109" s="1" t="s">
        <v>2123</v>
      </c>
      <c r="B1109" s="1" t="s">
        <v>63</v>
      </c>
      <c r="C1109" s="1" t="s">
        <v>64</v>
      </c>
      <c r="D1109" s="1" t="s">
        <v>28</v>
      </c>
      <c r="E1109" s="1" t="s">
        <v>40</v>
      </c>
      <c r="F1109" s="1" t="s">
        <v>30</v>
      </c>
      <c r="G1109" s="2">
        <v>146.43</v>
      </c>
      <c r="H1109" s="1">
        <v>13</v>
      </c>
      <c r="I1109" s="1">
        <v>98</v>
      </c>
      <c r="J1109" s="1">
        <v>80</v>
      </c>
      <c r="K1109" s="1">
        <v>51</v>
      </c>
      <c r="L1109" s="1">
        <v>143</v>
      </c>
      <c r="M1109" s="1" t="s">
        <v>41</v>
      </c>
      <c r="N1109" s="1" t="s">
        <v>60</v>
      </c>
      <c r="O1109" t="s">
        <v>86</v>
      </c>
      <c r="P1109" s="2">
        <v>102.5</v>
      </c>
      <c r="Q1109" s="1" t="str">
        <f>IF(J605&gt;K605,"YES","NO")</f>
        <v>YES</v>
      </c>
      <c r="R1109" s="2">
        <f>IF(Q605="YES",G605*0.9,G605)</f>
        <v>131.78700000000001</v>
      </c>
      <c r="S1109" s="2">
        <f>J605*G605</f>
        <v>11714.400000000001</v>
      </c>
      <c r="T1109" s="1">
        <f ca="1">TODAY()-DATE(MID(O605,7,4),MID(O605,4,2),LEFT(O605,2))</f>
        <v>121</v>
      </c>
      <c r="U1109" s="1" t="s">
        <v>34</v>
      </c>
      <c r="V1109" s="1" t="s">
        <v>34</v>
      </c>
      <c r="W1109" s="1" t="s">
        <v>34</v>
      </c>
      <c r="X1109" t="s">
        <v>2671</v>
      </c>
      <c r="Y1109" s="1">
        <v>7.5</v>
      </c>
    </row>
    <row r="1110" spans="1:25" x14ac:dyDescent="0.3">
      <c r="A1110" s="1" t="s">
        <v>2124</v>
      </c>
      <c r="B1110" s="1" t="s">
        <v>126</v>
      </c>
      <c r="C1110" s="1" t="s">
        <v>127</v>
      </c>
      <c r="D1110" s="1" t="s">
        <v>85</v>
      </c>
      <c r="E1110" s="1" t="s">
        <v>74</v>
      </c>
      <c r="F1110" s="1" t="s">
        <v>30</v>
      </c>
      <c r="G1110" s="2">
        <v>80.39</v>
      </c>
      <c r="H1110" s="1">
        <v>6</v>
      </c>
      <c r="I1110" s="1">
        <v>255</v>
      </c>
      <c r="J1110" s="1">
        <v>230</v>
      </c>
      <c r="K1110" s="1">
        <v>97</v>
      </c>
      <c r="L1110" s="1">
        <v>121</v>
      </c>
      <c r="M1110" s="1" t="s">
        <v>41</v>
      </c>
      <c r="N1110" s="1" t="s">
        <v>32</v>
      </c>
      <c r="O1110" t="s">
        <v>311</v>
      </c>
      <c r="P1110" s="2">
        <v>56.27</v>
      </c>
      <c r="Q1110" s="1" t="str">
        <f>IF(J316&gt;K316,"YES","NO")</f>
        <v>YES</v>
      </c>
      <c r="R1110" s="2">
        <f>IF(Q316="YES",G316*0.9,G316)</f>
        <v>72.350999999999999</v>
      </c>
      <c r="S1110" s="2">
        <f>J316*G316</f>
        <v>18489.7</v>
      </c>
      <c r="T1110" s="1">
        <f ca="1">TODAY()-DATE(MID(O316,7,4),MID(O316,4,2),LEFT(O316,2))</f>
        <v>80</v>
      </c>
      <c r="U1110" s="1" t="s">
        <v>34</v>
      </c>
      <c r="V1110" s="1" t="s">
        <v>34</v>
      </c>
      <c r="W1110" s="1" t="s">
        <v>34</v>
      </c>
      <c r="X1110" t="s">
        <v>2577</v>
      </c>
      <c r="Y1110" s="1">
        <v>8</v>
      </c>
    </row>
    <row r="1111" spans="1:25" x14ac:dyDescent="0.3">
      <c r="A1111" s="1" t="s">
        <v>2125</v>
      </c>
      <c r="B1111" s="1" t="s">
        <v>111</v>
      </c>
      <c r="C1111" s="1" t="s">
        <v>112</v>
      </c>
      <c r="D1111" s="1" t="s">
        <v>97</v>
      </c>
      <c r="E1111" s="1" t="s">
        <v>29</v>
      </c>
      <c r="F1111" s="1" t="s">
        <v>54</v>
      </c>
      <c r="G1111" s="2">
        <v>404.99</v>
      </c>
      <c r="H1111" s="1">
        <v>8</v>
      </c>
      <c r="I1111" s="1">
        <v>122</v>
      </c>
      <c r="J1111" s="1">
        <v>87</v>
      </c>
      <c r="K1111" s="1">
        <v>59</v>
      </c>
      <c r="L1111" s="1">
        <v>73</v>
      </c>
      <c r="M1111" s="1" t="s">
        <v>41</v>
      </c>
      <c r="N1111" s="1" t="s">
        <v>42</v>
      </c>
      <c r="O1111" t="s">
        <v>292</v>
      </c>
      <c r="P1111" s="2">
        <v>283.49</v>
      </c>
      <c r="Q1111" s="1" t="str">
        <f>IF(J766&gt;K766,"YES","NO")</f>
        <v>YES</v>
      </c>
      <c r="R1111" s="2">
        <f>IF(Q766="YES",G766*0.9,G766)</f>
        <v>364.49100000000004</v>
      </c>
      <c r="S1111" s="2">
        <f>J766*G766</f>
        <v>35234.129999999997</v>
      </c>
      <c r="T1111" s="1">
        <f ca="1">TODAY()-DATE(MID(O766,7,4),MID(O766,4,2),LEFT(O766,2))</f>
        <v>83</v>
      </c>
      <c r="U1111" s="1" t="s">
        <v>34</v>
      </c>
      <c r="V1111" s="1" t="s">
        <v>34</v>
      </c>
      <c r="W1111" s="1" t="s">
        <v>34</v>
      </c>
      <c r="X1111" t="s">
        <v>2668</v>
      </c>
      <c r="Y1111" s="1">
        <v>8</v>
      </c>
    </row>
    <row r="1112" spans="1:25" x14ac:dyDescent="0.3">
      <c r="A1112" s="1" t="s">
        <v>2126</v>
      </c>
      <c r="B1112" s="1" t="s">
        <v>45</v>
      </c>
      <c r="C1112" s="1" t="s">
        <v>46</v>
      </c>
      <c r="D1112" s="1" t="s">
        <v>47</v>
      </c>
      <c r="E1112" s="1" t="s">
        <v>74</v>
      </c>
      <c r="F1112" s="1" t="s">
        <v>30</v>
      </c>
      <c r="G1112" s="2">
        <v>164.46</v>
      </c>
      <c r="H1112" s="1">
        <v>8</v>
      </c>
      <c r="I1112" s="1">
        <v>235</v>
      </c>
      <c r="J1112" s="1">
        <v>224</v>
      </c>
      <c r="K1112" s="1">
        <v>113</v>
      </c>
      <c r="L1112" s="1">
        <v>59</v>
      </c>
      <c r="M1112" s="1" t="s">
        <v>49</v>
      </c>
      <c r="N1112" s="1" t="s">
        <v>42</v>
      </c>
      <c r="O1112" t="s">
        <v>35</v>
      </c>
      <c r="P1112" s="2">
        <v>115.12</v>
      </c>
      <c r="Q1112" s="1" t="str">
        <f>IF(J576&gt;K576,"YES","NO")</f>
        <v>YES</v>
      </c>
      <c r="R1112" s="2">
        <f>IF(Q576="YES",G576*0.9,G576)</f>
        <v>148.01400000000001</v>
      </c>
      <c r="S1112" s="2">
        <f>J576*G576</f>
        <v>36839.040000000001</v>
      </c>
      <c r="T1112" s="1">
        <f ca="1">TODAY()-DATE(MID(O576,7,4),MID(O576,4,2),LEFT(O576,2))</f>
        <v>85</v>
      </c>
      <c r="U1112" s="1" t="s">
        <v>34</v>
      </c>
      <c r="V1112" s="1" t="s">
        <v>34</v>
      </c>
      <c r="W1112" s="1" t="s">
        <v>34</v>
      </c>
      <c r="X1112" t="s">
        <v>2904</v>
      </c>
      <c r="Y1112" s="1">
        <v>8</v>
      </c>
    </row>
    <row r="1113" spans="1:25" x14ac:dyDescent="0.3">
      <c r="A1113" s="1" t="s">
        <v>2127</v>
      </c>
      <c r="B1113" s="1" t="s">
        <v>118</v>
      </c>
      <c r="C1113" s="1" t="s">
        <v>119</v>
      </c>
      <c r="D1113" s="1" t="s">
        <v>97</v>
      </c>
      <c r="E1113" s="1" t="s">
        <v>40</v>
      </c>
      <c r="F1113" s="1" t="s">
        <v>54</v>
      </c>
      <c r="G1113" s="2">
        <v>147.22</v>
      </c>
      <c r="H1113" s="1">
        <v>21</v>
      </c>
      <c r="I1113" s="1">
        <v>295</v>
      </c>
      <c r="J1113" s="1">
        <v>278</v>
      </c>
      <c r="K1113" s="1">
        <v>98</v>
      </c>
      <c r="L1113" s="1">
        <v>118</v>
      </c>
      <c r="M1113" s="1" t="s">
        <v>31</v>
      </c>
      <c r="N1113" s="1" t="s">
        <v>60</v>
      </c>
      <c r="O1113" t="s">
        <v>100</v>
      </c>
      <c r="P1113" s="2">
        <v>103.05</v>
      </c>
      <c r="Q1113" s="1" t="str">
        <f>IF(J751&gt;K751,"YES","NO")</f>
        <v>YES</v>
      </c>
      <c r="R1113" s="2">
        <f>IF(Q751="YES",G751*0.9,G751)</f>
        <v>132.49799999999999</v>
      </c>
      <c r="S1113" s="2">
        <f>J751*G751</f>
        <v>40927.159999999996</v>
      </c>
      <c r="T1113" s="1">
        <f ca="1">TODAY()-DATE(MID(O751,7,4),MID(O751,4,2),LEFT(O751,2))</f>
        <v>137</v>
      </c>
      <c r="U1113" s="1" t="s">
        <v>34</v>
      </c>
      <c r="V1113" s="1" t="s">
        <v>34</v>
      </c>
      <c r="W1113" s="1" t="s">
        <v>34</v>
      </c>
      <c r="X1113" t="s">
        <v>2858</v>
      </c>
      <c r="Y1113" s="1">
        <v>5.5</v>
      </c>
    </row>
    <row r="1114" spans="1:25" x14ac:dyDescent="0.3">
      <c r="A1114" s="1" t="s">
        <v>2128</v>
      </c>
      <c r="B1114" s="1" t="s">
        <v>172</v>
      </c>
      <c r="C1114" s="1" t="s">
        <v>173</v>
      </c>
      <c r="D1114" s="1" t="s">
        <v>132</v>
      </c>
      <c r="E1114" s="1" t="s">
        <v>40</v>
      </c>
      <c r="F1114" s="1" t="s">
        <v>30</v>
      </c>
      <c r="G1114" s="2">
        <v>443.79</v>
      </c>
      <c r="H1114" s="1">
        <v>21</v>
      </c>
      <c r="I1114" s="1">
        <v>162</v>
      </c>
      <c r="J1114" s="1">
        <v>129</v>
      </c>
      <c r="K1114" s="1">
        <v>53</v>
      </c>
      <c r="L1114" s="1">
        <v>144</v>
      </c>
      <c r="M1114" s="1" t="s">
        <v>41</v>
      </c>
      <c r="N1114" s="1" t="s">
        <v>60</v>
      </c>
      <c r="O1114" t="s">
        <v>220</v>
      </c>
      <c r="P1114" s="2">
        <v>310.64999999999998</v>
      </c>
      <c r="Q1114" s="1" t="str">
        <f>IF(J131&gt;K131,"YES","NO")</f>
        <v>YES</v>
      </c>
      <c r="R1114" s="2">
        <f>IF(Q131="YES",G131*0.9,G131)</f>
        <v>399.411</v>
      </c>
      <c r="S1114" s="2">
        <f>J131*G131</f>
        <v>57248.91</v>
      </c>
      <c r="T1114" s="1">
        <f ca="1">TODAY()-DATE(MID(O131,7,4),MID(O131,4,2),LEFT(O131,2))</f>
        <v>106</v>
      </c>
      <c r="U1114" s="1" t="s">
        <v>34</v>
      </c>
      <c r="V1114" s="1" t="s">
        <v>34</v>
      </c>
      <c r="W1114" s="1" t="s">
        <v>34</v>
      </c>
      <c r="X1114" t="s">
        <v>2860</v>
      </c>
      <c r="Y1114" s="1">
        <v>5.5</v>
      </c>
    </row>
    <row r="1115" spans="1:25" x14ac:dyDescent="0.3">
      <c r="A1115" s="1" t="s">
        <v>2129</v>
      </c>
      <c r="B1115" s="1" t="s">
        <v>172</v>
      </c>
      <c r="C1115" s="1" t="s">
        <v>173</v>
      </c>
      <c r="D1115" s="1" t="s">
        <v>132</v>
      </c>
      <c r="E1115" s="1" t="s">
        <v>40</v>
      </c>
      <c r="F1115" s="1" t="s">
        <v>30</v>
      </c>
      <c r="G1115" s="2">
        <v>477.44</v>
      </c>
      <c r="H1115" s="1">
        <v>21</v>
      </c>
      <c r="I1115" s="1">
        <v>82</v>
      </c>
      <c r="J1115" s="1">
        <v>46</v>
      </c>
      <c r="K1115" s="1">
        <v>100</v>
      </c>
      <c r="L1115" s="1">
        <v>66</v>
      </c>
      <c r="M1115" s="1" t="s">
        <v>31</v>
      </c>
      <c r="N1115" s="1" t="s">
        <v>32</v>
      </c>
      <c r="O1115" t="s">
        <v>227</v>
      </c>
      <c r="P1115" s="2">
        <v>334.21</v>
      </c>
      <c r="Q1115" s="1" t="str">
        <f>IF(J663&gt;K663,"YES","NO")</f>
        <v>NO</v>
      </c>
      <c r="R1115" s="2">
        <f>IF(Q663="YES",G663*0.9,G663)</f>
        <v>477.44</v>
      </c>
      <c r="S1115" s="2">
        <f>J663*G663</f>
        <v>21962.240000000002</v>
      </c>
      <c r="T1115" s="1">
        <f ca="1">TODAY()-DATE(MID(O663,7,4),MID(O663,4,2),LEFT(O663,2))</f>
        <v>132</v>
      </c>
      <c r="U1115" s="1" t="s">
        <v>34</v>
      </c>
      <c r="V1115" s="1" t="s">
        <v>34</v>
      </c>
      <c r="W1115" s="1" t="s">
        <v>34</v>
      </c>
      <c r="X1115" t="s">
        <v>2561</v>
      </c>
      <c r="Y1115" s="1">
        <v>6.5</v>
      </c>
    </row>
    <row r="1116" spans="1:25" x14ac:dyDescent="0.3">
      <c r="A1116" s="1" t="s">
        <v>2130</v>
      </c>
      <c r="B1116" s="1" t="s">
        <v>102</v>
      </c>
      <c r="C1116" s="1" t="s">
        <v>103</v>
      </c>
      <c r="D1116" s="1" t="s">
        <v>104</v>
      </c>
      <c r="E1116" s="1" t="s">
        <v>29</v>
      </c>
      <c r="F1116" s="1" t="s">
        <v>48</v>
      </c>
      <c r="G1116" s="2">
        <v>357.86</v>
      </c>
      <c r="H1116" s="1">
        <v>10</v>
      </c>
      <c r="I1116" s="1">
        <v>189</v>
      </c>
      <c r="J1116" s="1">
        <v>179</v>
      </c>
      <c r="K1116" s="1">
        <v>120</v>
      </c>
      <c r="L1116" s="1">
        <v>135</v>
      </c>
      <c r="M1116" s="1" t="s">
        <v>49</v>
      </c>
      <c r="N1116" s="1" t="s">
        <v>60</v>
      </c>
      <c r="O1116" t="s">
        <v>257</v>
      </c>
      <c r="P1116" s="2">
        <v>250.5</v>
      </c>
      <c r="Q1116" s="1" t="str">
        <f>IF(J337&gt;K337,"YES","NO")</f>
        <v>YES</v>
      </c>
      <c r="R1116" s="2">
        <f>IF(Q337="YES",G337*0.9,G337)</f>
        <v>322.07400000000001</v>
      </c>
      <c r="S1116" s="2">
        <f>J337*G337</f>
        <v>64056.94</v>
      </c>
      <c r="T1116" s="1">
        <f ca="1">TODAY()-DATE(MID(O337,7,4),MID(O337,4,2),LEFT(O337,2))</f>
        <v>113</v>
      </c>
      <c r="U1116" s="1" t="s">
        <v>34</v>
      </c>
      <c r="V1116" s="1" t="s">
        <v>34</v>
      </c>
      <c r="W1116" s="1" t="s">
        <v>34</v>
      </c>
      <c r="X1116" t="s">
        <v>2705</v>
      </c>
      <c r="Y1116" s="1">
        <v>8.5</v>
      </c>
    </row>
    <row r="1117" spans="1:25" x14ac:dyDescent="0.3">
      <c r="A1117" s="1" t="s">
        <v>2131</v>
      </c>
      <c r="B1117" s="1" t="s">
        <v>299</v>
      </c>
      <c r="C1117" s="1" t="s">
        <v>300</v>
      </c>
      <c r="D1117" s="1" t="s">
        <v>39</v>
      </c>
      <c r="E1117" s="1" t="s">
        <v>29</v>
      </c>
      <c r="F1117" s="1" t="s">
        <v>54</v>
      </c>
      <c r="G1117" s="2">
        <v>357.29</v>
      </c>
      <c r="H1117" s="1">
        <v>9</v>
      </c>
      <c r="I1117" s="1">
        <v>108</v>
      </c>
      <c r="J1117" s="1">
        <v>80</v>
      </c>
      <c r="K1117" s="1">
        <v>109</v>
      </c>
      <c r="L1117" s="1">
        <v>109</v>
      </c>
      <c r="M1117" s="1" t="s">
        <v>41</v>
      </c>
      <c r="N1117" s="1" t="s">
        <v>60</v>
      </c>
      <c r="O1117" t="s">
        <v>61</v>
      </c>
      <c r="P1117" s="2">
        <v>250.1</v>
      </c>
      <c r="Q1117" s="1" t="str">
        <f>IF(J150&gt;K150,"YES","NO")</f>
        <v>NO</v>
      </c>
      <c r="R1117" s="2">
        <f>IF(Q150="YES",G150*0.9,G150)</f>
        <v>357.29</v>
      </c>
      <c r="S1117" s="2">
        <f>J150*G150</f>
        <v>28583.200000000001</v>
      </c>
      <c r="T1117" s="1">
        <f ca="1">TODAY()-DATE(MID(O150,7,4),MID(O150,4,2),LEFT(O150,2))</f>
        <v>73</v>
      </c>
      <c r="U1117" s="1" t="s">
        <v>34</v>
      </c>
      <c r="V1117" s="1" t="s">
        <v>34</v>
      </c>
      <c r="W1117" s="1" t="s">
        <v>34</v>
      </c>
      <c r="X1117" t="s">
        <v>2903</v>
      </c>
      <c r="Y1117" s="1">
        <v>5</v>
      </c>
    </row>
    <row r="1118" spans="1:25" x14ac:dyDescent="0.3">
      <c r="A1118" s="1" t="s">
        <v>2132</v>
      </c>
      <c r="B1118" s="1" t="s">
        <v>111</v>
      </c>
      <c r="C1118" s="1" t="s">
        <v>112</v>
      </c>
      <c r="D1118" s="1" t="s">
        <v>97</v>
      </c>
      <c r="E1118" s="1" t="s">
        <v>74</v>
      </c>
      <c r="F1118" s="1" t="s">
        <v>54</v>
      </c>
      <c r="G1118" s="2">
        <v>348.35</v>
      </c>
      <c r="H1118" s="1">
        <v>19</v>
      </c>
      <c r="I1118" s="1">
        <v>156</v>
      </c>
      <c r="J1118" s="1">
        <v>125</v>
      </c>
      <c r="K1118" s="1">
        <v>100</v>
      </c>
      <c r="L1118" s="1">
        <v>90</v>
      </c>
      <c r="M1118" s="1" t="s">
        <v>41</v>
      </c>
      <c r="N1118" s="1" t="s">
        <v>42</v>
      </c>
      <c r="O1118" t="s">
        <v>229</v>
      </c>
      <c r="P1118" s="2">
        <v>243.84</v>
      </c>
      <c r="Q1118" s="1" t="str">
        <f>IF(J192&gt;K192,"YES","NO")</f>
        <v>YES</v>
      </c>
      <c r="R1118" s="2">
        <f>IF(Q192="YES",G192*0.9,G192)</f>
        <v>313.51500000000004</v>
      </c>
      <c r="S1118" s="2">
        <f>J192*G192</f>
        <v>43543.75</v>
      </c>
      <c r="T1118" s="1">
        <f ca="1">TODAY()-DATE(MID(O192,7,4),MID(O192,4,2),LEFT(O192,2))</f>
        <v>128</v>
      </c>
      <c r="U1118" s="1" t="s">
        <v>34</v>
      </c>
      <c r="V1118" s="1" t="s">
        <v>34</v>
      </c>
      <c r="W1118" s="1" t="s">
        <v>34</v>
      </c>
      <c r="X1118" t="s">
        <v>2553</v>
      </c>
      <c r="Y1118" s="1">
        <v>6</v>
      </c>
    </row>
    <row r="1119" spans="1:25" x14ac:dyDescent="0.3">
      <c r="A1119" s="1" t="s">
        <v>2133</v>
      </c>
      <c r="B1119" s="1" t="s">
        <v>26</v>
      </c>
      <c r="C1119" s="1" t="s">
        <v>27</v>
      </c>
      <c r="D1119" s="1" t="s">
        <v>28</v>
      </c>
      <c r="E1119" s="1" t="s">
        <v>74</v>
      </c>
      <c r="F1119" s="1" t="s">
        <v>54</v>
      </c>
      <c r="G1119" s="2">
        <v>486.87</v>
      </c>
      <c r="H1119" s="1">
        <v>24</v>
      </c>
      <c r="I1119" s="1">
        <v>147</v>
      </c>
      <c r="J1119" s="1">
        <v>135</v>
      </c>
      <c r="K1119" s="1">
        <v>69</v>
      </c>
      <c r="L1119" s="1">
        <v>117</v>
      </c>
      <c r="M1119" s="1" t="s">
        <v>41</v>
      </c>
      <c r="N1119" s="1" t="s">
        <v>60</v>
      </c>
      <c r="O1119" t="s">
        <v>242</v>
      </c>
      <c r="P1119" s="2">
        <v>340.81</v>
      </c>
      <c r="Q1119" s="1" t="str">
        <f>IF(J496&gt;K496,"YES","NO")</f>
        <v>YES</v>
      </c>
      <c r="R1119" s="2">
        <f>IF(Q496="YES",G496*0.9,G496)</f>
        <v>438.18299999999999</v>
      </c>
      <c r="S1119" s="2">
        <f>J496*G496</f>
        <v>65727.45</v>
      </c>
      <c r="T1119" s="1">
        <f ca="1">TODAY()-DATE(MID(O496,7,4),MID(O496,4,2),LEFT(O496,2))</f>
        <v>105</v>
      </c>
      <c r="U1119" s="1" t="s">
        <v>34</v>
      </c>
      <c r="V1119" s="1" t="s">
        <v>34</v>
      </c>
      <c r="W1119" s="1" t="s">
        <v>34</v>
      </c>
      <c r="X1119" t="s">
        <v>2697</v>
      </c>
      <c r="Y1119" s="1">
        <v>8</v>
      </c>
    </row>
    <row r="1120" spans="1:25" x14ac:dyDescent="0.3">
      <c r="A1120" s="1" t="s">
        <v>2134</v>
      </c>
      <c r="B1120" s="1" t="s">
        <v>102</v>
      </c>
      <c r="C1120" s="1" t="s">
        <v>103</v>
      </c>
      <c r="D1120" s="1" t="s">
        <v>104</v>
      </c>
      <c r="E1120" s="1" t="s">
        <v>74</v>
      </c>
      <c r="F1120" s="1" t="s">
        <v>54</v>
      </c>
      <c r="G1120" s="2">
        <v>472.88</v>
      </c>
      <c r="H1120" s="1">
        <v>0</v>
      </c>
      <c r="I1120" s="1">
        <v>274</v>
      </c>
      <c r="J1120" s="1">
        <v>234</v>
      </c>
      <c r="K1120" s="1">
        <v>85</v>
      </c>
      <c r="L1120" s="1">
        <v>91</v>
      </c>
      <c r="M1120" s="1" t="s">
        <v>41</v>
      </c>
      <c r="N1120" s="1" t="s">
        <v>60</v>
      </c>
      <c r="O1120" t="s">
        <v>284</v>
      </c>
      <c r="P1120" s="2">
        <v>331.02</v>
      </c>
      <c r="Q1120" s="1" t="str">
        <f>IF(J252&gt;K252,"YES","NO")</f>
        <v>YES</v>
      </c>
      <c r="R1120" s="2">
        <f>IF(Q252="YES",G252*0.9,G252)</f>
        <v>425.59199999999998</v>
      </c>
      <c r="S1120" s="2">
        <f>J252*G252</f>
        <v>110653.92</v>
      </c>
      <c r="T1120" s="1">
        <f ca="1">TODAY()-DATE(MID(O252,7,4),MID(O252,4,2),LEFT(O252,2))</f>
        <v>119</v>
      </c>
      <c r="U1120" s="1" t="s">
        <v>34</v>
      </c>
      <c r="V1120" s="1" t="s">
        <v>34</v>
      </c>
      <c r="W1120" s="1" t="s">
        <v>34</v>
      </c>
      <c r="X1120" t="s">
        <v>2658</v>
      </c>
      <c r="Y1120" s="1">
        <v>6</v>
      </c>
    </row>
    <row r="1121" spans="1:25" x14ac:dyDescent="0.3">
      <c r="A1121" s="1" t="s">
        <v>2135</v>
      </c>
      <c r="B1121" s="1" t="s">
        <v>130</v>
      </c>
      <c r="C1121" s="1" t="s">
        <v>131</v>
      </c>
      <c r="D1121" s="1" t="s">
        <v>132</v>
      </c>
      <c r="E1121" s="1" t="s">
        <v>29</v>
      </c>
      <c r="F1121" s="1" t="s">
        <v>48</v>
      </c>
      <c r="G1121" s="2">
        <v>97.23</v>
      </c>
      <c r="H1121" s="1">
        <v>8</v>
      </c>
      <c r="I1121" s="1">
        <v>106</v>
      </c>
      <c r="J1121" s="1">
        <v>78</v>
      </c>
      <c r="K1121" s="1">
        <v>50</v>
      </c>
      <c r="L1121" s="1">
        <v>125</v>
      </c>
      <c r="M1121" s="1" t="s">
        <v>49</v>
      </c>
      <c r="N1121" s="1" t="s">
        <v>60</v>
      </c>
      <c r="O1121" t="s">
        <v>137</v>
      </c>
      <c r="P1121" s="2">
        <v>68.06</v>
      </c>
      <c r="Q1121" s="1" t="str">
        <f>IF(J649&gt;K649,"YES","NO")</f>
        <v>YES</v>
      </c>
      <c r="R1121" s="2">
        <f>IF(Q649="YES",G649*0.9,G649)</f>
        <v>87.507000000000005</v>
      </c>
      <c r="S1121" s="2">
        <f>J649*G649</f>
        <v>7583.9400000000005</v>
      </c>
      <c r="T1121" s="1">
        <f ca="1">TODAY()-DATE(MID(O649,7,4),MID(O649,4,2),LEFT(O649,2))</f>
        <v>107</v>
      </c>
      <c r="U1121" s="1" t="s">
        <v>34</v>
      </c>
      <c r="V1121" s="1" t="s">
        <v>34</v>
      </c>
      <c r="W1121" s="1" t="s">
        <v>34</v>
      </c>
      <c r="X1121" t="s">
        <v>2792</v>
      </c>
      <c r="Y1121" s="1">
        <v>9.5</v>
      </c>
    </row>
    <row r="1122" spans="1:25" x14ac:dyDescent="0.3">
      <c r="A1122" s="1" t="s">
        <v>2136</v>
      </c>
      <c r="B1122" s="1" t="s">
        <v>57</v>
      </c>
      <c r="C1122" s="1" t="s">
        <v>58</v>
      </c>
      <c r="D1122" s="1" t="s">
        <v>59</v>
      </c>
      <c r="E1122" s="1" t="s">
        <v>29</v>
      </c>
      <c r="F1122" s="1" t="s">
        <v>48</v>
      </c>
      <c r="G1122" s="2">
        <v>326.07</v>
      </c>
      <c r="H1122" s="1">
        <v>22</v>
      </c>
      <c r="I1122" s="1">
        <v>244</v>
      </c>
      <c r="J1122" s="1">
        <v>210</v>
      </c>
      <c r="K1122" s="1">
        <v>47</v>
      </c>
      <c r="L1122" s="1">
        <v>137</v>
      </c>
      <c r="M1122" s="1" t="s">
        <v>49</v>
      </c>
      <c r="N1122" s="1" t="s">
        <v>60</v>
      </c>
      <c r="O1122" t="s">
        <v>398</v>
      </c>
      <c r="P1122" s="2">
        <v>228.25</v>
      </c>
      <c r="Q1122" s="1" t="str">
        <f>IF(J217&gt;K217,"YES","NO")</f>
        <v>YES</v>
      </c>
      <c r="R1122" s="2">
        <f>IF(Q217="YES",G217*0.9,G217)</f>
        <v>293.46300000000002</v>
      </c>
      <c r="S1122" s="2">
        <f>J217*G217</f>
        <v>68474.7</v>
      </c>
      <c r="T1122" s="1">
        <f ca="1">TODAY()-DATE(MID(O217,7,4),MID(O217,4,2),LEFT(O217,2))</f>
        <v>86</v>
      </c>
      <c r="U1122" s="1" t="s">
        <v>34</v>
      </c>
      <c r="V1122" s="1" t="s">
        <v>34</v>
      </c>
      <c r="W1122" s="1" t="s">
        <v>34</v>
      </c>
      <c r="X1122" t="s">
        <v>2802</v>
      </c>
      <c r="Y1122" s="1">
        <v>8.5</v>
      </c>
    </row>
    <row r="1123" spans="1:25" x14ac:dyDescent="0.3">
      <c r="A1123" s="1" t="s">
        <v>2137</v>
      </c>
      <c r="B1123" s="1" t="s">
        <v>143</v>
      </c>
      <c r="C1123" s="1" t="s">
        <v>144</v>
      </c>
      <c r="D1123" s="1" t="s">
        <v>47</v>
      </c>
      <c r="E1123" s="1" t="s">
        <v>29</v>
      </c>
      <c r="F1123" s="1" t="s">
        <v>54</v>
      </c>
      <c r="G1123" s="2">
        <v>438.21</v>
      </c>
      <c r="H1123" s="1">
        <v>18</v>
      </c>
      <c r="I1123" s="1">
        <v>271</v>
      </c>
      <c r="J1123" s="1">
        <v>248</v>
      </c>
      <c r="K1123" s="1">
        <v>113</v>
      </c>
      <c r="L1123" s="1">
        <v>93</v>
      </c>
      <c r="M1123" s="1" t="s">
        <v>41</v>
      </c>
      <c r="N1123" s="1" t="s">
        <v>32</v>
      </c>
      <c r="O1123" t="s">
        <v>145</v>
      </c>
      <c r="P1123" s="2">
        <v>306.75</v>
      </c>
      <c r="Q1123" s="1" t="str">
        <f>IF(J672&gt;K672,"YES","NO")</f>
        <v>YES</v>
      </c>
      <c r="R1123" s="2">
        <f>IF(Q672="YES",G672*0.9,G672)</f>
        <v>394.38900000000001</v>
      </c>
      <c r="S1123" s="2">
        <f>J672*G672</f>
        <v>108676.08</v>
      </c>
      <c r="T1123" s="1">
        <f ca="1">TODAY()-DATE(MID(O672,7,4),MID(O672,4,2),LEFT(O672,2))</f>
        <v>68</v>
      </c>
      <c r="U1123" s="1" t="s">
        <v>34</v>
      </c>
      <c r="V1123" s="1" t="s">
        <v>34</v>
      </c>
      <c r="W1123" s="1" t="s">
        <v>34</v>
      </c>
      <c r="X1123" t="s">
        <v>2636</v>
      </c>
      <c r="Y1123" s="1">
        <v>6</v>
      </c>
    </row>
    <row r="1124" spans="1:25" x14ac:dyDescent="0.3">
      <c r="A1124" s="1" t="s">
        <v>2138</v>
      </c>
      <c r="B1124" s="1" t="s">
        <v>83</v>
      </c>
      <c r="C1124" s="1" t="s">
        <v>84</v>
      </c>
      <c r="D1124" s="1" t="s">
        <v>85</v>
      </c>
      <c r="E1124" s="1" t="s">
        <v>74</v>
      </c>
      <c r="F1124" s="1" t="s">
        <v>48</v>
      </c>
      <c r="G1124" s="2">
        <v>85.91</v>
      </c>
      <c r="H1124" s="1">
        <v>4</v>
      </c>
      <c r="I1124" s="1">
        <v>252</v>
      </c>
      <c r="J1124" s="1">
        <v>227</v>
      </c>
      <c r="K1124" s="1">
        <v>51</v>
      </c>
      <c r="L1124" s="1">
        <v>64</v>
      </c>
      <c r="M1124" s="1" t="s">
        <v>41</v>
      </c>
      <c r="N1124" s="1" t="s">
        <v>60</v>
      </c>
      <c r="O1124" t="s">
        <v>336</v>
      </c>
      <c r="P1124" s="2">
        <v>60.14</v>
      </c>
      <c r="Q1124" s="1" t="str">
        <f>IF(J461&gt;K461,"YES","NO")</f>
        <v>YES</v>
      </c>
      <c r="R1124" s="2">
        <f>IF(Q461="YES",G461*0.9,G461)</f>
        <v>77.319000000000003</v>
      </c>
      <c r="S1124" s="2">
        <f>J461*G461</f>
        <v>19501.57</v>
      </c>
      <c r="T1124" s="1">
        <f ca="1">TODAY()-DATE(MID(O461,7,4),MID(O461,4,2),LEFT(O461,2))</f>
        <v>131</v>
      </c>
      <c r="U1124" s="1" t="s">
        <v>34</v>
      </c>
      <c r="V1124" s="1" t="s">
        <v>34</v>
      </c>
      <c r="W1124" s="1" t="s">
        <v>34</v>
      </c>
      <c r="X1124" t="s">
        <v>2555</v>
      </c>
      <c r="Y1124" s="1">
        <v>5.5</v>
      </c>
    </row>
    <row r="1125" spans="1:25" x14ac:dyDescent="0.3">
      <c r="A1125" s="1" t="s">
        <v>2139</v>
      </c>
      <c r="B1125" s="1" t="s">
        <v>95</v>
      </c>
      <c r="C1125" s="1" t="s">
        <v>96</v>
      </c>
      <c r="D1125" s="1" t="s">
        <v>97</v>
      </c>
      <c r="E1125" s="1" t="s">
        <v>74</v>
      </c>
      <c r="F1125" s="1" t="s">
        <v>54</v>
      </c>
      <c r="G1125" s="2">
        <v>115.58</v>
      </c>
      <c r="H1125" s="1">
        <v>3</v>
      </c>
      <c r="I1125" s="1">
        <v>222</v>
      </c>
      <c r="J1125" s="1">
        <v>214</v>
      </c>
      <c r="K1125" s="1">
        <v>69</v>
      </c>
      <c r="L1125" s="1">
        <v>62</v>
      </c>
      <c r="M1125" s="1" t="s">
        <v>31</v>
      </c>
      <c r="N1125" s="1" t="s">
        <v>32</v>
      </c>
      <c r="O1125" t="s">
        <v>292</v>
      </c>
      <c r="P1125" s="2">
        <v>80.91</v>
      </c>
      <c r="Q1125" s="1" t="str">
        <f>IF(J479&gt;K479,"YES","NO")</f>
        <v>YES</v>
      </c>
      <c r="R1125" s="2">
        <f>IF(Q479="YES",G479*0.9,G479)</f>
        <v>104.02200000000001</v>
      </c>
      <c r="S1125" s="2">
        <f>J479*G479</f>
        <v>24734.12</v>
      </c>
      <c r="T1125" s="1">
        <f ca="1">TODAY()-DATE(MID(O479,7,4),MID(O479,4,2),LEFT(O479,2))</f>
        <v>83</v>
      </c>
      <c r="U1125" s="1" t="s">
        <v>34</v>
      </c>
      <c r="V1125" s="1" t="s">
        <v>34</v>
      </c>
      <c r="W1125" s="1" t="s">
        <v>34</v>
      </c>
      <c r="X1125" t="s">
        <v>2599</v>
      </c>
      <c r="Y1125" s="1">
        <v>9.5</v>
      </c>
    </row>
    <row r="1126" spans="1:25" x14ac:dyDescent="0.3">
      <c r="A1126" s="1" t="s">
        <v>2140</v>
      </c>
      <c r="B1126" s="1" t="s">
        <v>45</v>
      </c>
      <c r="C1126" s="1" t="s">
        <v>46</v>
      </c>
      <c r="D1126" s="1" t="s">
        <v>47</v>
      </c>
      <c r="E1126" s="1" t="s">
        <v>74</v>
      </c>
      <c r="F1126" s="1" t="s">
        <v>48</v>
      </c>
      <c r="G1126" s="2">
        <v>107.36</v>
      </c>
      <c r="H1126" s="1">
        <v>6</v>
      </c>
      <c r="I1126" s="1">
        <v>297</v>
      </c>
      <c r="J1126" s="1">
        <v>292</v>
      </c>
      <c r="K1126" s="1">
        <v>93</v>
      </c>
      <c r="L1126" s="1">
        <v>123</v>
      </c>
      <c r="M1126" s="1" t="s">
        <v>41</v>
      </c>
      <c r="N1126" s="1" t="s">
        <v>60</v>
      </c>
      <c r="O1126" t="s">
        <v>75</v>
      </c>
      <c r="P1126" s="2">
        <v>75.150000000000006</v>
      </c>
      <c r="Q1126" s="1" t="str">
        <f>IF(J648&gt;K648,"YES","NO")</f>
        <v>YES</v>
      </c>
      <c r="R1126" s="2">
        <f>IF(Q648="YES",G648*0.9,G648)</f>
        <v>96.623999999999995</v>
      </c>
      <c r="S1126" s="2">
        <f>J648*G648</f>
        <v>31349.119999999999</v>
      </c>
      <c r="T1126" s="1">
        <f ca="1">TODAY()-DATE(MID(O648,7,4),MID(O648,4,2),LEFT(O648,2))</f>
        <v>123</v>
      </c>
      <c r="U1126" s="1" t="s">
        <v>34</v>
      </c>
      <c r="V1126" s="1" t="s">
        <v>34</v>
      </c>
      <c r="W1126" s="1" t="s">
        <v>34</v>
      </c>
      <c r="X1126" t="s">
        <v>2621</v>
      </c>
      <c r="Y1126" s="1">
        <v>9</v>
      </c>
    </row>
    <row r="1127" spans="1:25" x14ac:dyDescent="0.3">
      <c r="A1127" s="1" t="s">
        <v>2141</v>
      </c>
      <c r="B1127" s="1" t="s">
        <v>126</v>
      </c>
      <c r="C1127" s="1" t="s">
        <v>127</v>
      </c>
      <c r="D1127" s="1" t="s">
        <v>85</v>
      </c>
      <c r="E1127" s="1" t="s">
        <v>40</v>
      </c>
      <c r="F1127" s="1" t="s">
        <v>48</v>
      </c>
      <c r="G1127" s="2">
        <v>174.76</v>
      </c>
      <c r="H1127" s="1">
        <v>4</v>
      </c>
      <c r="I1127" s="1">
        <v>221</v>
      </c>
      <c r="J1127" s="1">
        <v>205</v>
      </c>
      <c r="K1127" s="1">
        <v>109</v>
      </c>
      <c r="L1127" s="1">
        <v>99</v>
      </c>
      <c r="M1127" s="1" t="s">
        <v>49</v>
      </c>
      <c r="N1127" s="1" t="s">
        <v>42</v>
      </c>
      <c r="O1127" t="s">
        <v>100</v>
      </c>
      <c r="P1127" s="2">
        <v>122.33</v>
      </c>
      <c r="Q1127" s="1" t="str">
        <f>IF(J517&gt;K517,"YES","NO")</f>
        <v>YES</v>
      </c>
      <c r="R1127" s="2">
        <f>IF(Q517="YES",G517*0.9,G517)</f>
        <v>157.28399999999999</v>
      </c>
      <c r="S1127" s="2">
        <f>J517*G517</f>
        <v>35825.799999999996</v>
      </c>
      <c r="T1127" s="1">
        <f ca="1">TODAY()-DATE(MID(O517,7,4),MID(O517,4,2),LEFT(O517,2))</f>
        <v>137</v>
      </c>
      <c r="U1127" s="1" t="s">
        <v>34</v>
      </c>
      <c r="V1127" s="1" t="s">
        <v>34</v>
      </c>
      <c r="W1127" s="1" t="s">
        <v>34</v>
      </c>
      <c r="X1127" t="s">
        <v>2905</v>
      </c>
      <c r="Y1127" s="1">
        <v>8.5</v>
      </c>
    </row>
    <row r="1128" spans="1:25" x14ac:dyDescent="0.3">
      <c r="A1128" s="1" t="s">
        <v>2142</v>
      </c>
      <c r="B1128" s="1" t="s">
        <v>45</v>
      </c>
      <c r="C1128" s="1" t="s">
        <v>46</v>
      </c>
      <c r="D1128" s="1" t="s">
        <v>47</v>
      </c>
      <c r="E1128" s="1" t="s">
        <v>40</v>
      </c>
      <c r="F1128" s="1" t="s">
        <v>48</v>
      </c>
      <c r="G1128" s="2">
        <v>223.4</v>
      </c>
      <c r="H1128" s="1">
        <v>3</v>
      </c>
      <c r="I1128" s="1">
        <v>100</v>
      </c>
      <c r="J1128" s="1">
        <v>63</v>
      </c>
      <c r="K1128" s="1">
        <v>78</v>
      </c>
      <c r="L1128" s="1">
        <v>136</v>
      </c>
      <c r="M1128" s="1" t="s">
        <v>49</v>
      </c>
      <c r="N1128" s="1" t="s">
        <v>32</v>
      </c>
      <c r="O1128" t="s">
        <v>105</v>
      </c>
      <c r="P1128" s="2">
        <v>156.38</v>
      </c>
      <c r="Q1128" s="1" t="str">
        <f>IF(J101&gt;K101,"YES","NO")</f>
        <v>NO</v>
      </c>
      <c r="R1128" s="2">
        <f>IF(Q101="YES",G101*0.9,G101)</f>
        <v>223.4</v>
      </c>
      <c r="S1128" s="2">
        <f>J101*G101</f>
        <v>14074.2</v>
      </c>
      <c r="T1128" s="1">
        <f ca="1">TODAY()-DATE(MID(O101,7,4),MID(O101,4,2),LEFT(O101,2))</f>
        <v>144</v>
      </c>
      <c r="U1128" s="1" t="s">
        <v>34</v>
      </c>
      <c r="V1128" s="1" t="s">
        <v>34</v>
      </c>
      <c r="W1128" s="1" t="s">
        <v>34</v>
      </c>
      <c r="X1128" t="s">
        <v>2760</v>
      </c>
      <c r="Y1128" s="1">
        <v>5.5</v>
      </c>
    </row>
    <row r="1129" spans="1:25" x14ac:dyDescent="0.3">
      <c r="A1129" s="1" t="s">
        <v>2143</v>
      </c>
      <c r="B1129" s="1" t="s">
        <v>63</v>
      </c>
      <c r="C1129" s="1" t="s">
        <v>64</v>
      </c>
      <c r="D1129" s="1" t="s">
        <v>28</v>
      </c>
      <c r="E1129" s="1" t="s">
        <v>29</v>
      </c>
      <c r="F1129" s="1" t="s">
        <v>48</v>
      </c>
      <c r="G1129" s="2">
        <v>89.47</v>
      </c>
      <c r="H1129" s="1">
        <v>7</v>
      </c>
      <c r="I1129" s="1">
        <v>264</v>
      </c>
      <c r="J1129" s="1">
        <v>259</v>
      </c>
      <c r="K1129" s="1">
        <v>74</v>
      </c>
      <c r="L1129" s="1">
        <v>148</v>
      </c>
      <c r="M1129" s="1" t="s">
        <v>41</v>
      </c>
      <c r="N1129" s="1" t="s">
        <v>32</v>
      </c>
      <c r="O1129" t="s">
        <v>266</v>
      </c>
      <c r="P1129" s="2">
        <v>62.63</v>
      </c>
      <c r="Q1129" s="1" t="str">
        <f>IF(J732&gt;K732,"YES","NO")</f>
        <v>YES</v>
      </c>
      <c r="R1129" s="2">
        <f>IF(Q732="YES",G732*0.9,G732)</f>
        <v>80.522999999999996</v>
      </c>
      <c r="S1129" s="2">
        <f>J732*G732</f>
        <v>23172.73</v>
      </c>
      <c r="T1129" s="1">
        <f ca="1">TODAY()-DATE(MID(O732,7,4),MID(O732,4,2),LEFT(O732,2))</f>
        <v>139</v>
      </c>
      <c r="U1129" s="1" t="s">
        <v>34</v>
      </c>
      <c r="V1129" s="1" t="s">
        <v>34</v>
      </c>
      <c r="W1129" s="1" t="s">
        <v>34</v>
      </c>
      <c r="X1129" t="s">
        <v>2906</v>
      </c>
      <c r="Y1129" s="1">
        <v>6</v>
      </c>
    </row>
    <row r="1130" spans="1:25" x14ac:dyDescent="0.3">
      <c r="A1130" s="1" t="s">
        <v>2144</v>
      </c>
      <c r="B1130" s="1" t="s">
        <v>37</v>
      </c>
      <c r="C1130" s="1" t="s">
        <v>38</v>
      </c>
      <c r="D1130" s="1" t="s">
        <v>39</v>
      </c>
      <c r="E1130" s="1" t="s">
        <v>40</v>
      </c>
      <c r="F1130" s="1" t="s">
        <v>30</v>
      </c>
      <c r="G1130" s="2">
        <v>439.82</v>
      </c>
      <c r="H1130" s="1">
        <v>6</v>
      </c>
      <c r="I1130" s="1">
        <v>153</v>
      </c>
      <c r="J1130" s="1">
        <v>147</v>
      </c>
      <c r="K1130" s="1">
        <v>49</v>
      </c>
      <c r="L1130" s="1">
        <v>78</v>
      </c>
      <c r="M1130" s="1" t="s">
        <v>41</v>
      </c>
      <c r="N1130" s="1" t="s">
        <v>32</v>
      </c>
      <c r="O1130" t="s">
        <v>336</v>
      </c>
      <c r="P1130" s="2">
        <v>307.87</v>
      </c>
      <c r="Q1130" s="1" t="str">
        <f>IF(J304&gt;K304,"YES","NO")</f>
        <v>YES</v>
      </c>
      <c r="R1130" s="2">
        <f>IF(Q304="YES",G304*0.9,G304)</f>
        <v>395.83800000000002</v>
      </c>
      <c r="S1130" s="2">
        <f>J304*G304</f>
        <v>64653.54</v>
      </c>
      <c r="T1130" s="1">
        <f ca="1">TODAY()-DATE(MID(O304,7,4),MID(O304,4,2),LEFT(O304,2))</f>
        <v>131</v>
      </c>
      <c r="U1130" s="1" t="s">
        <v>34</v>
      </c>
      <c r="V1130" s="1" t="s">
        <v>34</v>
      </c>
      <c r="W1130" s="1" t="s">
        <v>34</v>
      </c>
      <c r="X1130" t="s">
        <v>2868</v>
      </c>
      <c r="Y1130" s="1">
        <v>7</v>
      </c>
    </row>
    <row r="1131" spans="1:25" x14ac:dyDescent="0.3">
      <c r="A1131" s="1" t="s">
        <v>2145</v>
      </c>
      <c r="B1131" s="1" t="s">
        <v>123</v>
      </c>
      <c r="C1131" s="1" t="s">
        <v>124</v>
      </c>
      <c r="D1131" s="1" t="s">
        <v>47</v>
      </c>
      <c r="E1131" s="1" t="s">
        <v>74</v>
      </c>
      <c r="F1131" s="1" t="s">
        <v>30</v>
      </c>
      <c r="G1131" s="2">
        <v>220.42</v>
      </c>
      <c r="H1131" s="1">
        <v>2</v>
      </c>
      <c r="I1131" s="1">
        <v>166</v>
      </c>
      <c r="J1131" s="1">
        <v>141</v>
      </c>
      <c r="K1131" s="1">
        <v>117</v>
      </c>
      <c r="L1131" s="1">
        <v>55</v>
      </c>
      <c r="M1131" s="1" t="s">
        <v>31</v>
      </c>
      <c r="N1131" s="1" t="s">
        <v>32</v>
      </c>
      <c r="O1131" t="s">
        <v>209</v>
      </c>
      <c r="P1131" s="2">
        <v>154.29</v>
      </c>
      <c r="Q1131" s="1" t="str">
        <f>IF(J684&gt;K684,"YES","NO")</f>
        <v>YES</v>
      </c>
      <c r="R1131" s="2">
        <f>IF(Q684="YES",G684*0.9,G684)</f>
        <v>198.37799999999999</v>
      </c>
      <c r="S1131" s="2">
        <f>J684*G684</f>
        <v>31079.219999999998</v>
      </c>
      <c r="T1131" s="1">
        <f ca="1">TODAY()-DATE(MID(O684,7,4),MID(O684,4,2),LEFT(O684,2))</f>
        <v>127</v>
      </c>
      <c r="U1131" s="1" t="s">
        <v>34</v>
      </c>
      <c r="V1131" s="1" t="s">
        <v>34</v>
      </c>
      <c r="W1131" s="1" t="s">
        <v>34</v>
      </c>
      <c r="X1131" t="s">
        <v>2540</v>
      </c>
      <c r="Y1131" s="1">
        <v>7</v>
      </c>
    </row>
    <row r="1132" spans="1:25" x14ac:dyDescent="0.3">
      <c r="A1132" s="1" t="s">
        <v>2146</v>
      </c>
      <c r="B1132" s="1" t="s">
        <v>111</v>
      </c>
      <c r="C1132" s="1" t="s">
        <v>112</v>
      </c>
      <c r="D1132" s="1" t="s">
        <v>97</v>
      </c>
      <c r="E1132" s="1" t="s">
        <v>40</v>
      </c>
      <c r="F1132" s="1" t="s">
        <v>54</v>
      </c>
      <c r="G1132" s="2">
        <v>93.13</v>
      </c>
      <c r="H1132" s="1">
        <v>3</v>
      </c>
      <c r="I1132" s="1">
        <v>240</v>
      </c>
      <c r="J1132" s="1">
        <v>204</v>
      </c>
      <c r="K1132" s="1">
        <v>99</v>
      </c>
      <c r="L1132" s="1">
        <v>80</v>
      </c>
      <c r="M1132" s="1" t="s">
        <v>49</v>
      </c>
      <c r="N1132" s="1" t="s">
        <v>32</v>
      </c>
      <c r="O1132" t="s">
        <v>209</v>
      </c>
      <c r="P1132" s="2">
        <v>65.19</v>
      </c>
      <c r="Q1132" s="1" t="str">
        <f>IF(J552&gt;K552,"YES","NO")</f>
        <v>YES</v>
      </c>
      <c r="R1132" s="2">
        <f>IF(Q552="YES",G552*0.9,G552)</f>
        <v>83.816999999999993</v>
      </c>
      <c r="S1132" s="2">
        <f>J552*G552</f>
        <v>18998.52</v>
      </c>
      <c r="T1132" s="1">
        <f ca="1">TODAY()-DATE(MID(O552,7,4),MID(O552,4,2),LEFT(O552,2))</f>
        <v>127</v>
      </c>
      <c r="U1132" s="1" t="s">
        <v>34</v>
      </c>
      <c r="V1132" s="1" t="s">
        <v>34</v>
      </c>
      <c r="W1132" s="1" t="s">
        <v>34</v>
      </c>
      <c r="X1132" t="s">
        <v>2869</v>
      </c>
      <c r="Y1132" s="1">
        <v>6</v>
      </c>
    </row>
    <row r="1133" spans="1:25" x14ac:dyDescent="0.3">
      <c r="A1133" s="1" t="s">
        <v>2147</v>
      </c>
      <c r="B1133" s="1" t="s">
        <v>83</v>
      </c>
      <c r="C1133" s="1" t="s">
        <v>84</v>
      </c>
      <c r="D1133" s="1" t="s">
        <v>85</v>
      </c>
      <c r="E1133" s="1" t="s">
        <v>40</v>
      </c>
      <c r="F1133" s="1" t="s">
        <v>30</v>
      </c>
      <c r="G1133" s="2">
        <v>92.6</v>
      </c>
      <c r="H1133" s="1">
        <v>19</v>
      </c>
      <c r="I1133" s="1">
        <v>201</v>
      </c>
      <c r="J1133" s="1">
        <v>195</v>
      </c>
      <c r="K1133" s="1">
        <v>84</v>
      </c>
      <c r="L1133" s="1">
        <v>78</v>
      </c>
      <c r="M1133" s="1" t="s">
        <v>49</v>
      </c>
      <c r="N1133" s="1" t="s">
        <v>42</v>
      </c>
      <c r="O1133" t="s">
        <v>133</v>
      </c>
      <c r="P1133" s="2">
        <v>64.819999999999993</v>
      </c>
      <c r="Q1133" s="1" t="str">
        <f>IF(J651&gt;K651,"YES","NO")</f>
        <v>YES</v>
      </c>
      <c r="R1133" s="2">
        <f>IF(Q651="YES",G651*0.9,G651)</f>
        <v>83.34</v>
      </c>
      <c r="S1133" s="2">
        <f>J651*G651</f>
        <v>18057</v>
      </c>
      <c r="T1133" s="1">
        <f ca="1">TODAY()-DATE(MID(O651,7,4),MID(O651,4,2),LEFT(O651,2))</f>
        <v>76</v>
      </c>
      <c r="U1133" s="1" t="s">
        <v>34</v>
      </c>
      <c r="V1133" s="1" t="s">
        <v>34</v>
      </c>
      <c r="W1133" s="1" t="s">
        <v>34</v>
      </c>
      <c r="X1133" t="s">
        <v>2857</v>
      </c>
      <c r="Y1133" s="1">
        <v>5.5</v>
      </c>
    </row>
    <row r="1134" spans="1:25" x14ac:dyDescent="0.3">
      <c r="A1134" s="1" t="s">
        <v>2148</v>
      </c>
      <c r="B1134" s="1" t="s">
        <v>166</v>
      </c>
      <c r="C1134" s="1" t="s">
        <v>167</v>
      </c>
      <c r="D1134" s="1" t="s">
        <v>59</v>
      </c>
      <c r="E1134" s="1" t="s">
        <v>29</v>
      </c>
      <c r="F1134" s="1" t="s">
        <v>30</v>
      </c>
      <c r="G1134" s="2">
        <v>142.46</v>
      </c>
      <c r="H1134" s="1">
        <v>25</v>
      </c>
      <c r="I1134" s="1">
        <v>229</v>
      </c>
      <c r="J1134" s="1">
        <v>213</v>
      </c>
      <c r="K1134" s="1">
        <v>76</v>
      </c>
      <c r="L1134" s="1">
        <v>87</v>
      </c>
      <c r="M1134" s="1" t="s">
        <v>31</v>
      </c>
      <c r="N1134" s="1" t="s">
        <v>42</v>
      </c>
      <c r="O1134" t="s">
        <v>185</v>
      </c>
      <c r="P1134" s="2">
        <v>99.72</v>
      </c>
      <c r="Q1134" s="1" t="str">
        <f>IF(J77&gt;K77,"YES","NO")</f>
        <v>YES</v>
      </c>
      <c r="R1134" s="2">
        <f>IF(Q77="YES",G77*0.9,G77)</f>
        <v>128.214</v>
      </c>
      <c r="S1134" s="2">
        <f>J77*G77</f>
        <v>30343.980000000003</v>
      </c>
      <c r="T1134" s="1">
        <f ca="1">TODAY()-DATE(MID(O77,7,4),MID(O77,4,2),LEFT(O77,2))</f>
        <v>104</v>
      </c>
      <c r="U1134" s="1" t="s">
        <v>34</v>
      </c>
      <c r="V1134" s="1" t="s">
        <v>34</v>
      </c>
      <c r="W1134" s="1" t="s">
        <v>34</v>
      </c>
      <c r="X1134" t="s">
        <v>2754</v>
      </c>
      <c r="Y1134" s="1">
        <v>8.5</v>
      </c>
    </row>
    <row r="1135" spans="1:25" x14ac:dyDescent="0.3">
      <c r="A1135" s="1" t="s">
        <v>2149</v>
      </c>
      <c r="B1135" s="1" t="s">
        <v>172</v>
      </c>
      <c r="C1135" s="1" t="s">
        <v>173</v>
      </c>
      <c r="D1135" s="1" t="s">
        <v>132</v>
      </c>
      <c r="E1135" s="1" t="s">
        <v>40</v>
      </c>
      <c r="F1135" s="1" t="s">
        <v>30</v>
      </c>
      <c r="G1135" s="2">
        <v>212.7</v>
      </c>
      <c r="H1135" s="1">
        <v>22</v>
      </c>
      <c r="I1135" s="1">
        <v>104</v>
      </c>
      <c r="J1135" s="1">
        <v>103</v>
      </c>
      <c r="K1135" s="1">
        <v>49</v>
      </c>
      <c r="L1135" s="1">
        <v>140</v>
      </c>
      <c r="M1135" s="1" t="s">
        <v>49</v>
      </c>
      <c r="N1135" s="1" t="s">
        <v>42</v>
      </c>
      <c r="O1135" t="s">
        <v>209</v>
      </c>
      <c r="P1135" s="2">
        <v>148.88999999999999</v>
      </c>
      <c r="Q1135" s="1" t="str">
        <f>IF(J514&gt;K514,"YES","NO")</f>
        <v>YES</v>
      </c>
      <c r="R1135" s="2">
        <f>IF(Q514="YES",G514*0.9,G514)</f>
        <v>191.43</v>
      </c>
      <c r="S1135" s="2">
        <f>J514*G514</f>
        <v>21908.1</v>
      </c>
      <c r="T1135" s="1">
        <f ca="1">TODAY()-DATE(MID(O514,7,4),MID(O514,4,2),LEFT(O514,2))</f>
        <v>127</v>
      </c>
      <c r="U1135" s="1" t="s">
        <v>34</v>
      </c>
      <c r="V1135" s="1" t="s">
        <v>34</v>
      </c>
      <c r="W1135" s="1" t="s">
        <v>34</v>
      </c>
      <c r="X1135" t="s">
        <v>2890</v>
      </c>
      <c r="Y1135" s="1">
        <v>7</v>
      </c>
    </row>
    <row r="1136" spans="1:25" x14ac:dyDescent="0.3">
      <c r="A1136" s="1" t="s">
        <v>2150</v>
      </c>
      <c r="B1136" s="1" t="s">
        <v>189</v>
      </c>
      <c r="C1136" s="1" t="s">
        <v>190</v>
      </c>
      <c r="D1136" s="1" t="s">
        <v>59</v>
      </c>
      <c r="E1136" s="1" t="s">
        <v>40</v>
      </c>
      <c r="F1136" s="1" t="s">
        <v>30</v>
      </c>
      <c r="G1136" s="2">
        <v>380.64</v>
      </c>
      <c r="H1136" s="1">
        <v>2</v>
      </c>
      <c r="I1136" s="1">
        <v>163</v>
      </c>
      <c r="J1136" s="1">
        <v>138</v>
      </c>
      <c r="K1136" s="1">
        <v>59</v>
      </c>
      <c r="L1136" s="1">
        <v>117</v>
      </c>
      <c r="M1136" s="1" t="s">
        <v>41</v>
      </c>
      <c r="N1136" s="1" t="s">
        <v>32</v>
      </c>
      <c r="O1136" t="s">
        <v>43</v>
      </c>
      <c r="P1136" s="2">
        <v>266.45</v>
      </c>
      <c r="Q1136" s="1" t="str">
        <f>IF(J548&gt;K548,"YES","NO")</f>
        <v>YES</v>
      </c>
      <c r="R1136" s="2">
        <f>IF(Q548="YES",G548*0.9,G548)</f>
        <v>342.57600000000002</v>
      </c>
      <c r="S1136" s="2">
        <f>J548*G548</f>
        <v>52528.32</v>
      </c>
      <c r="T1136" s="1">
        <f ca="1">TODAY()-DATE(MID(O548,7,4),MID(O548,4,2),LEFT(O548,2))</f>
        <v>117</v>
      </c>
      <c r="U1136" s="1" t="s">
        <v>34</v>
      </c>
      <c r="V1136" s="1" t="s">
        <v>34</v>
      </c>
      <c r="W1136" s="1" t="s">
        <v>34</v>
      </c>
      <c r="X1136" t="s">
        <v>2702</v>
      </c>
      <c r="Y1136" s="1">
        <v>9</v>
      </c>
    </row>
    <row r="1137" spans="1:25" x14ac:dyDescent="0.3">
      <c r="A1137" s="1" t="s">
        <v>2151</v>
      </c>
      <c r="B1137" s="1" t="s">
        <v>172</v>
      </c>
      <c r="C1137" s="1" t="s">
        <v>173</v>
      </c>
      <c r="D1137" s="1" t="s">
        <v>132</v>
      </c>
      <c r="E1137" s="1" t="s">
        <v>29</v>
      </c>
      <c r="F1137" s="1" t="s">
        <v>54</v>
      </c>
      <c r="G1137" s="2">
        <v>339.06</v>
      </c>
      <c r="H1137" s="1">
        <v>9</v>
      </c>
      <c r="I1137" s="1">
        <v>125</v>
      </c>
      <c r="J1137" s="1">
        <v>121</v>
      </c>
      <c r="K1137" s="1">
        <v>103</v>
      </c>
      <c r="L1137" s="1">
        <v>122</v>
      </c>
      <c r="M1137" s="1" t="s">
        <v>49</v>
      </c>
      <c r="N1137" s="1" t="s">
        <v>60</v>
      </c>
      <c r="O1137" t="s">
        <v>340</v>
      </c>
      <c r="P1137" s="2">
        <v>237.34</v>
      </c>
      <c r="Q1137" s="1" t="str">
        <f>IF(J175&gt;K175,"YES","NO")</f>
        <v>YES</v>
      </c>
      <c r="R1137" s="2">
        <f>IF(Q175="YES",G175*0.9,G175)</f>
        <v>305.154</v>
      </c>
      <c r="S1137" s="2">
        <f>J175*G175</f>
        <v>41026.26</v>
      </c>
      <c r="T1137" s="1">
        <f ca="1">TODAY()-DATE(MID(O175,7,4),MID(O175,4,2),LEFT(O175,2))</f>
        <v>138</v>
      </c>
      <c r="U1137" s="1" t="s">
        <v>34</v>
      </c>
      <c r="V1137" s="1" t="s">
        <v>34</v>
      </c>
      <c r="W1137" s="1" t="s">
        <v>34</v>
      </c>
      <c r="X1137" t="s">
        <v>2811</v>
      </c>
      <c r="Y1137" s="1">
        <v>7.5</v>
      </c>
    </row>
    <row r="1138" spans="1:25" x14ac:dyDescent="0.3">
      <c r="A1138" s="1" t="s">
        <v>2152</v>
      </c>
      <c r="B1138" s="1" t="s">
        <v>102</v>
      </c>
      <c r="C1138" s="1" t="s">
        <v>103</v>
      </c>
      <c r="D1138" s="1" t="s">
        <v>104</v>
      </c>
      <c r="E1138" s="1" t="s">
        <v>74</v>
      </c>
      <c r="F1138" s="1" t="s">
        <v>48</v>
      </c>
      <c r="G1138" s="2">
        <v>164.92</v>
      </c>
      <c r="H1138" s="1">
        <v>2</v>
      </c>
      <c r="I1138" s="1">
        <v>173</v>
      </c>
      <c r="J1138" s="1">
        <v>164</v>
      </c>
      <c r="K1138" s="1">
        <v>61</v>
      </c>
      <c r="L1138" s="1">
        <v>72</v>
      </c>
      <c r="M1138" s="1" t="s">
        <v>31</v>
      </c>
      <c r="N1138" s="1" t="s">
        <v>60</v>
      </c>
      <c r="O1138" t="s">
        <v>145</v>
      </c>
      <c r="P1138" s="2">
        <v>115.44</v>
      </c>
      <c r="Q1138" s="1" t="str">
        <f>IF(J391&gt;K391,"YES","NO")</f>
        <v>YES</v>
      </c>
      <c r="R1138" s="2">
        <f>IF(Q391="YES",G391*0.9,G391)</f>
        <v>148.428</v>
      </c>
      <c r="S1138" s="2">
        <f>J391*G391</f>
        <v>27046.879999999997</v>
      </c>
      <c r="T1138" s="1">
        <f ca="1">TODAY()-DATE(MID(O391,7,4),MID(O391,4,2),LEFT(O391,2))</f>
        <v>68</v>
      </c>
      <c r="U1138" s="1" t="s">
        <v>34</v>
      </c>
      <c r="V1138" s="1" t="s">
        <v>34</v>
      </c>
      <c r="W1138" s="1" t="s">
        <v>34</v>
      </c>
      <c r="X1138" t="s">
        <v>2659</v>
      </c>
      <c r="Y1138" s="1">
        <v>5.5</v>
      </c>
    </row>
    <row r="1139" spans="1:25" x14ac:dyDescent="0.3">
      <c r="A1139" s="1" t="s">
        <v>2153</v>
      </c>
      <c r="B1139" s="1" t="s">
        <v>166</v>
      </c>
      <c r="C1139" s="1" t="s">
        <v>167</v>
      </c>
      <c r="D1139" s="1" t="s">
        <v>59</v>
      </c>
      <c r="E1139" s="1" t="s">
        <v>74</v>
      </c>
      <c r="F1139" s="1" t="s">
        <v>48</v>
      </c>
      <c r="G1139" s="2">
        <v>107.5</v>
      </c>
      <c r="H1139" s="1">
        <v>19</v>
      </c>
      <c r="I1139" s="1">
        <v>282</v>
      </c>
      <c r="J1139" s="1">
        <v>282</v>
      </c>
      <c r="K1139" s="1">
        <v>115</v>
      </c>
      <c r="L1139" s="1">
        <v>50</v>
      </c>
      <c r="M1139" s="1" t="s">
        <v>49</v>
      </c>
      <c r="N1139" s="1" t="s">
        <v>60</v>
      </c>
      <c r="O1139" t="s">
        <v>185</v>
      </c>
      <c r="P1139" s="2">
        <v>75.25</v>
      </c>
      <c r="Q1139" s="1" t="str">
        <f>IF(J600&gt;K600,"YES","NO")</f>
        <v>YES</v>
      </c>
      <c r="R1139" s="2">
        <f>IF(Q600="YES",G600*0.9,G600)</f>
        <v>96.75</v>
      </c>
      <c r="S1139" s="2">
        <f>J600*G600</f>
        <v>30315</v>
      </c>
      <c r="T1139" s="1">
        <f ca="1">TODAY()-DATE(MID(O600,7,4),MID(O600,4,2),LEFT(O600,2))</f>
        <v>104</v>
      </c>
      <c r="U1139" s="1" t="s">
        <v>34</v>
      </c>
      <c r="V1139" s="1" t="s">
        <v>34</v>
      </c>
      <c r="W1139" s="1" t="s">
        <v>34</v>
      </c>
      <c r="X1139" t="s">
        <v>2790</v>
      </c>
      <c r="Y1139" s="1">
        <v>5</v>
      </c>
    </row>
    <row r="1140" spans="1:25" x14ac:dyDescent="0.3">
      <c r="A1140" s="1" t="s">
        <v>2154</v>
      </c>
      <c r="B1140" s="1" t="s">
        <v>37</v>
      </c>
      <c r="C1140" s="1" t="s">
        <v>38</v>
      </c>
      <c r="D1140" s="1" t="s">
        <v>39</v>
      </c>
      <c r="E1140" s="1" t="s">
        <v>40</v>
      </c>
      <c r="F1140" s="1" t="s">
        <v>54</v>
      </c>
      <c r="G1140" s="2">
        <v>353.91</v>
      </c>
      <c r="H1140" s="1">
        <v>16</v>
      </c>
      <c r="I1140" s="1">
        <v>144</v>
      </c>
      <c r="J1140" s="1">
        <v>138</v>
      </c>
      <c r="K1140" s="1">
        <v>100</v>
      </c>
      <c r="L1140" s="1">
        <v>119</v>
      </c>
      <c r="M1140" s="1" t="s">
        <v>49</v>
      </c>
      <c r="N1140" s="1" t="s">
        <v>42</v>
      </c>
      <c r="O1140" t="s">
        <v>302</v>
      </c>
      <c r="P1140" s="2">
        <v>247.74</v>
      </c>
      <c r="Q1140" s="1" t="str">
        <f>IF(J680&gt;K680,"YES","NO")</f>
        <v>YES</v>
      </c>
      <c r="R1140" s="2">
        <f>IF(Q680="YES",G680*0.9,G680)</f>
        <v>318.51900000000001</v>
      </c>
      <c r="S1140" s="2">
        <f>J680*G680</f>
        <v>48839.58</v>
      </c>
      <c r="T1140" s="1">
        <f ca="1">TODAY()-DATE(MID(O680,7,4),MID(O680,4,2),LEFT(O680,2))</f>
        <v>133</v>
      </c>
      <c r="U1140" s="1" t="s">
        <v>34</v>
      </c>
      <c r="V1140" s="1" t="s">
        <v>34</v>
      </c>
      <c r="W1140" s="1" t="s">
        <v>34</v>
      </c>
      <c r="X1140" t="s">
        <v>2553</v>
      </c>
      <c r="Y1140" s="1">
        <v>5</v>
      </c>
    </row>
    <row r="1141" spans="1:25" x14ac:dyDescent="0.3">
      <c r="A1141" s="1" t="s">
        <v>2155</v>
      </c>
      <c r="B1141" s="1" t="s">
        <v>166</v>
      </c>
      <c r="C1141" s="1" t="s">
        <v>167</v>
      </c>
      <c r="D1141" s="1" t="s">
        <v>59</v>
      </c>
      <c r="E1141" s="1" t="s">
        <v>40</v>
      </c>
      <c r="F1141" s="1" t="s">
        <v>54</v>
      </c>
      <c r="G1141" s="2">
        <v>331.04</v>
      </c>
      <c r="H1141" s="1">
        <v>20</v>
      </c>
      <c r="I1141" s="1">
        <v>198</v>
      </c>
      <c r="J1141" s="1">
        <v>159</v>
      </c>
      <c r="K1141" s="1">
        <v>68</v>
      </c>
      <c r="L1141" s="1">
        <v>60</v>
      </c>
      <c r="M1141" s="1" t="s">
        <v>31</v>
      </c>
      <c r="N1141" s="1" t="s">
        <v>42</v>
      </c>
      <c r="O1141" t="s">
        <v>473</v>
      </c>
      <c r="P1141" s="2">
        <v>231.73</v>
      </c>
      <c r="Q1141" s="1" t="str">
        <f>IF(J519&gt;K519,"YES","NO")</f>
        <v>YES</v>
      </c>
      <c r="R1141" s="2">
        <f>IF(Q519="YES",G519*0.9,G519)</f>
        <v>297.93600000000004</v>
      </c>
      <c r="S1141" s="2">
        <f>J519*G519</f>
        <v>52635.360000000001</v>
      </c>
      <c r="T1141" s="1">
        <f ca="1">TODAY()-DATE(MID(O519,7,4),MID(O519,4,2),LEFT(O519,2))</f>
        <v>146</v>
      </c>
      <c r="U1141" s="1" t="s">
        <v>34</v>
      </c>
      <c r="V1141" s="1" t="s">
        <v>34</v>
      </c>
      <c r="W1141" s="1" t="s">
        <v>34</v>
      </c>
      <c r="X1141" t="s">
        <v>2644</v>
      </c>
      <c r="Y1141" s="1">
        <v>9.5</v>
      </c>
    </row>
    <row r="1142" spans="1:25" x14ac:dyDescent="0.3">
      <c r="A1142" s="1" t="s">
        <v>2156</v>
      </c>
      <c r="B1142" s="1" t="s">
        <v>95</v>
      </c>
      <c r="C1142" s="1" t="s">
        <v>96</v>
      </c>
      <c r="D1142" s="1" t="s">
        <v>97</v>
      </c>
      <c r="E1142" s="1" t="s">
        <v>74</v>
      </c>
      <c r="F1142" s="1" t="s">
        <v>54</v>
      </c>
      <c r="G1142" s="2">
        <v>342.41</v>
      </c>
      <c r="H1142" s="1">
        <v>18</v>
      </c>
      <c r="I1142" s="1">
        <v>266</v>
      </c>
      <c r="J1142" s="1">
        <v>257</v>
      </c>
      <c r="K1142" s="1">
        <v>57</v>
      </c>
      <c r="L1142" s="1">
        <v>70</v>
      </c>
      <c r="M1142" s="1" t="s">
        <v>31</v>
      </c>
      <c r="N1142" s="1" t="s">
        <v>32</v>
      </c>
      <c r="O1142" t="s">
        <v>203</v>
      </c>
      <c r="P1142" s="2">
        <v>239.69</v>
      </c>
      <c r="Q1142" s="1" t="str">
        <f>IF(J210&gt;K210,"YES","NO")</f>
        <v>YES</v>
      </c>
      <c r="R1142" s="2">
        <f>IF(Q210="YES",G210*0.9,G210)</f>
        <v>308.16900000000004</v>
      </c>
      <c r="S1142" s="2">
        <f>J210*G210</f>
        <v>87999.37000000001</v>
      </c>
      <c r="T1142" s="1">
        <f ca="1">TODAY()-DATE(MID(O210,7,4),MID(O210,4,2),LEFT(O210,2))</f>
        <v>102</v>
      </c>
      <c r="U1142" s="1" t="s">
        <v>34</v>
      </c>
      <c r="V1142" s="1" t="s">
        <v>34</v>
      </c>
      <c r="W1142" s="1" t="s">
        <v>34</v>
      </c>
      <c r="X1142" t="s">
        <v>2836</v>
      </c>
      <c r="Y1142" s="1">
        <v>5</v>
      </c>
    </row>
    <row r="1143" spans="1:25" x14ac:dyDescent="0.3">
      <c r="A1143" s="1" t="s">
        <v>2157</v>
      </c>
      <c r="B1143" s="1" t="s">
        <v>63</v>
      </c>
      <c r="C1143" s="1" t="s">
        <v>64</v>
      </c>
      <c r="D1143" s="1" t="s">
        <v>28</v>
      </c>
      <c r="E1143" s="1" t="s">
        <v>29</v>
      </c>
      <c r="F1143" s="1" t="s">
        <v>48</v>
      </c>
      <c r="G1143" s="2">
        <v>89.47</v>
      </c>
      <c r="H1143" s="1">
        <v>7</v>
      </c>
      <c r="I1143" s="1">
        <v>264</v>
      </c>
      <c r="J1143" s="1">
        <v>259</v>
      </c>
      <c r="K1143" s="1">
        <v>74</v>
      </c>
      <c r="L1143" s="1">
        <v>148</v>
      </c>
      <c r="M1143" s="1" t="s">
        <v>41</v>
      </c>
      <c r="N1143" s="1" t="s">
        <v>32</v>
      </c>
      <c r="O1143" t="s">
        <v>266</v>
      </c>
      <c r="P1143" s="2">
        <v>62.63</v>
      </c>
      <c r="Q1143" s="1" t="str">
        <f>IF(J732&gt;K732,"YES","NO")</f>
        <v>YES</v>
      </c>
      <c r="R1143" s="2">
        <f>IF(Q732="YES",G732*0.9,G732)</f>
        <v>80.522999999999996</v>
      </c>
      <c r="S1143" s="2">
        <f>J732*G732</f>
        <v>23172.73</v>
      </c>
      <c r="T1143" s="1">
        <f ca="1">TODAY()-DATE(MID(O732,7,4),MID(O732,4,2),LEFT(O732,2))</f>
        <v>139</v>
      </c>
      <c r="U1143" s="1" t="s">
        <v>34</v>
      </c>
      <c r="V1143" s="1" t="s">
        <v>34</v>
      </c>
      <c r="W1143" s="1" t="s">
        <v>34</v>
      </c>
      <c r="X1143" t="s">
        <v>2627</v>
      </c>
      <c r="Y1143" s="1">
        <v>6</v>
      </c>
    </row>
    <row r="1144" spans="1:25" x14ac:dyDescent="0.3">
      <c r="A1144" s="1" t="s">
        <v>2158</v>
      </c>
      <c r="B1144" s="1" t="s">
        <v>37</v>
      </c>
      <c r="C1144" s="1" t="s">
        <v>38</v>
      </c>
      <c r="D1144" s="1" t="s">
        <v>39</v>
      </c>
      <c r="E1144" s="1" t="s">
        <v>74</v>
      </c>
      <c r="F1144" s="1" t="s">
        <v>54</v>
      </c>
      <c r="G1144" s="2">
        <v>144.37</v>
      </c>
      <c r="H1144" s="1">
        <v>13</v>
      </c>
      <c r="I1144" s="1">
        <v>195</v>
      </c>
      <c r="J1144" s="1">
        <v>183</v>
      </c>
      <c r="K1144" s="1">
        <v>91</v>
      </c>
      <c r="L1144" s="1">
        <v>99</v>
      </c>
      <c r="M1144" s="1" t="s">
        <v>41</v>
      </c>
      <c r="N1144" s="1" t="s">
        <v>60</v>
      </c>
      <c r="O1144" t="s">
        <v>55</v>
      </c>
      <c r="P1144" s="2">
        <v>101.06</v>
      </c>
      <c r="Q1144" s="1" t="str">
        <f>IF(J96&gt;K96,"YES","NO")</f>
        <v>YES</v>
      </c>
      <c r="R1144" s="2">
        <f>IF(Q96="YES",G96*0.9,G96)</f>
        <v>129.93300000000002</v>
      </c>
      <c r="S1144" s="2">
        <f>J96*G96</f>
        <v>26419.71</v>
      </c>
      <c r="T1144" s="1">
        <f ca="1">TODAY()-DATE(MID(O96,7,4),MID(O96,4,2),LEFT(O96,2))</f>
        <v>91</v>
      </c>
      <c r="U1144" s="1" t="s">
        <v>34</v>
      </c>
      <c r="V1144" s="1" t="s">
        <v>34</v>
      </c>
      <c r="W1144" s="1" t="s">
        <v>34</v>
      </c>
      <c r="X1144" t="s">
        <v>2554</v>
      </c>
      <c r="Y1144" s="1">
        <v>8</v>
      </c>
    </row>
    <row r="1145" spans="1:25" x14ac:dyDescent="0.3">
      <c r="A1145" s="1" t="s">
        <v>2159</v>
      </c>
      <c r="B1145" s="1" t="s">
        <v>172</v>
      </c>
      <c r="C1145" s="1" t="s">
        <v>173</v>
      </c>
      <c r="D1145" s="1" t="s">
        <v>132</v>
      </c>
      <c r="E1145" s="1" t="s">
        <v>29</v>
      </c>
      <c r="F1145" s="1" t="s">
        <v>54</v>
      </c>
      <c r="G1145" s="2">
        <v>348.48</v>
      </c>
      <c r="H1145" s="1">
        <v>21</v>
      </c>
      <c r="I1145" s="1">
        <v>150</v>
      </c>
      <c r="J1145" s="1">
        <v>113</v>
      </c>
      <c r="K1145" s="1">
        <v>86</v>
      </c>
      <c r="L1145" s="1">
        <v>119</v>
      </c>
      <c r="M1145" s="1" t="s">
        <v>31</v>
      </c>
      <c r="N1145" s="1" t="s">
        <v>32</v>
      </c>
      <c r="O1145" t="s">
        <v>55</v>
      </c>
      <c r="P1145" s="2">
        <v>243.94</v>
      </c>
      <c r="Q1145" s="1" t="str">
        <f>IF(J439&gt;K439,"YES","NO")</f>
        <v>YES</v>
      </c>
      <c r="R1145" s="2">
        <f>IF(Q439="YES",G439*0.9,G439)</f>
        <v>313.63200000000001</v>
      </c>
      <c r="S1145" s="2">
        <f>J439*G439</f>
        <v>39378.240000000005</v>
      </c>
      <c r="T1145" s="1">
        <f ca="1">TODAY()-DATE(MID(O439,7,4),MID(O439,4,2),LEFT(O439,2))</f>
        <v>91</v>
      </c>
      <c r="U1145" s="1" t="s">
        <v>34</v>
      </c>
      <c r="V1145" s="1" t="s">
        <v>34</v>
      </c>
      <c r="W1145" s="1" t="s">
        <v>34</v>
      </c>
      <c r="X1145" t="s">
        <v>2907</v>
      </c>
      <c r="Y1145" s="1">
        <v>9.5</v>
      </c>
    </row>
    <row r="1146" spans="1:25" x14ac:dyDescent="0.3">
      <c r="A1146" s="1" t="s">
        <v>2160</v>
      </c>
      <c r="B1146" s="1" t="s">
        <v>189</v>
      </c>
      <c r="C1146" s="1" t="s">
        <v>190</v>
      </c>
      <c r="D1146" s="1" t="s">
        <v>59</v>
      </c>
      <c r="E1146" s="1" t="s">
        <v>29</v>
      </c>
      <c r="F1146" s="1" t="s">
        <v>54</v>
      </c>
      <c r="G1146" s="2">
        <v>183.3</v>
      </c>
      <c r="H1146" s="1">
        <v>22</v>
      </c>
      <c r="I1146" s="1">
        <v>174</v>
      </c>
      <c r="J1146" s="1">
        <v>169</v>
      </c>
      <c r="K1146" s="1">
        <v>93</v>
      </c>
      <c r="L1146" s="1">
        <v>103</v>
      </c>
      <c r="M1146" s="1" t="s">
        <v>31</v>
      </c>
      <c r="N1146" s="1" t="s">
        <v>60</v>
      </c>
      <c r="O1146" t="s">
        <v>141</v>
      </c>
      <c r="P1146" s="2">
        <v>128.31</v>
      </c>
      <c r="Q1146" s="1" t="str">
        <f>IF(J422&gt;K422,"YES","NO")</f>
        <v>YES</v>
      </c>
      <c r="R1146" s="2">
        <f>IF(Q422="YES",G422*0.9,G422)</f>
        <v>164.97000000000003</v>
      </c>
      <c r="S1146" s="2">
        <f>J422*G422</f>
        <v>30977.7</v>
      </c>
      <c r="T1146" s="1">
        <f ca="1">TODAY()-DATE(MID(O422,7,4),MID(O422,4,2),LEFT(O422,2))</f>
        <v>118</v>
      </c>
      <c r="U1146" s="1" t="s">
        <v>34</v>
      </c>
      <c r="V1146" s="1" t="s">
        <v>34</v>
      </c>
      <c r="W1146" s="1" t="s">
        <v>34</v>
      </c>
      <c r="X1146" t="s">
        <v>2774</v>
      </c>
      <c r="Y1146" s="1">
        <v>6</v>
      </c>
    </row>
    <row r="1147" spans="1:25" x14ac:dyDescent="0.3">
      <c r="A1147" s="1" t="s">
        <v>2161</v>
      </c>
      <c r="B1147" s="1" t="s">
        <v>189</v>
      </c>
      <c r="C1147" s="1" t="s">
        <v>190</v>
      </c>
      <c r="D1147" s="1" t="s">
        <v>59</v>
      </c>
      <c r="E1147" s="1" t="s">
        <v>74</v>
      </c>
      <c r="F1147" s="1" t="s">
        <v>54</v>
      </c>
      <c r="G1147" s="2">
        <v>192.95</v>
      </c>
      <c r="H1147" s="1">
        <v>25</v>
      </c>
      <c r="I1147" s="1">
        <v>139</v>
      </c>
      <c r="J1147" s="1">
        <v>133</v>
      </c>
      <c r="K1147" s="1">
        <v>104</v>
      </c>
      <c r="L1147" s="1">
        <v>121</v>
      </c>
      <c r="M1147" s="1" t="s">
        <v>31</v>
      </c>
      <c r="N1147" s="1" t="s">
        <v>42</v>
      </c>
      <c r="O1147" t="s">
        <v>153</v>
      </c>
      <c r="P1147" s="2">
        <v>135.06</v>
      </c>
      <c r="Q1147" s="1" t="str">
        <f>IF(J207&gt;K207,"YES","NO")</f>
        <v>YES</v>
      </c>
      <c r="R1147" s="2">
        <f>IF(Q207="YES",G207*0.9,G207)</f>
        <v>173.655</v>
      </c>
      <c r="S1147" s="2">
        <f>J207*G207</f>
        <v>25662.35</v>
      </c>
      <c r="T1147" s="1">
        <f ca="1">TODAY()-DATE(MID(O207,7,4),MID(O207,4,2),LEFT(O207,2))</f>
        <v>135</v>
      </c>
      <c r="U1147" s="1" t="s">
        <v>34</v>
      </c>
      <c r="V1147" s="1" t="s">
        <v>34</v>
      </c>
      <c r="W1147" s="1" t="s">
        <v>34</v>
      </c>
      <c r="X1147" t="s">
        <v>2776</v>
      </c>
      <c r="Y1147" s="1">
        <v>8.5</v>
      </c>
    </row>
    <row r="1148" spans="1:25" x14ac:dyDescent="0.3">
      <c r="A1148" s="1" t="s">
        <v>2162</v>
      </c>
      <c r="B1148" s="1" t="s">
        <v>130</v>
      </c>
      <c r="C1148" s="1" t="s">
        <v>131</v>
      </c>
      <c r="D1148" s="1" t="s">
        <v>132</v>
      </c>
      <c r="E1148" s="1" t="s">
        <v>74</v>
      </c>
      <c r="F1148" s="1" t="s">
        <v>54</v>
      </c>
      <c r="G1148" s="2">
        <v>254.54</v>
      </c>
      <c r="H1148" s="1">
        <v>1</v>
      </c>
      <c r="I1148" s="1">
        <v>273</v>
      </c>
      <c r="J1148" s="1">
        <v>265</v>
      </c>
      <c r="K1148" s="1">
        <v>65</v>
      </c>
      <c r="L1148" s="1">
        <v>115</v>
      </c>
      <c r="M1148" s="1" t="s">
        <v>31</v>
      </c>
      <c r="N1148" s="1" t="s">
        <v>60</v>
      </c>
      <c r="O1148" t="s">
        <v>340</v>
      </c>
      <c r="P1148" s="2">
        <v>178.18</v>
      </c>
      <c r="Q1148" s="1" t="str">
        <f>IF(J235&gt;K235,"YES","NO")</f>
        <v>YES</v>
      </c>
      <c r="R1148" s="2">
        <f>IF(Q235="YES",G235*0.9,G235)</f>
        <v>229.08599999999998</v>
      </c>
      <c r="S1148" s="2">
        <f>J235*G235</f>
        <v>67453.099999999991</v>
      </c>
      <c r="T1148" s="1">
        <f ca="1">TODAY()-DATE(MID(O235,7,4),MID(O235,4,2),LEFT(O235,2))</f>
        <v>138</v>
      </c>
      <c r="U1148" s="1" t="s">
        <v>34</v>
      </c>
      <c r="V1148" s="1" t="s">
        <v>34</v>
      </c>
      <c r="W1148" s="1" t="s">
        <v>34</v>
      </c>
      <c r="X1148" t="s">
        <v>2819</v>
      </c>
      <c r="Y1148" s="1">
        <v>7.5</v>
      </c>
    </row>
    <row r="1149" spans="1:25" x14ac:dyDescent="0.3">
      <c r="A1149" s="1" t="s">
        <v>2163</v>
      </c>
      <c r="B1149" s="1" t="s">
        <v>102</v>
      </c>
      <c r="C1149" s="1" t="s">
        <v>103</v>
      </c>
      <c r="D1149" s="1" t="s">
        <v>104</v>
      </c>
      <c r="E1149" s="1" t="s">
        <v>29</v>
      </c>
      <c r="F1149" s="1" t="s">
        <v>54</v>
      </c>
      <c r="G1149" s="2">
        <v>164.35</v>
      </c>
      <c r="H1149" s="1">
        <v>20</v>
      </c>
      <c r="I1149" s="1">
        <v>195</v>
      </c>
      <c r="J1149" s="1">
        <v>183</v>
      </c>
      <c r="K1149" s="1">
        <v>89</v>
      </c>
      <c r="L1149" s="1">
        <v>96</v>
      </c>
      <c r="M1149" s="1" t="s">
        <v>31</v>
      </c>
      <c r="N1149" s="1" t="s">
        <v>42</v>
      </c>
      <c r="O1149" t="s">
        <v>473</v>
      </c>
      <c r="P1149" s="2">
        <v>115.04</v>
      </c>
      <c r="Q1149" s="1" t="str">
        <f>IF(J681&gt;K681,"YES","NO")</f>
        <v>YES</v>
      </c>
      <c r="R1149" s="2">
        <f>IF(Q681="YES",G681*0.9,G681)</f>
        <v>147.91499999999999</v>
      </c>
      <c r="S1149" s="2">
        <f>J681*G681</f>
        <v>30076.05</v>
      </c>
      <c r="T1149" s="1">
        <f ca="1">TODAY()-DATE(MID(O681,7,4),MID(O681,4,2),LEFT(O681,2))</f>
        <v>146</v>
      </c>
      <c r="U1149" s="1" t="s">
        <v>34</v>
      </c>
      <c r="V1149" s="1" t="s">
        <v>34</v>
      </c>
      <c r="W1149" s="1" t="s">
        <v>34</v>
      </c>
      <c r="X1149" t="s">
        <v>2755</v>
      </c>
      <c r="Y1149" s="1">
        <v>5.5</v>
      </c>
    </row>
    <row r="1150" spans="1:25" x14ac:dyDescent="0.3">
      <c r="A1150" s="1" t="s">
        <v>2164</v>
      </c>
      <c r="B1150" s="1" t="s">
        <v>123</v>
      </c>
      <c r="C1150" s="1" t="s">
        <v>124</v>
      </c>
      <c r="D1150" s="1" t="s">
        <v>47</v>
      </c>
      <c r="E1150" s="1" t="s">
        <v>74</v>
      </c>
      <c r="F1150" s="1" t="s">
        <v>30</v>
      </c>
      <c r="G1150" s="2">
        <v>157.15</v>
      </c>
      <c r="H1150" s="1">
        <v>6</v>
      </c>
      <c r="I1150" s="1">
        <v>206</v>
      </c>
      <c r="J1150" s="1">
        <v>199</v>
      </c>
      <c r="K1150" s="1">
        <v>91</v>
      </c>
      <c r="L1150" s="1">
        <v>58</v>
      </c>
      <c r="M1150" s="1" t="s">
        <v>41</v>
      </c>
      <c r="N1150" s="1" t="s">
        <v>42</v>
      </c>
      <c r="O1150" t="s">
        <v>205</v>
      </c>
      <c r="P1150" s="2">
        <v>110</v>
      </c>
      <c r="Q1150" s="1" t="str">
        <f>IF(J765&gt;K765,"YES","NO")</f>
        <v>YES</v>
      </c>
      <c r="R1150" s="2">
        <f>IF(Q765="YES",G765*0.9,G765)</f>
        <v>141.435</v>
      </c>
      <c r="S1150" s="2">
        <f>J765*G765</f>
        <v>31272.850000000002</v>
      </c>
      <c r="T1150" s="1">
        <f ca="1">TODAY()-DATE(MID(O765,7,4),MID(O765,4,2),LEFT(O765,2))</f>
        <v>74</v>
      </c>
      <c r="U1150" s="1" t="s">
        <v>34</v>
      </c>
      <c r="V1150" s="1" t="s">
        <v>34</v>
      </c>
      <c r="W1150" s="1" t="s">
        <v>34</v>
      </c>
      <c r="X1150" t="s">
        <v>2623</v>
      </c>
      <c r="Y1150" s="1">
        <v>7.5</v>
      </c>
    </row>
    <row r="1151" spans="1:25" x14ac:dyDescent="0.3">
      <c r="A1151" s="1" t="s">
        <v>2165</v>
      </c>
      <c r="B1151" s="1" t="s">
        <v>63</v>
      </c>
      <c r="C1151" s="1" t="s">
        <v>64</v>
      </c>
      <c r="D1151" s="1" t="s">
        <v>28</v>
      </c>
      <c r="E1151" s="1" t="s">
        <v>29</v>
      </c>
      <c r="F1151" s="1" t="s">
        <v>54</v>
      </c>
      <c r="G1151" s="2">
        <v>497.51</v>
      </c>
      <c r="H1151" s="1">
        <v>7</v>
      </c>
      <c r="I1151" s="1">
        <v>91</v>
      </c>
      <c r="J1151" s="1">
        <v>83</v>
      </c>
      <c r="K1151" s="1">
        <v>67</v>
      </c>
      <c r="L1151" s="1">
        <v>90</v>
      </c>
      <c r="M1151" s="1" t="s">
        <v>49</v>
      </c>
      <c r="N1151" s="1" t="s">
        <v>60</v>
      </c>
      <c r="O1151" t="s">
        <v>220</v>
      </c>
      <c r="P1151" s="2">
        <v>348.26</v>
      </c>
      <c r="Q1151" s="1" t="str">
        <f>IF(J455&gt;K455,"YES","NO")</f>
        <v>YES</v>
      </c>
      <c r="R1151" s="2">
        <f>IF(Q455="YES",G455*0.9,G455)</f>
        <v>447.75900000000001</v>
      </c>
      <c r="S1151" s="2">
        <f>J455*G455</f>
        <v>41293.33</v>
      </c>
      <c r="T1151" s="1">
        <f ca="1">TODAY()-DATE(MID(O455,7,4),MID(O455,4,2),LEFT(O455,2))</f>
        <v>106</v>
      </c>
      <c r="U1151" s="1" t="s">
        <v>34</v>
      </c>
      <c r="V1151" s="1" t="s">
        <v>34</v>
      </c>
      <c r="W1151" s="1" t="s">
        <v>34</v>
      </c>
      <c r="X1151" t="s">
        <v>2813</v>
      </c>
      <c r="Y1151" s="1">
        <v>7.5</v>
      </c>
    </row>
    <row r="1152" spans="1:25" x14ac:dyDescent="0.3">
      <c r="A1152" s="1" t="s">
        <v>2166</v>
      </c>
      <c r="B1152" s="1" t="s">
        <v>26</v>
      </c>
      <c r="C1152" s="1" t="s">
        <v>27</v>
      </c>
      <c r="D1152" s="1" t="s">
        <v>28</v>
      </c>
      <c r="E1152" s="1" t="s">
        <v>29</v>
      </c>
      <c r="F1152" s="1" t="s">
        <v>30</v>
      </c>
      <c r="G1152" s="2">
        <v>349.41</v>
      </c>
      <c r="H1152" s="1">
        <v>25</v>
      </c>
      <c r="I1152" s="1">
        <v>81</v>
      </c>
      <c r="J1152" s="1">
        <v>49</v>
      </c>
      <c r="K1152" s="1">
        <v>101</v>
      </c>
      <c r="L1152" s="1">
        <v>86</v>
      </c>
      <c r="M1152" s="1" t="s">
        <v>41</v>
      </c>
      <c r="N1152" s="1" t="s">
        <v>60</v>
      </c>
      <c r="O1152" t="s">
        <v>187</v>
      </c>
      <c r="P1152" s="2">
        <v>244.59</v>
      </c>
      <c r="Q1152" s="1" t="str">
        <f>IF(J602&gt;K602,"YES","NO")</f>
        <v>NO</v>
      </c>
      <c r="R1152" s="2">
        <f>IF(Q602="YES",G602*0.9,G602)</f>
        <v>349.41</v>
      </c>
      <c r="S1152" s="2">
        <f>J602*G602</f>
        <v>17121.09</v>
      </c>
      <c r="T1152" s="1">
        <f ca="1">TODAY()-DATE(MID(O602,7,4),MID(O602,4,2),LEFT(O602,2))</f>
        <v>148</v>
      </c>
      <c r="U1152" s="1" t="s">
        <v>34</v>
      </c>
      <c r="V1152" s="1" t="s">
        <v>34</v>
      </c>
      <c r="W1152" s="1" t="s">
        <v>34</v>
      </c>
      <c r="X1152" t="s">
        <v>2687</v>
      </c>
      <c r="Y1152" s="1">
        <v>6</v>
      </c>
    </row>
    <row r="1153" spans="1:25" x14ac:dyDescent="0.3">
      <c r="A1153" s="1" t="s">
        <v>2167</v>
      </c>
      <c r="B1153" s="1" t="s">
        <v>107</v>
      </c>
      <c r="C1153" s="1" t="s">
        <v>108</v>
      </c>
      <c r="D1153" s="1" t="s">
        <v>39</v>
      </c>
      <c r="E1153" s="1" t="s">
        <v>74</v>
      </c>
      <c r="F1153" s="1" t="s">
        <v>30</v>
      </c>
      <c r="G1153" s="2">
        <v>252.34</v>
      </c>
      <c r="H1153" s="1">
        <v>12</v>
      </c>
      <c r="I1153" s="1">
        <v>296</v>
      </c>
      <c r="J1153" s="1">
        <v>296</v>
      </c>
      <c r="K1153" s="1">
        <v>57</v>
      </c>
      <c r="L1153" s="1">
        <v>57</v>
      </c>
      <c r="M1153" s="1" t="s">
        <v>49</v>
      </c>
      <c r="N1153" s="1" t="s">
        <v>42</v>
      </c>
      <c r="O1153" t="s">
        <v>212</v>
      </c>
      <c r="P1153" s="2">
        <v>176.64</v>
      </c>
      <c r="Q1153" s="1" t="str">
        <f>IF(J430&gt;K430,"YES","NO")</f>
        <v>YES</v>
      </c>
      <c r="R1153" s="2">
        <f>IF(Q430="YES",G430*0.9,G430)</f>
        <v>227.10599999999999</v>
      </c>
      <c r="S1153" s="2">
        <f>J430*G430</f>
        <v>74692.639999999999</v>
      </c>
      <c r="T1153" s="1">
        <f ca="1">TODAY()-DATE(MID(O430,7,4),MID(O430,4,2),LEFT(O430,2))</f>
        <v>78</v>
      </c>
      <c r="U1153" s="1" t="s">
        <v>34</v>
      </c>
      <c r="V1153" s="1" t="s">
        <v>34</v>
      </c>
      <c r="W1153" s="1" t="s">
        <v>34</v>
      </c>
      <c r="X1153" t="s">
        <v>2600</v>
      </c>
      <c r="Y1153" s="1">
        <v>5</v>
      </c>
    </row>
    <row r="1154" spans="1:25" x14ac:dyDescent="0.3">
      <c r="A1154" s="1" t="s">
        <v>2168</v>
      </c>
      <c r="B1154" s="1" t="s">
        <v>299</v>
      </c>
      <c r="C1154" s="1" t="s">
        <v>300</v>
      </c>
      <c r="D1154" s="1" t="s">
        <v>39</v>
      </c>
      <c r="E1154" s="1" t="s">
        <v>29</v>
      </c>
      <c r="F1154" s="1" t="s">
        <v>54</v>
      </c>
      <c r="G1154" s="2">
        <v>324.25</v>
      </c>
      <c r="H1154" s="1">
        <v>18</v>
      </c>
      <c r="I1154" s="1">
        <v>192</v>
      </c>
      <c r="J1154" s="1">
        <v>185</v>
      </c>
      <c r="K1154" s="1">
        <v>64</v>
      </c>
      <c r="L1154" s="1">
        <v>140</v>
      </c>
      <c r="M1154" s="1" t="s">
        <v>41</v>
      </c>
      <c r="N1154" s="1" t="s">
        <v>42</v>
      </c>
      <c r="O1154" t="s">
        <v>333</v>
      </c>
      <c r="P1154" s="2">
        <v>226.97</v>
      </c>
      <c r="Q1154" s="1" t="str">
        <f>IF(J229&gt;K229,"YES","NO")</f>
        <v>YES</v>
      </c>
      <c r="R1154" s="2">
        <f>IF(Q229="YES",G229*0.9,G229)</f>
        <v>291.82499999999999</v>
      </c>
      <c r="S1154" s="2">
        <f>J229*G229</f>
        <v>59986.25</v>
      </c>
      <c r="T1154" s="1">
        <f ca="1">TODAY()-DATE(MID(O229,7,4),MID(O229,4,2),LEFT(O229,2))</f>
        <v>109</v>
      </c>
      <c r="U1154" s="1" t="s">
        <v>34</v>
      </c>
      <c r="V1154" s="1" t="s">
        <v>34</v>
      </c>
      <c r="W1154" s="1" t="s">
        <v>34</v>
      </c>
      <c r="X1154" t="s">
        <v>2762</v>
      </c>
      <c r="Y1154" s="1">
        <v>9.5</v>
      </c>
    </row>
    <row r="1155" spans="1:25" x14ac:dyDescent="0.3">
      <c r="A1155" s="1" t="s">
        <v>2169</v>
      </c>
      <c r="B1155" s="1" t="s">
        <v>72</v>
      </c>
      <c r="C1155" s="1" t="s">
        <v>73</v>
      </c>
      <c r="D1155" s="1" t="s">
        <v>47</v>
      </c>
      <c r="E1155" s="1" t="s">
        <v>74</v>
      </c>
      <c r="F1155" s="1" t="s">
        <v>54</v>
      </c>
      <c r="G1155" s="2">
        <v>263.94</v>
      </c>
      <c r="H1155" s="1">
        <v>22</v>
      </c>
      <c r="I1155" s="1">
        <v>178</v>
      </c>
      <c r="J1155" s="1">
        <v>144</v>
      </c>
      <c r="K1155" s="1">
        <v>84</v>
      </c>
      <c r="L1155" s="1">
        <v>134</v>
      </c>
      <c r="M1155" s="1" t="s">
        <v>41</v>
      </c>
      <c r="N1155" s="1" t="s">
        <v>60</v>
      </c>
      <c r="O1155" t="s">
        <v>292</v>
      </c>
      <c r="P1155" s="2">
        <v>184.76</v>
      </c>
      <c r="Q1155" s="1" t="str">
        <f>IF(J790&gt;K790,"YES","NO")</f>
        <v>YES</v>
      </c>
      <c r="R1155" s="2">
        <f>IF(Q790="YES",G790*0.9,G790)</f>
        <v>237.54599999999999</v>
      </c>
      <c r="S1155" s="2">
        <f>J790*G790</f>
        <v>38007.360000000001</v>
      </c>
      <c r="T1155" s="1">
        <f ca="1">TODAY()-DATE(MID(O790,7,4),MID(O790,4,2),LEFT(O790,2))</f>
        <v>83</v>
      </c>
      <c r="U1155" s="1" t="s">
        <v>34</v>
      </c>
      <c r="V1155" s="1" t="s">
        <v>34</v>
      </c>
      <c r="W1155" s="1" t="s">
        <v>34</v>
      </c>
      <c r="X1155" t="s">
        <v>2908</v>
      </c>
      <c r="Y1155" s="1">
        <v>5</v>
      </c>
    </row>
    <row r="1156" spans="1:25" x14ac:dyDescent="0.3">
      <c r="A1156" s="1" t="s">
        <v>2170</v>
      </c>
      <c r="B1156" s="1" t="s">
        <v>72</v>
      </c>
      <c r="C1156" s="1" t="s">
        <v>73</v>
      </c>
      <c r="D1156" s="1" t="s">
        <v>47</v>
      </c>
      <c r="E1156" s="1" t="s">
        <v>40</v>
      </c>
      <c r="F1156" s="1" t="s">
        <v>48</v>
      </c>
      <c r="G1156" s="2">
        <v>389.6</v>
      </c>
      <c r="H1156" s="1">
        <v>16</v>
      </c>
      <c r="I1156" s="1">
        <v>222</v>
      </c>
      <c r="J1156" s="1">
        <v>183</v>
      </c>
      <c r="K1156" s="1">
        <v>81</v>
      </c>
      <c r="L1156" s="1">
        <v>101</v>
      </c>
      <c r="M1156" s="1" t="s">
        <v>31</v>
      </c>
      <c r="N1156" s="1" t="s">
        <v>32</v>
      </c>
      <c r="O1156" t="s">
        <v>333</v>
      </c>
      <c r="P1156" s="2">
        <v>272.72000000000003</v>
      </c>
      <c r="Q1156" s="1" t="str">
        <f>IF(J633&gt;K633,"YES","NO")</f>
        <v>YES</v>
      </c>
      <c r="R1156" s="2">
        <f>IF(Q633="YES",G633*0.9,G633)</f>
        <v>350.64000000000004</v>
      </c>
      <c r="S1156" s="2">
        <f>J633*G633</f>
        <v>71296.800000000003</v>
      </c>
      <c r="T1156" s="1">
        <f ca="1">TODAY()-DATE(MID(O633,7,4),MID(O633,4,2),LEFT(O633,2))</f>
        <v>109</v>
      </c>
      <c r="U1156" s="1" t="s">
        <v>34</v>
      </c>
      <c r="V1156" s="1" t="s">
        <v>34</v>
      </c>
      <c r="W1156" s="1" t="s">
        <v>34</v>
      </c>
      <c r="X1156" t="s">
        <v>2553</v>
      </c>
      <c r="Y1156" s="1">
        <v>6.5</v>
      </c>
    </row>
    <row r="1157" spans="1:25" x14ac:dyDescent="0.3">
      <c r="A1157" s="1" t="s">
        <v>2171</v>
      </c>
      <c r="B1157" s="1" t="s">
        <v>102</v>
      </c>
      <c r="C1157" s="1" t="s">
        <v>103</v>
      </c>
      <c r="D1157" s="1" t="s">
        <v>104</v>
      </c>
      <c r="E1157" s="1" t="s">
        <v>29</v>
      </c>
      <c r="F1157" s="1" t="s">
        <v>54</v>
      </c>
      <c r="G1157" s="2">
        <v>164.35</v>
      </c>
      <c r="H1157" s="1">
        <v>20</v>
      </c>
      <c r="I1157" s="1">
        <v>195</v>
      </c>
      <c r="J1157" s="1">
        <v>183</v>
      </c>
      <c r="K1157" s="1">
        <v>89</v>
      </c>
      <c r="L1157" s="1">
        <v>96</v>
      </c>
      <c r="M1157" s="1" t="s">
        <v>31</v>
      </c>
      <c r="N1157" s="1" t="s">
        <v>42</v>
      </c>
      <c r="O1157" t="s">
        <v>473</v>
      </c>
      <c r="P1157" s="2">
        <v>115.04</v>
      </c>
      <c r="Q1157" s="1" t="str">
        <f>IF(J681&gt;K681,"YES","NO")</f>
        <v>YES</v>
      </c>
      <c r="R1157" s="2">
        <f>IF(Q681="YES",G681*0.9,G681)</f>
        <v>147.91499999999999</v>
      </c>
      <c r="S1157" s="2">
        <f>J681*G681</f>
        <v>30076.05</v>
      </c>
      <c r="T1157" s="1">
        <f ca="1">TODAY()-DATE(MID(O681,7,4),MID(O681,4,2),LEFT(O681,2))</f>
        <v>146</v>
      </c>
      <c r="U1157" s="1" t="s">
        <v>34</v>
      </c>
      <c r="V1157" s="1" t="s">
        <v>34</v>
      </c>
      <c r="W1157" s="1" t="s">
        <v>34</v>
      </c>
      <c r="X1157" t="s">
        <v>2582</v>
      </c>
      <c r="Y1157" s="1">
        <v>5.5</v>
      </c>
    </row>
    <row r="1158" spans="1:25" x14ac:dyDescent="0.3">
      <c r="A1158" s="1" t="s">
        <v>2172</v>
      </c>
      <c r="B1158" s="1" t="s">
        <v>172</v>
      </c>
      <c r="C1158" s="1" t="s">
        <v>173</v>
      </c>
      <c r="D1158" s="1" t="s">
        <v>132</v>
      </c>
      <c r="E1158" s="1" t="s">
        <v>74</v>
      </c>
      <c r="F1158" s="1" t="s">
        <v>30</v>
      </c>
      <c r="G1158" s="2">
        <v>249.44</v>
      </c>
      <c r="H1158" s="1">
        <v>15</v>
      </c>
      <c r="I1158" s="1">
        <v>278</v>
      </c>
      <c r="J1158" s="1">
        <v>238</v>
      </c>
      <c r="K1158" s="1">
        <v>73</v>
      </c>
      <c r="L1158" s="1">
        <v>104</v>
      </c>
      <c r="M1158" s="1" t="s">
        <v>41</v>
      </c>
      <c r="N1158" s="1" t="s">
        <v>60</v>
      </c>
      <c r="O1158" t="s">
        <v>98</v>
      </c>
      <c r="P1158" s="2">
        <v>174.61</v>
      </c>
      <c r="Q1158" s="1" t="str">
        <f>IF(J434&gt;K434,"YES","NO")</f>
        <v>YES</v>
      </c>
      <c r="R1158" s="2">
        <f>IF(Q434="YES",G434*0.9,G434)</f>
        <v>224.49600000000001</v>
      </c>
      <c r="S1158" s="2">
        <f>J434*G434</f>
        <v>59366.720000000001</v>
      </c>
      <c r="T1158" s="1">
        <f ca="1">TODAY()-DATE(MID(O434,7,4),MID(O434,4,2),LEFT(O434,2))</f>
        <v>96</v>
      </c>
      <c r="U1158" s="1" t="s">
        <v>34</v>
      </c>
      <c r="V1158" s="1" t="s">
        <v>34</v>
      </c>
      <c r="W1158" s="1" t="s">
        <v>34</v>
      </c>
      <c r="X1158" t="s">
        <v>2648</v>
      </c>
      <c r="Y1158" s="1">
        <v>7</v>
      </c>
    </row>
    <row r="1159" spans="1:25" x14ac:dyDescent="0.3">
      <c r="A1159" s="1" t="s">
        <v>2173</v>
      </c>
      <c r="B1159" s="1" t="s">
        <v>52</v>
      </c>
      <c r="C1159" s="1" t="s">
        <v>53</v>
      </c>
      <c r="D1159" s="1" t="s">
        <v>47</v>
      </c>
      <c r="E1159" s="1" t="s">
        <v>40</v>
      </c>
      <c r="F1159" s="1" t="s">
        <v>48</v>
      </c>
      <c r="G1159" s="2">
        <v>47.04</v>
      </c>
      <c r="H1159" s="1">
        <v>15</v>
      </c>
      <c r="I1159" s="1">
        <v>270</v>
      </c>
      <c r="J1159" s="1">
        <v>265</v>
      </c>
      <c r="K1159" s="1">
        <v>99</v>
      </c>
      <c r="L1159" s="1">
        <v>137</v>
      </c>
      <c r="M1159" s="1" t="s">
        <v>41</v>
      </c>
      <c r="N1159" s="1" t="s">
        <v>60</v>
      </c>
      <c r="O1159" t="s">
        <v>81</v>
      </c>
      <c r="P1159" s="2">
        <v>32.93</v>
      </c>
      <c r="Q1159" s="1" t="str">
        <f>IF(J511&gt;K511,"YES","NO")</f>
        <v>YES</v>
      </c>
      <c r="R1159" s="2">
        <f>IF(Q511="YES",G511*0.9,G511)</f>
        <v>42.335999999999999</v>
      </c>
      <c r="S1159" s="2">
        <f>J511*G511</f>
        <v>12465.6</v>
      </c>
      <c r="T1159" s="1">
        <f ca="1">TODAY()-DATE(MID(O511,7,4),MID(O511,4,2),LEFT(O511,2))</f>
        <v>81</v>
      </c>
      <c r="U1159" s="1" t="s">
        <v>34</v>
      </c>
      <c r="V1159" s="1" t="s">
        <v>34</v>
      </c>
      <c r="W1159" s="1" t="s">
        <v>34</v>
      </c>
      <c r="X1159" t="s">
        <v>2723</v>
      </c>
      <c r="Y1159" s="1">
        <v>5.5</v>
      </c>
    </row>
    <row r="1160" spans="1:25" x14ac:dyDescent="0.3">
      <c r="A1160" s="1" t="s">
        <v>2174</v>
      </c>
      <c r="B1160" s="1" t="s">
        <v>237</v>
      </c>
      <c r="C1160" s="1" t="s">
        <v>238</v>
      </c>
      <c r="D1160" s="1" t="s">
        <v>85</v>
      </c>
      <c r="E1160" s="1" t="s">
        <v>29</v>
      </c>
      <c r="F1160" s="1" t="s">
        <v>54</v>
      </c>
      <c r="G1160" s="2">
        <v>347.21</v>
      </c>
      <c r="H1160" s="1">
        <v>12</v>
      </c>
      <c r="I1160" s="1">
        <v>281</v>
      </c>
      <c r="J1160" s="1">
        <v>281</v>
      </c>
      <c r="K1160" s="1">
        <v>64</v>
      </c>
      <c r="L1160" s="1">
        <v>79</v>
      </c>
      <c r="M1160" s="1" t="s">
        <v>49</v>
      </c>
      <c r="N1160" s="1" t="s">
        <v>42</v>
      </c>
      <c r="O1160" t="s">
        <v>309</v>
      </c>
      <c r="P1160" s="2">
        <v>243.05</v>
      </c>
      <c r="Q1160" s="1" t="str">
        <f>IF(J139&gt;K139,"YES","NO")</f>
        <v>YES</v>
      </c>
      <c r="R1160" s="2">
        <f>IF(Q139="YES",G139*0.9,G139)</f>
        <v>312.48899999999998</v>
      </c>
      <c r="S1160" s="2">
        <f>J139*G139</f>
        <v>97566.01</v>
      </c>
      <c r="T1160" s="1">
        <f ca="1">TODAY()-DATE(MID(O139,7,4),MID(O139,4,2),LEFT(O139,2))</f>
        <v>67</v>
      </c>
      <c r="U1160" s="1" t="s">
        <v>34</v>
      </c>
      <c r="V1160" s="1" t="s">
        <v>34</v>
      </c>
      <c r="W1160" s="1" t="s">
        <v>34</v>
      </c>
      <c r="X1160" t="s">
        <v>2632</v>
      </c>
      <c r="Y1160" s="1">
        <v>9.5</v>
      </c>
    </row>
    <row r="1161" spans="1:25" x14ac:dyDescent="0.3">
      <c r="A1161" s="1" t="s">
        <v>2175</v>
      </c>
      <c r="B1161" s="1" t="s">
        <v>130</v>
      </c>
      <c r="C1161" s="1" t="s">
        <v>131</v>
      </c>
      <c r="D1161" s="1" t="s">
        <v>132</v>
      </c>
      <c r="E1161" s="1" t="s">
        <v>40</v>
      </c>
      <c r="F1161" s="1" t="s">
        <v>54</v>
      </c>
      <c r="G1161" s="2">
        <v>309.8</v>
      </c>
      <c r="H1161" s="1">
        <v>1</v>
      </c>
      <c r="I1161" s="1">
        <v>221</v>
      </c>
      <c r="J1161" s="1">
        <v>209</v>
      </c>
      <c r="K1161" s="1">
        <v>59</v>
      </c>
      <c r="L1161" s="1">
        <v>133</v>
      </c>
      <c r="M1161" s="1" t="s">
        <v>31</v>
      </c>
      <c r="N1161" s="1" t="s">
        <v>32</v>
      </c>
      <c r="O1161" t="s">
        <v>79</v>
      </c>
      <c r="P1161" s="2">
        <v>216.86</v>
      </c>
      <c r="Q1161" s="1" t="str">
        <f>IF(J394&gt;K394,"YES","NO")</f>
        <v>YES</v>
      </c>
      <c r="R1161" s="2">
        <f>IF(Q394="YES",G394*0.9,G394)</f>
        <v>278.82</v>
      </c>
      <c r="S1161" s="2">
        <f>J394*G394</f>
        <v>64748.200000000004</v>
      </c>
      <c r="T1161" s="1">
        <f ca="1">TODAY()-DATE(MID(O394,7,4),MID(O394,4,2),LEFT(O394,2))</f>
        <v>93</v>
      </c>
      <c r="U1161" s="1" t="s">
        <v>34</v>
      </c>
      <c r="V1161" s="1" t="s">
        <v>34</v>
      </c>
      <c r="W1161" s="1" t="s">
        <v>34</v>
      </c>
      <c r="X1161" t="s">
        <v>2641</v>
      </c>
      <c r="Y1161" s="1">
        <v>7</v>
      </c>
    </row>
    <row r="1162" spans="1:25" x14ac:dyDescent="0.3">
      <c r="A1162" s="1" t="s">
        <v>2176</v>
      </c>
      <c r="B1162" s="1" t="s">
        <v>95</v>
      </c>
      <c r="C1162" s="1" t="s">
        <v>96</v>
      </c>
      <c r="D1162" s="1" t="s">
        <v>97</v>
      </c>
      <c r="E1162" s="1" t="s">
        <v>74</v>
      </c>
      <c r="F1162" s="1" t="s">
        <v>48</v>
      </c>
      <c r="G1162" s="2">
        <v>201.17</v>
      </c>
      <c r="H1162" s="1">
        <v>5</v>
      </c>
      <c r="I1162" s="1">
        <v>276</v>
      </c>
      <c r="J1162" s="1">
        <v>273</v>
      </c>
      <c r="K1162" s="1">
        <v>53</v>
      </c>
      <c r="L1162" s="1">
        <v>128</v>
      </c>
      <c r="M1162" s="1" t="s">
        <v>41</v>
      </c>
      <c r="N1162" s="1" t="s">
        <v>42</v>
      </c>
      <c r="O1162" t="s">
        <v>113</v>
      </c>
      <c r="P1162" s="2">
        <v>140.82</v>
      </c>
      <c r="Q1162" s="1" t="str">
        <f>IF(J173&gt;K173,"YES","NO")</f>
        <v>YES</v>
      </c>
      <c r="R1162" s="2">
        <f>IF(Q173="YES",G173*0.9,G173)</f>
        <v>181.053</v>
      </c>
      <c r="S1162" s="2">
        <f>J173*G173</f>
        <v>54919.409999999996</v>
      </c>
      <c r="T1162" s="1">
        <f ca="1">TODAY()-DATE(MID(O173,7,4),MID(O173,4,2),LEFT(O173,2))</f>
        <v>82</v>
      </c>
      <c r="U1162" s="1" t="s">
        <v>34</v>
      </c>
      <c r="V1162" s="1" t="s">
        <v>34</v>
      </c>
      <c r="W1162" s="1" t="s">
        <v>34</v>
      </c>
      <c r="X1162" t="s">
        <v>2582</v>
      </c>
      <c r="Y1162" s="1">
        <v>6.5</v>
      </c>
    </row>
    <row r="1163" spans="1:25" x14ac:dyDescent="0.3">
      <c r="A1163" s="1" t="s">
        <v>2177</v>
      </c>
      <c r="B1163" s="1" t="s">
        <v>52</v>
      </c>
      <c r="C1163" s="1" t="s">
        <v>53</v>
      </c>
      <c r="D1163" s="1" t="s">
        <v>47</v>
      </c>
      <c r="E1163" s="1" t="s">
        <v>74</v>
      </c>
      <c r="F1163" s="1" t="s">
        <v>48</v>
      </c>
      <c r="G1163" s="2">
        <v>392.33</v>
      </c>
      <c r="H1163" s="1">
        <v>18</v>
      </c>
      <c r="I1163" s="1">
        <v>242</v>
      </c>
      <c r="J1163" s="1">
        <v>226</v>
      </c>
      <c r="K1163" s="1">
        <v>100</v>
      </c>
      <c r="L1163" s="1">
        <v>149</v>
      </c>
      <c r="M1163" s="1" t="s">
        <v>31</v>
      </c>
      <c r="N1163" s="1" t="s">
        <v>42</v>
      </c>
      <c r="O1163" t="s">
        <v>205</v>
      </c>
      <c r="P1163" s="2">
        <v>274.63</v>
      </c>
      <c r="Q1163" s="1" t="str">
        <f>IF(J138&gt;K138,"YES","NO")</f>
        <v>YES</v>
      </c>
      <c r="R1163" s="2">
        <f>IF(Q138="YES",G138*0.9,G138)</f>
        <v>353.09699999999998</v>
      </c>
      <c r="S1163" s="2">
        <f>J138*G138</f>
        <v>88666.58</v>
      </c>
      <c r="T1163" s="1">
        <f ca="1">TODAY()-DATE(MID(O138,7,4),MID(O138,4,2),LEFT(O138,2))</f>
        <v>74</v>
      </c>
      <c r="U1163" s="1" t="s">
        <v>34</v>
      </c>
      <c r="V1163" s="1" t="s">
        <v>34</v>
      </c>
      <c r="W1163" s="1" t="s">
        <v>34</v>
      </c>
      <c r="X1163" t="s">
        <v>2878</v>
      </c>
      <c r="Y1163" s="1">
        <v>9</v>
      </c>
    </row>
    <row r="1164" spans="1:25" x14ac:dyDescent="0.3">
      <c r="A1164" s="1" t="s">
        <v>2178</v>
      </c>
      <c r="B1164" s="1" t="s">
        <v>299</v>
      </c>
      <c r="C1164" s="1" t="s">
        <v>300</v>
      </c>
      <c r="D1164" s="1" t="s">
        <v>39</v>
      </c>
      <c r="E1164" s="1" t="s">
        <v>40</v>
      </c>
      <c r="F1164" s="1" t="s">
        <v>54</v>
      </c>
      <c r="G1164" s="2">
        <v>241.83</v>
      </c>
      <c r="H1164" s="1">
        <v>14</v>
      </c>
      <c r="I1164" s="1">
        <v>234</v>
      </c>
      <c r="J1164" s="1">
        <v>212</v>
      </c>
      <c r="K1164" s="1">
        <v>107</v>
      </c>
      <c r="L1164" s="1">
        <v>60</v>
      </c>
      <c r="M1164" s="1" t="s">
        <v>41</v>
      </c>
      <c r="N1164" s="1" t="s">
        <v>42</v>
      </c>
      <c r="O1164" t="s">
        <v>178</v>
      </c>
      <c r="P1164" s="2">
        <v>169.28</v>
      </c>
      <c r="Q1164" s="1" t="str">
        <f>IF(J437&gt;K437,"YES","NO")</f>
        <v>YES</v>
      </c>
      <c r="R1164" s="2">
        <f>IF(Q437="YES",G437*0.9,G437)</f>
        <v>217.64700000000002</v>
      </c>
      <c r="S1164" s="2">
        <f>J437*G437</f>
        <v>51267.96</v>
      </c>
      <c r="T1164" s="1">
        <f ca="1">TODAY()-DATE(MID(O437,7,4),MID(O437,4,2),LEFT(O437,2))</f>
        <v>90</v>
      </c>
      <c r="U1164" s="1" t="s">
        <v>34</v>
      </c>
      <c r="V1164" s="1" t="s">
        <v>34</v>
      </c>
      <c r="W1164" s="1" t="s">
        <v>34</v>
      </c>
      <c r="X1164" t="s">
        <v>2788</v>
      </c>
      <c r="Y1164" s="1">
        <v>8.5</v>
      </c>
    </row>
    <row r="1165" spans="1:25" x14ac:dyDescent="0.3">
      <c r="A1165" s="1" t="s">
        <v>2179</v>
      </c>
      <c r="B1165" s="1" t="s">
        <v>237</v>
      </c>
      <c r="C1165" s="1" t="s">
        <v>238</v>
      </c>
      <c r="D1165" s="1" t="s">
        <v>85</v>
      </c>
      <c r="E1165" s="1" t="s">
        <v>74</v>
      </c>
      <c r="F1165" s="1" t="s">
        <v>54</v>
      </c>
      <c r="G1165" s="2">
        <v>172.25</v>
      </c>
      <c r="H1165" s="1">
        <v>6</v>
      </c>
      <c r="I1165" s="1">
        <v>197</v>
      </c>
      <c r="J1165" s="1">
        <v>178</v>
      </c>
      <c r="K1165" s="1">
        <v>84</v>
      </c>
      <c r="L1165" s="1">
        <v>79</v>
      </c>
      <c r="M1165" s="1" t="s">
        <v>49</v>
      </c>
      <c r="N1165" s="1" t="s">
        <v>32</v>
      </c>
      <c r="O1165" t="s">
        <v>280</v>
      </c>
      <c r="P1165" s="2">
        <v>120.57</v>
      </c>
      <c r="Q1165" s="1" t="str">
        <f>IF(J282&gt;K282,"YES","NO")</f>
        <v>YES</v>
      </c>
      <c r="R1165" s="2">
        <f>IF(Q282="YES",G282*0.9,G282)</f>
        <v>155.02500000000001</v>
      </c>
      <c r="S1165" s="2">
        <f>J282*G282</f>
        <v>30660.5</v>
      </c>
      <c r="T1165" s="1">
        <f ca="1">TODAY()-DATE(MID(O282,7,4),MID(O282,4,2),LEFT(O282,2))</f>
        <v>108</v>
      </c>
      <c r="U1165" s="1" t="s">
        <v>34</v>
      </c>
      <c r="V1165" s="1" t="s">
        <v>34</v>
      </c>
      <c r="W1165" s="1" t="s">
        <v>34</v>
      </c>
      <c r="X1165" t="s">
        <v>2883</v>
      </c>
      <c r="Y1165" s="1">
        <v>6</v>
      </c>
    </row>
    <row r="1166" spans="1:25" x14ac:dyDescent="0.3">
      <c r="A1166" s="1" t="s">
        <v>2180</v>
      </c>
      <c r="B1166" s="1" t="s">
        <v>52</v>
      </c>
      <c r="C1166" s="1" t="s">
        <v>53</v>
      </c>
      <c r="D1166" s="1" t="s">
        <v>47</v>
      </c>
      <c r="E1166" s="1" t="s">
        <v>29</v>
      </c>
      <c r="F1166" s="1" t="s">
        <v>48</v>
      </c>
      <c r="G1166" s="2">
        <v>210.81</v>
      </c>
      <c r="H1166" s="1">
        <v>16</v>
      </c>
      <c r="I1166" s="1">
        <v>299</v>
      </c>
      <c r="J1166" s="1">
        <v>272</v>
      </c>
      <c r="K1166" s="1">
        <v>96</v>
      </c>
      <c r="L1166" s="1">
        <v>109</v>
      </c>
      <c r="M1166" s="1" t="s">
        <v>31</v>
      </c>
      <c r="N1166" s="1" t="s">
        <v>42</v>
      </c>
      <c r="O1166" t="s">
        <v>287</v>
      </c>
      <c r="P1166" s="2">
        <v>147.57</v>
      </c>
      <c r="Q1166" s="1" t="str">
        <f>IF(J294&gt;K294,"YES","NO")</f>
        <v>YES</v>
      </c>
      <c r="R1166" s="2">
        <f>IF(Q294="YES",G294*0.9,G294)</f>
        <v>189.72900000000001</v>
      </c>
      <c r="S1166" s="2">
        <f>J294*G294</f>
        <v>57340.32</v>
      </c>
      <c r="T1166" s="1">
        <f ca="1">TODAY()-DATE(MID(O294,7,4),MID(O294,4,2),LEFT(O294,2))</f>
        <v>143</v>
      </c>
      <c r="U1166" s="1" t="s">
        <v>34</v>
      </c>
      <c r="V1166" s="1" t="s">
        <v>34</v>
      </c>
      <c r="W1166" s="1" t="s">
        <v>34</v>
      </c>
      <c r="X1166" t="s">
        <v>2909</v>
      </c>
      <c r="Y1166" s="1">
        <v>7</v>
      </c>
    </row>
    <row r="1167" spans="1:25" x14ac:dyDescent="0.3">
      <c r="A1167" s="1" t="s">
        <v>2181</v>
      </c>
      <c r="B1167" s="1" t="s">
        <v>26</v>
      </c>
      <c r="C1167" s="1" t="s">
        <v>27</v>
      </c>
      <c r="D1167" s="1" t="s">
        <v>28</v>
      </c>
      <c r="E1167" s="1" t="s">
        <v>29</v>
      </c>
      <c r="F1167" s="1" t="s">
        <v>54</v>
      </c>
      <c r="G1167" s="2">
        <v>262.33</v>
      </c>
      <c r="H1167" s="1">
        <v>4</v>
      </c>
      <c r="I1167" s="1">
        <v>81</v>
      </c>
      <c r="J1167" s="1">
        <v>61</v>
      </c>
      <c r="K1167" s="1">
        <v>56</v>
      </c>
      <c r="L1167" s="1">
        <v>117</v>
      </c>
      <c r="M1167" s="1" t="s">
        <v>49</v>
      </c>
      <c r="N1167" s="1" t="s">
        <v>60</v>
      </c>
      <c r="O1167" t="s">
        <v>260</v>
      </c>
      <c r="P1167" s="2">
        <v>183.63</v>
      </c>
      <c r="Q1167" s="1" t="str">
        <f>IF(J789&gt;K789,"YES","NO")</f>
        <v>YES</v>
      </c>
      <c r="R1167" s="2">
        <f>IF(Q789="YES",G789*0.9,G789)</f>
        <v>236.09699999999998</v>
      </c>
      <c r="S1167" s="2">
        <f>J789*G789</f>
        <v>16002.13</v>
      </c>
      <c r="T1167" s="1">
        <f ca="1">TODAY()-DATE(MID(O789,7,4),MID(O789,4,2),LEFT(O789,2))</f>
        <v>70</v>
      </c>
      <c r="U1167" s="1" t="s">
        <v>34</v>
      </c>
      <c r="V1167" s="1" t="s">
        <v>34</v>
      </c>
      <c r="W1167" s="1" t="s">
        <v>34</v>
      </c>
      <c r="X1167" t="s">
        <v>2744</v>
      </c>
      <c r="Y1167" s="1">
        <v>9.5</v>
      </c>
    </row>
    <row r="1168" spans="1:25" x14ac:dyDescent="0.3">
      <c r="A1168" s="1" t="s">
        <v>2182</v>
      </c>
      <c r="B1168" s="1" t="s">
        <v>172</v>
      </c>
      <c r="C1168" s="1" t="s">
        <v>173</v>
      </c>
      <c r="D1168" s="1" t="s">
        <v>132</v>
      </c>
      <c r="E1168" s="1" t="s">
        <v>74</v>
      </c>
      <c r="F1168" s="1" t="s">
        <v>54</v>
      </c>
      <c r="G1168" s="2">
        <v>213.81</v>
      </c>
      <c r="H1168" s="1">
        <v>0</v>
      </c>
      <c r="I1168" s="1">
        <v>214</v>
      </c>
      <c r="J1168" s="1">
        <v>190</v>
      </c>
      <c r="K1168" s="1">
        <v>82</v>
      </c>
      <c r="L1168" s="1">
        <v>120</v>
      </c>
      <c r="M1168" s="1" t="s">
        <v>41</v>
      </c>
      <c r="N1168" s="1" t="s">
        <v>32</v>
      </c>
      <c r="O1168" t="s">
        <v>257</v>
      </c>
      <c r="P1168" s="2">
        <v>149.66999999999999</v>
      </c>
      <c r="Q1168" s="1" t="str">
        <f>IF(J299&gt;K299,"YES","NO")</f>
        <v>YES</v>
      </c>
      <c r="R1168" s="2">
        <f>IF(Q299="YES",G299*0.9,G299)</f>
        <v>192.429</v>
      </c>
      <c r="S1168" s="2">
        <f>J299*G299</f>
        <v>40623.9</v>
      </c>
      <c r="T1168" s="1">
        <f ca="1">TODAY()-DATE(MID(O299,7,4),MID(O299,4,2),LEFT(O299,2))</f>
        <v>113</v>
      </c>
      <c r="U1168" s="1" t="s">
        <v>34</v>
      </c>
      <c r="V1168" s="1" t="s">
        <v>34</v>
      </c>
      <c r="W1168" s="1" t="s">
        <v>34</v>
      </c>
      <c r="X1168" t="s">
        <v>2607</v>
      </c>
      <c r="Y1168" s="1">
        <v>9.5</v>
      </c>
    </row>
    <row r="1169" spans="1:25" x14ac:dyDescent="0.3">
      <c r="A1169" s="1" t="s">
        <v>2183</v>
      </c>
      <c r="B1169" s="1" t="s">
        <v>197</v>
      </c>
      <c r="C1169" s="1" t="s">
        <v>198</v>
      </c>
      <c r="D1169" s="1" t="s">
        <v>104</v>
      </c>
      <c r="E1169" s="1" t="s">
        <v>29</v>
      </c>
      <c r="F1169" s="1" t="s">
        <v>30</v>
      </c>
      <c r="G1169" s="2">
        <v>274.20999999999998</v>
      </c>
      <c r="H1169" s="1">
        <v>8</v>
      </c>
      <c r="I1169" s="1">
        <v>199</v>
      </c>
      <c r="J1169" s="1">
        <v>165</v>
      </c>
      <c r="K1169" s="1">
        <v>71</v>
      </c>
      <c r="L1169" s="1">
        <v>129</v>
      </c>
      <c r="M1169" s="1" t="s">
        <v>31</v>
      </c>
      <c r="N1169" s="1" t="s">
        <v>42</v>
      </c>
      <c r="O1169" t="s">
        <v>65</v>
      </c>
      <c r="P1169" s="2">
        <v>191.95</v>
      </c>
      <c r="Q1169" s="1" t="str">
        <f>IF(J93&gt;K93,"YES","NO")</f>
        <v>YES</v>
      </c>
      <c r="R1169" s="2">
        <f>IF(Q93="YES",G93*0.9,G93)</f>
        <v>246.78899999999999</v>
      </c>
      <c r="S1169" s="2">
        <f>J93*G93</f>
        <v>45244.649999999994</v>
      </c>
      <c r="T1169" s="1">
        <f ca="1">TODAY()-DATE(MID(O93,7,4),MID(O93,4,2),LEFT(O93,2))</f>
        <v>142</v>
      </c>
      <c r="U1169" s="1" t="s">
        <v>34</v>
      </c>
      <c r="V1169" s="1" t="s">
        <v>34</v>
      </c>
      <c r="W1169" s="1" t="s">
        <v>34</v>
      </c>
      <c r="X1169" t="s">
        <v>2813</v>
      </c>
      <c r="Y1169" s="1">
        <v>6.5</v>
      </c>
    </row>
    <row r="1170" spans="1:25" x14ac:dyDescent="0.3">
      <c r="A1170" s="1" t="s">
        <v>2184</v>
      </c>
      <c r="B1170" s="1" t="s">
        <v>118</v>
      </c>
      <c r="C1170" s="1" t="s">
        <v>119</v>
      </c>
      <c r="D1170" s="1" t="s">
        <v>97</v>
      </c>
      <c r="E1170" s="1" t="s">
        <v>29</v>
      </c>
      <c r="F1170" s="1" t="s">
        <v>54</v>
      </c>
      <c r="G1170" s="2">
        <v>393.71</v>
      </c>
      <c r="H1170" s="1">
        <v>6</v>
      </c>
      <c r="I1170" s="1">
        <v>280</v>
      </c>
      <c r="J1170" s="1">
        <v>243</v>
      </c>
      <c r="K1170" s="1">
        <v>90</v>
      </c>
      <c r="L1170" s="1">
        <v>61</v>
      </c>
      <c r="M1170" s="1" t="s">
        <v>41</v>
      </c>
      <c r="N1170" s="1" t="s">
        <v>60</v>
      </c>
      <c r="O1170" t="s">
        <v>161</v>
      </c>
      <c r="P1170" s="2">
        <v>275.60000000000002</v>
      </c>
      <c r="Q1170" s="1" t="str">
        <f>IF(J99&gt;K99,"YES","NO")</f>
        <v>YES</v>
      </c>
      <c r="R1170" s="2">
        <f>IF(Q99="YES",G99*0.9,G99)</f>
        <v>354.339</v>
      </c>
      <c r="S1170" s="2">
        <f>J99*G99</f>
        <v>95671.53</v>
      </c>
      <c r="T1170" s="1">
        <f ca="1">TODAY()-DATE(MID(O99,7,4),MID(O99,4,2),LEFT(O99,2))</f>
        <v>69</v>
      </c>
      <c r="U1170" s="1" t="s">
        <v>34</v>
      </c>
      <c r="V1170" s="1" t="s">
        <v>34</v>
      </c>
      <c r="W1170" s="1" t="s">
        <v>34</v>
      </c>
      <c r="X1170" t="s">
        <v>2668</v>
      </c>
      <c r="Y1170" s="1">
        <v>9.5</v>
      </c>
    </row>
    <row r="1171" spans="1:25" x14ac:dyDescent="0.3">
      <c r="A1171" s="1" t="s">
        <v>2185</v>
      </c>
      <c r="B1171" s="1" t="s">
        <v>197</v>
      </c>
      <c r="C1171" s="1" t="s">
        <v>198</v>
      </c>
      <c r="D1171" s="1" t="s">
        <v>104</v>
      </c>
      <c r="E1171" s="1" t="s">
        <v>74</v>
      </c>
      <c r="F1171" s="1" t="s">
        <v>54</v>
      </c>
      <c r="G1171" s="2">
        <v>402.35</v>
      </c>
      <c r="H1171" s="1">
        <v>21</v>
      </c>
      <c r="I1171" s="1">
        <v>161</v>
      </c>
      <c r="J1171" s="1">
        <v>122</v>
      </c>
      <c r="K1171" s="1">
        <v>70</v>
      </c>
      <c r="L1171" s="1">
        <v>134</v>
      </c>
      <c r="M1171" s="1" t="s">
        <v>41</v>
      </c>
      <c r="N1171" s="1" t="s">
        <v>60</v>
      </c>
      <c r="O1171" t="s">
        <v>133</v>
      </c>
      <c r="P1171" s="2">
        <v>281.64</v>
      </c>
      <c r="Q1171" s="1" t="str">
        <f>IF(J377&gt;K377,"YES","NO")</f>
        <v>YES</v>
      </c>
      <c r="R1171" s="2">
        <f>IF(Q377="YES",G377*0.9,G377)</f>
        <v>362.11500000000001</v>
      </c>
      <c r="S1171" s="2">
        <f>J377*G377</f>
        <v>49086.700000000004</v>
      </c>
      <c r="T1171" s="1">
        <f ca="1">TODAY()-DATE(MID(O377,7,4),MID(O377,4,2),LEFT(O377,2))</f>
        <v>76</v>
      </c>
      <c r="U1171" s="1" t="s">
        <v>34</v>
      </c>
      <c r="V1171" s="1" t="s">
        <v>34</v>
      </c>
      <c r="W1171" s="1" t="s">
        <v>34</v>
      </c>
      <c r="X1171" t="s">
        <v>2910</v>
      </c>
      <c r="Y1171" s="1">
        <v>8.5</v>
      </c>
    </row>
    <row r="1172" spans="1:25" x14ac:dyDescent="0.3">
      <c r="A1172" s="1" t="s">
        <v>2186</v>
      </c>
      <c r="B1172" s="1" t="s">
        <v>143</v>
      </c>
      <c r="C1172" s="1" t="s">
        <v>144</v>
      </c>
      <c r="D1172" s="1" t="s">
        <v>47</v>
      </c>
      <c r="E1172" s="1" t="s">
        <v>74</v>
      </c>
      <c r="F1172" s="1" t="s">
        <v>54</v>
      </c>
      <c r="G1172" s="2">
        <v>320.38</v>
      </c>
      <c r="H1172" s="1">
        <v>5</v>
      </c>
      <c r="I1172" s="1">
        <v>283</v>
      </c>
      <c r="J1172" s="1">
        <v>251</v>
      </c>
      <c r="K1172" s="1">
        <v>94</v>
      </c>
      <c r="L1172" s="1">
        <v>107</v>
      </c>
      <c r="M1172" s="1" t="s">
        <v>41</v>
      </c>
      <c r="N1172" s="1" t="s">
        <v>42</v>
      </c>
      <c r="O1172" t="s">
        <v>150</v>
      </c>
      <c r="P1172" s="2">
        <v>224.27</v>
      </c>
      <c r="Q1172" s="1" t="str">
        <f>IF(J38&gt;K38,"YES","NO")</f>
        <v>YES</v>
      </c>
      <c r="R1172" s="2">
        <f>IF(Q38="YES",G38*0.9,G38)</f>
        <v>288.34199999999998</v>
      </c>
      <c r="S1172" s="2">
        <f>J38*G38</f>
        <v>80415.38</v>
      </c>
      <c r="T1172" s="1">
        <f ca="1">TODAY()-DATE(MID(O38,7,4),MID(O38,4,2),LEFT(O38,2))</f>
        <v>116</v>
      </c>
      <c r="U1172" s="1" t="s">
        <v>34</v>
      </c>
      <c r="V1172" s="1" t="s">
        <v>34</v>
      </c>
      <c r="W1172" s="1" t="s">
        <v>34</v>
      </c>
      <c r="X1172" t="s">
        <v>2669</v>
      </c>
      <c r="Y1172" s="1">
        <v>9</v>
      </c>
    </row>
    <row r="1173" spans="1:25" x14ac:dyDescent="0.3">
      <c r="A1173" s="1" t="s">
        <v>2187</v>
      </c>
      <c r="B1173" s="1" t="s">
        <v>118</v>
      </c>
      <c r="C1173" s="1" t="s">
        <v>119</v>
      </c>
      <c r="D1173" s="1" t="s">
        <v>97</v>
      </c>
      <c r="E1173" s="1" t="s">
        <v>74</v>
      </c>
      <c r="F1173" s="1" t="s">
        <v>54</v>
      </c>
      <c r="G1173" s="2">
        <v>245.83</v>
      </c>
      <c r="H1173" s="1">
        <v>2</v>
      </c>
      <c r="I1173" s="1">
        <v>130</v>
      </c>
      <c r="J1173" s="1">
        <v>108</v>
      </c>
      <c r="K1173" s="1">
        <v>54</v>
      </c>
      <c r="L1173" s="1">
        <v>58</v>
      </c>
      <c r="M1173" s="1" t="s">
        <v>49</v>
      </c>
      <c r="N1173" s="1" t="s">
        <v>32</v>
      </c>
      <c r="O1173" t="s">
        <v>55</v>
      </c>
      <c r="P1173" s="2">
        <v>172.08</v>
      </c>
      <c r="Q1173" s="1" t="str">
        <f>IF(J639&gt;K639,"YES","NO")</f>
        <v>YES</v>
      </c>
      <c r="R1173" s="2">
        <f>IF(Q639="YES",G639*0.9,G639)</f>
        <v>221.24700000000001</v>
      </c>
      <c r="S1173" s="2">
        <f>J639*G639</f>
        <v>26549.640000000003</v>
      </c>
      <c r="T1173" s="1">
        <f ca="1">TODAY()-DATE(MID(O639,7,4),MID(O639,4,2),LEFT(O639,2))</f>
        <v>91</v>
      </c>
      <c r="U1173" s="1" t="s">
        <v>34</v>
      </c>
      <c r="V1173" s="1" t="s">
        <v>34</v>
      </c>
      <c r="W1173" s="1" t="s">
        <v>34</v>
      </c>
      <c r="X1173" t="s">
        <v>2911</v>
      </c>
      <c r="Y1173" s="1">
        <v>9.5</v>
      </c>
    </row>
    <row r="1174" spans="1:25" x14ac:dyDescent="0.3">
      <c r="A1174" s="1" t="s">
        <v>2188</v>
      </c>
      <c r="B1174" s="1" t="s">
        <v>262</v>
      </c>
      <c r="C1174" s="1" t="s">
        <v>263</v>
      </c>
      <c r="D1174" s="1" t="s">
        <v>104</v>
      </c>
      <c r="E1174" s="1" t="s">
        <v>29</v>
      </c>
      <c r="F1174" s="1" t="s">
        <v>30</v>
      </c>
      <c r="G1174" s="2">
        <v>63.33</v>
      </c>
      <c r="H1174" s="1">
        <v>4</v>
      </c>
      <c r="I1174" s="1">
        <v>123</v>
      </c>
      <c r="J1174" s="1">
        <v>115</v>
      </c>
      <c r="K1174" s="1">
        <v>61</v>
      </c>
      <c r="L1174" s="1">
        <v>105</v>
      </c>
      <c r="M1174" s="1" t="s">
        <v>31</v>
      </c>
      <c r="N1174" s="1" t="s">
        <v>60</v>
      </c>
      <c r="O1174" t="s">
        <v>109</v>
      </c>
      <c r="P1174" s="2">
        <v>44.33</v>
      </c>
      <c r="Q1174" s="1" t="str">
        <f>IF(J153&gt;K153,"YES","NO")</f>
        <v>YES</v>
      </c>
      <c r="R1174" s="2">
        <f>IF(Q153="YES",G153*0.9,G153)</f>
        <v>56.997</v>
      </c>
      <c r="S1174" s="2">
        <f>J153*G153</f>
        <v>7282.95</v>
      </c>
      <c r="T1174" s="1">
        <f ca="1">TODAY()-DATE(MID(O153,7,4),MID(O153,4,2),LEFT(O153,2))</f>
        <v>89</v>
      </c>
      <c r="U1174" s="1" t="s">
        <v>34</v>
      </c>
      <c r="V1174" s="1" t="s">
        <v>34</v>
      </c>
      <c r="W1174" s="1" t="s">
        <v>34</v>
      </c>
      <c r="X1174" t="s">
        <v>2543</v>
      </c>
      <c r="Y1174" s="1">
        <v>6.5</v>
      </c>
    </row>
    <row r="1175" spans="1:25" x14ac:dyDescent="0.3">
      <c r="A1175" s="1" t="s">
        <v>2189</v>
      </c>
      <c r="B1175" s="1" t="s">
        <v>37</v>
      </c>
      <c r="C1175" s="1" t="s">
        <v>38</v>
      </c>
      <c r="D1175" s="1" t="s">
        <v>39</v>
      </c>
      <c r="E1175" s="1" t="s">
        <v>74</v>
      </c>
      <c r="F1175" s="1" t="s">
        <v>30</v>
      </c>
      <c r="G1175" s="2">
        <v>234.11</v>
      </c>
      <c r="H1175" s="1">
        <v>4</v>
      </c>
      <c r="I1175" s="1">
        <v>92</v>
      </c>
      <c r="J1175" s="1">
        <v>55</v>
      </c>
      <c r="K1175" s="1">
        <v>115</v>
      </c>
      <c r="L1175" s="1">
        <v>137</v>
      </c>
      <c r="M1175" s="1" t="s">
        <v>31</v>
      </c>
      <c r="N1175" s="1" t="s">
        <v>42</v>
      </c>
      <c r="O1175" t="s">
        <v>65</v>
      </c>
      <c r="P1175" s="2">
        <v>163.88</v>
      </c>
      <c r="Q1175" s="1" t="str">
        <f>IF(J250&gt;K250,"YES","NO")</f>
        <v>NO</v>
      </c>
      <c r="R1175" s="2">
        <f>IF(Q250="YES",G250*0.9,G250)</f>
        <v>234.11</v>
      </c>
      <c r="S1175" s="2">
        <f>J250*G250</f>
        <v>12876.050000000001</v>
      </c>
      <c r="T1175" s="1">
        <f ca="1">TODAY()-DATE(MID(O250,7,4),MID(O250,4,2),LEFT(O250,2))</f>
        <v>142</v>
      </c>
      <c r="U1175" s="1" t="s">
        <v>34</v>
      </c>
      <c r="V1175" s="1" t="s">
        <v>34</v>
      </c>
      <c r="W1175" s="1" t="s">
        <v>34</v>
      </c>
      <c r="X1175" t="s">
        <v>2720</v>
      </c>
      <c r="Y1175" s="1">
        <v>5</v>
      </c>
    </row>
    <row r="1176" spans="1:25" x14ac:dyDescent="0.3">
      <c r="A1176" s="1" t="s">
        <v>2190</v>
      </c>
      <c r="B1176" s="1" t="s">
        <v>57</v>
      </c>
      <c r="C1176" s="1" t="s">
        <v>58</v>
      </c>
      <c r="D1176" s="1" t="s">
        <v>59</v>
      </c>
      <c r="E1176" s="1" t="s">
        <v>29</v>
      </c>
      <c r="F1176" s="1" t="s">
        <v>30</v>
      </c>
      <c r="G1176" s="2">
        <v>314.51</v>
      </c>
      <c r="H1176" s="1">
        <v>12</v>
      </c>
      <c r="I1176" s="1">
        <v>250</v>
      </c>
      <c r="J1176" s="1">
        <v>223</v>
      </c>
      <c r="K1176" s="1">
        <v>119</v>
      </c>
      <c r="L1176" s="1">
        <v>84</v>
      </c>
      <c r="M1176" s="1" t="s">
        <v>49</v>
      </c>
      <c r="N1176" s="1" t="s">
        <v>32</v>
      </c>
      <c r="O1176" t="s">
        <v>284</v>
      </c>
      <c r="P1176" s="2">
        <v>220.16</v>
      </c>
      <c r="Q1176" s="1" t="str">
        <f>IF(J274&gt;K274,"YES","NO")</f>
        <v>YES</v>
      </c>
      <c r="R1176" s="2">
        <f>IF(Q274="YES",G274*0.9,G274)</f>
        <v>283.05900000000003</v>
      </c>
      <c r="S1176" s="2">
        <f>J274*G274</f>
        <v>70135.73</v>
      </c>
      <c r="T1176" s="1">
        <f ca="1">TODAY()-DATE(MID(O274,7,4),MID(O274,4,2),LEFT(O274,2))</f>
        <v>119</v>
      </c>
      <c r="U1176" s="1" t="s">
        <v>34</v>
      </c>
      <c r="V1176" s="1" t="s">
        <v>34</v>
      </c>
      <c r="W1176" s="1" t="s">
        <v>34</v>
      </c>
      <c r="X1176" t="s">
        <v>2671</v>
      </c>
      <c r="Y1176" s="1">
        <v>7</v>
      </c>
    </row>
    <row r="1177" spans="1:25" x14ac:dyDescent="0.3">
      <c r="A1177" s="1" t="s">
        <v>2191</v>
      </c>
      <c r="B1177" s="1" t="s">
        <v>192</v>
      </c>
      <c r="C1177" s="1" t="s">
        <v>193</v>
      </c>
      <c r="D1177" s="1" t="s">
        <v>85</v>
      </c>
      <c r="E1177" s="1" t="s">
        <v>29</v>
      </c>
      <c r="F1177" s="1" t="s">
        <v>48</v>
      </c>
      <c r="G1177" s="2">
        <v>257.41000000000003</v>
      </c>
      <c r="H1177" s="1">
        <v>10</v>
      </c>
      <c r="I1177" s="1">
        <v>271</v>
      </c>
      <c r="J1177" s="1">
        <v>233</v>
      </c>
      <c r="K1177" s="1">
        <v>116</v>
      </c>
      <c r="L1177" s="1">
        <v>98</v>
      </c>
      <c r="M1177" s="1" t="s">
        <v>31</v>
      </c>
      <c r="N1177" s="1" t="s">
        <v>32</v>
      </c>
      <c r="O1177" t="s">
        <v>309</v>
      </c>
      <c r="P1177" s="2">
        <v>180.19</v>
      </c>
      <c r="Q1177" s="1" t="str">
        <f>IF(J432&gt;K432,"YES","NO")</f>
        <v>YES</v>
      </c>
      <c r="R1177" s="2">
        <f>IF(Q432="YES",G432*0.9,G432)</f>
        <v>231.66900000000004</v>
      </c>
      <c r="S1177" s="2">
        <f>J432*G432</f>
        <v>59976.530000000006</v>
      </c>
      <c r="T1177" s="1">
        <f ca="1">TODAY()-DATE(MID(O432,7,4),MID(O432,4,2),LEFT(O432,2))</f>
        <v>67</v>
      </c>
      <c r="U1177" s="1" t="s">
        <v>34</v>
      </c>
      <c r="V1177" s="1" t="s">
        <v>34</v>
      </c>
      <c r="W1177" s="1" t="s">
        <v>34</v>
      </c>
      <c r="X1177" t="s">
        <v>2796</v>
      </c>
      <c r="Y1177" s="1">
        <v>6</v>
      </c>
    </row>
    <row r="1178" spans="1:25" x14ac:dyDescent="0.3">
      <c r="A1178" s="1" t="s">
        <v>2192</v>
      </c>
      <c r="B1178" s="1" t="s">
        <v>237</v>
      </c>
      <c r="C1178" s="1" t="s">
        <v>238</v>
      </c>
      <c r="D1178" s="1" t="s">
        <v>85</v>
      </c>
      <c r="E1178" s="1" t="s">
        <v>74</v>
      </c>
      <c r="F1178" s="1" t="s">
        <v>54</v>
      </c>
      <c r="G1178" s="2">
        <v>438.94</v>
      </c>
      <c r="H1178" s="1">
        <v>21</v>
      </c>
      <c r="I1178" s="1">
        <v>164</v>
      </c>
      <c r="J1178" s="1">
        <v>131</v>
      </c>
      <c r="K1178" s="1">
        <v>63</v>
      </c>
      <c r="L1178" s="1">
        <v>67</v>
      </c>
      <c r="M1178" s="1" t="s">
        <v>41</v>
      </c>
      <c r="N1178" s="1" t="s">
        <v>60</v>
      </c>
      <c r="O1178" t="s">
        <v>164</v>
      </c>
      <c r="P1178" s="2">
        <v>307.26</v>
      </c>
      <c r="Q1178" s="1" t="str">
        <f>IF(J700&gt;K700,"YES","NO")</f>
        <v>YES</v>
      </c>
      <c r="R1178" s="2">
        <f>IF(Q700="YES",G700*0.9,G700)</f>
        <v>395.04599999999999</v>
      </c>
      <c r="S1178" s="2">
        <f>J700*G700</f>
        <v>57501.14</v>
      </c>
      <c r="T1178" s="1">
        <f ca="1">TODAY()-DATE(MID(O700,7,4),MID(O700,4,2),LEFT(O700,2))</f>
        <v>126</v>
      </c>
      <c r="U1178" s="1" t="s">
        <v>34</v>
      </c>
      <c r="V1178" s="1" t="s">
        <v>34</v>
      </c>
      <c r="W1178" s="1" t="s">
        <v>34</v>
      </c>
      <c r="X1178" t="s">
        <v>2842</v>
      </c>
      <c r="Y1178" s="1">
        <v>5</v>
      </c>
    </row>
    <row r="1179" spans="1:25" x14ac:dyDescent="0.3">
      <c r="A1179" s="1" t="s">
        <v>2193</v>
      </c>
      <c r="B1179" s="1" t="s">
        <v>37</v>
      </c>
      <c r="C1179" s="1" t="s">
        <v>38</v>
      </c>
      <c r="D1179" s="1" t="s">
        <v>39</v>
      </c>
      <c r="E1179" s="1" t="s">
        <v>74</v>
      </c>
      <c r="F1179" s="1" t="s">
        <v>30</v>
      </c>
      <c r="G1179" s="2">
        <v>234.11</v>
      </c>
      <c r="H1179" s="1">
        <v>4</v>
      </c>
      <c r="I1179" s="1">
        <v>92</v>
      </c>
      <c r="J1179" s="1">
        <v>55</v>
      </c>
      <c r="K1179" s="1">
        <v>115</v>
      </c>
      <c r="L1179" s="1">
        <v>137</v>
      </c>
      <c r="M1179" s="1" t="s">
        <v>31</v>
      </c>
      <c r="N1179" s="1" t="s">
        <v>42</v>
      </c>
      <c r="O1179" t="s">
        <v>65</v>
      </c>
      <c r="P1179" s="2">
        <v>163.88</v>
      </c>
      <c r="Q1179" s="1" t="str">
        <f>IF(J250&gt;K250,"YES","NO")</f>
        <v>NO</v>
      </c>
      <c r="R1179" s="2">
        <f>IF(Q250="YES",G250*0.9,G250)</f>
        <v>234.11</v>
      </c>
      <c r="S1179" s="2">
        <f>J250*G250</f>
        <v>12876.050000000001</v>
      </c>
      <c r="T1179" s="1">
        <f ca="1">TODAY()-DATE(MID(O250,7,4),MID(O250,4,2),LEFT(O250,2))</f>
        <v>142</v>
      </c>
      <c r="U1179" s="1" t="s">
        <v>34</v>
      </c>
      <c r="V1179" s="1" t="s">
        <v>34</v>
      </c>
      <c r="W1179" s="1" t="s">
        <v>34</v>
      </c>
      <c r="X1179" t="s">
        <v>2644</v>
      </c>
      <c r="Y1179" s="1">
        <v>5</v>
      </c>
    </row>
    <row r="1180" spans="1:25" x14ac:dyDescent="0.3">
      <c r="A1180" s="1" t="s">
        <v>2194</v>
      </c>
      <c r="B1180" s="1" t="s">
        <v>111</v>
      </c>
      <c r="C1180" s="1" t="s">
        <v>112</v>
      </c>
      <c r="D1180" s="1" t="s">
        <v>97</v>
      </c>
      <c r="E1180" s="1" t="s">
        <v>40</v>
      </c>
      <c r="F1180" s="1" t="s">
        <v>48</v>
      </c>
      <c r="G1180" s="2">
        <v>52.77</v>
      </c>
      <c r="H1180" s="1">
        <v>19</v>
      </c>
      <c r="I1180" s="1">
        <v>134</v>
      </c>
      <c r="J1180" s="1">
        <v>111</v>
      </c>
      <c r="K1180" s="1">
        <v>63</v>
      </c>
      <c r="L1180" s="1">
        <v>139</v>
      </c>
      <c r="M1180" s="1" t="s">
        <v>31</v>
      </c>
      <c r="N1180" s="1" t="s">
        <v>60</v>
      </c>
      <c r="O1180" t="s">
        <v>260</v>
      </c>
      <c r="P1180" s="2">
        <v>36.94</v>
      </c>
      <c r="Q1180" s="1" t="str">
        <f>IF(J214&gt;K214,"YES","NO")</f>
        <v>YES</v>
      </c>
      <c r="R1180" s="2">
        <f>IF(Q214="YES",G214*0.9,G214)</f>
        <v>47.493000000000002</v>
      </c>
      <c r="S1180" s="2">
        <f>J214*G214</f>
        <v>5857.47</v>
      </c>
      <c r="T1180" s="1">
        <f ca="1">TODAY()-DATE(MID(O214,7,4),MID(O214,4,2),LEFT(O214,2))</f>
        <v>70</v>
      </c>
      <c r="U1180" s="1" t="s">
        <v>34</v>
      </c>
      <c r="V1180" s="1" t="s">
        <v>34</v>
      </c>
      <c r="W1180" s="1" t="s">
        <v>34</v>
      </c>
      <c r="X1180" t="s">
        <v>2528</v>
      </c>
      <c r="Y1180" s="1">
        <v>7</v>
      </c>
    </row>
    <row r="1181" spans="1:25" x14ac:dyDescent="0.3">
      <c r="A1181" s="1" t="s">
        <v>2195</v>
      </c>
      <c r="B1181" s="1" t="s">
        <v>299</v>
      </c>
      <c r="C1181" s="1" t="s">
        <v>300</v>
      </c>
      <c r="D1181" s="1" t="s">
        <v>39</v>
      </c>
      <c r="E1181" s="1" t="s">
        <v>40</v>
      </c>
      <c r="F1181" s="1" t="s">
        <v>54</v>
      </c>
      <c r="G1181" s="2">
        <v>425.62</v>
      </c>
      <c r="H1181" s="1">
        <v>25</v>
      </c>
      <c r="I1181" s="1">
        <v>191</v>
      </c>
      <c r="J1181" s="1">
        <v>168</v>
      </c>
      <c r="K1181" s="1">
        <v>108</v>
      </c>
      <c r="L1181" s="1">
        <v>60</v>
      </c>
      <c r="M1181" s="1" t="s">
        <v>49</v>
      </c>
      <c r="N1181" s="1" t="s">
        <v>60</v>
      </c>
      <c r="O1181" t="s">
        <v>153</v>
      </c>
      <c r="P1181" s="2">
        <v>297.93</v>
      </c>
      <c r="Q1181" s="1" t="str">
        <f>IF(J149&gt;K149,"YES","NO")</f>
        <v>YES</v>
      </c>
      <c r="R1181" s="2">
        <f>IF(Q149="YES",G149*0.9,G149)</f>
        <v>383.05799999999999</v>
      </c>
      <c r="S1181" s="2">
        <f>J149*G149</f>
        <v>71504.160000000003</v>
      </c>
      <c r="T1181" s="1">
        <f ca="1">TODAY()-DATE(MID(O149,7,4),MID(O149,4,2),LEFT(O149,2))</f>
        <v>135</v>
      </c>
      <c r="U1181" s="1" t="s">
        <v>34</v>
      </c>
      <c r="V1181" s="1" t="s">
        <v>34</v>
      </c>
      <c r="W1181" s="1" t="s">
        <v>34</v>
      </c>
      <c r="X1181" t="s">
        <v>2901</v>
      </c>
      <c r="Y1181" s="1">
        <v>9.5</v>
      </c>
    </row>
    <row r="1182" spans="1:25" x14ac:dyDescent="0.3">
      <c r="A1182" s="1" t="s">
        <v>2196</v>
      </c>
      <c r="B1182" s="1" t="s">
        <v>45</v>
      </c>
      <c r="C1182" s="1" t="s">
        <v>46</v>
      </c>
      <c r="D1182" s="1" t="s">
        <v>47</v>
      </c>
      <c r="E1182" s="1" t="s">
        <v>29</v>
      </c>
      <c r="F1182" s="1" t="s">
        <v>54</v>
      </c>
      <c r="G1182" s="2">
        <v>275.82</v>
      </c>
      <c r="H1182" s="1">
        <v>2</v>
      </c>
      <c r="I1182" s="1">
        <v>240</v>
      </c>
      <c r="J1182" s="1">
        <v>212</v>
      </c>
      <c r="K1182" s="1">
        <v>45</v>
      </c>
      <c r="L1182" s="1">
        <v>99</v>
      </c>
      <c r="M1182" s="1" t="s">
        <v>49</v>
      </c>
      <c r="N1182" s="1" t="s">
        <v>60</v>
      </c>
      <c r="O1182" t="s">
        <v>116</v>
      </c>
      <c r="P1182" s="2">
        <v>193.07</v>
      </c>
      <c r="Q1182" s="1" t="str">
        <f>IF(J24&gt;K24,"YES","NO")</f>
        <v>YES</v>
      </c>
      <c r="R1182" s="2">
        <f>IF(Q24="YES",G24*0.9,G24)</f>
        <v>248.238</v>
      </c>
      <c r="S1182" s="2">
        <f>J24*G24</f>
        <v>58473.84</v>
      </c>
      <c r="T1182" s="1">
        <f ca="1">TODAY()-DATE(MID(O24,7,4),MID(O24,4,2),LEFT(O24,2))</f>
        <v>87</v>
      </c>
      <c r="U1182" s="1" t="s">
        <v>34</v>
      </c>
      <c r="V1182" s="1" t="s">
        <v>34</v>
      </c>
      <c r="W1182" s="1" t="s">
        <v>34</v>
      </c>
      <c r="X1182" t="s">
        <v>2805</v>
      </c>
      <c r="Y1182" s="1">
        <v>7</v>
      </c>
    </row>
    <row r="1183" spans="1:25" x14ac:dyDescent="0.3">
      <c r="A1183" s="1" t="s">
        <v>2197</v>
      </c>
      <c r="B1183" s="1" t="s">
        <v>26</v>
      </c>
      <c r="C1183" s="1" t="s">
        <v>27</v>
      </c>
      <c r="D1183" s="1" t="s">
        <v>28</v>
      </c>
      <c r="E1183" s="1" t="s">
        <v>29</v>
      </c>
      <c r="F1183" s="1" t="s">
        <v>54</v>
      </c>
      <c r="G1183" s="2">
        <v>262.33</v>
      </c>
      <c r="H1183" s="1">
        <v>4</v>
      </c>
      <c r="I1183" s="1">
        <v>81</v>
      </c>
      <c r="J1183" s="1">
        <v>61</v>
      </c>
      <c r="K1183" s="1">
        <v>56</v>
      </c>
      <c r="L1183" s="1">
        <v>117</v>
      </c>
      <c r="M1183" s="1" t="s">
        <v>49</v>
      </c>
      <c r="N1183" s="1" t="s">
        <v>60</v>
      </c>
      <c r="O1183" t="s">
        <v>260</v>
      </c>
      <c r="P1183" s="2">
        <v>183.63</v>
      </c>
      <c r="Q1183" s="1" t="str">
        <f>IF(J789&gt;K789,"YES","NO")</f>
        <v>YES</v>
      </c>
      <c r="R1183" s="2">
        <f>IF(Q789="YES",G789*0.9,G789)</f>
        <v>236.09699999999998</v>
      </c>
      <c r="S1183" s="2">
        <f>J789*G789</f>
        <v>16002.13</v>
      </c>
      <c r="T1183" s="1">
        <f ca="1">TODAY()-DATE(MID(O789,7,4),MID(O789,4,2),LEFT(O789,2))</f>
        <v>70</v>
      </c>
      <c r="U1183" s="1" t="s">
        <v>34</v>
      </c>
      <c r="V1183" s="1" t="s">
        <v>34</v>
      </c>
      <c r="W1183" s="1" t="s">
        <v>34</v>
      </c>
      <c r="X1183" t="s">
        <v>2709</v>
      </c>
      <c r="Y1183" s="1">
        <v>9.5</v>
      </c>
    </row>
    <row r="1184" spans="1:25" x14ac:dyDescent="0.3">
      <c r="A1184" s="1" t="s">
        <v>2198</v>
      </c>
      <c r="B1184" s="1" t="s">
        <v>262</v>
      </c>
      <c r="C1184" s="1" t="s">
        <v>263</v>
      </c>
      <c r="D1184" s="1" t="s">
        <v>104</v>
      </c>
      <c r="E1184" s="1" t="s">
        <v>40</v>
      </c>
      <c r="F1184" s="1" t="s">
        <v>48</v>
      </c>
      <c r="G1184" s="2">
        <v>411.14</v>
      </c>
      <c r="H1184" s="1">
        <v>16</v>
      </c>
      <c r="I1184" s="1">
        <v>112</v>
      </c>
      <c r="J1184" s="1">
        <v>103</v>
      </c>
      <c r="K1184" s="1">
        <v>43</v>
      </c>
      <c r="L1184" s="1">
        <v>139</v>
      </c>
      <c r="M1184" s="1" t="s">
        <v>31</v>
      </c>
      <c r="N1184" s="1" t="s">
        <v>42</v>
      </c>
      <c r="O1184" t="s">
        <v>65</v>
      </c>
      <c r="P1184" s="2">
        <v>287.8</v>
      </c>
      <c r="Q1184" s="1" t="str">
        <f>IF(J594&gt;K594,"YES","NO")</f>
        <v>YES</v>
      </c>
      <c r="R1184" s="2">
        <f>IF(Q594="YES",G594*0.9,G594)</f>
        <v>370.02600000000001</v>
      </c>
      <c r="S1184" s="2">
        <f>J594*G594</f>
        <v>42347.42</v>
      </c>
      <c r="T1184" s="1">
        <f ca="1">TODAY()-DATE(MID(O594,7,4),MID(O594,4,2),LEFT(O594,2))</f>
        <v>142</v>
      </c>
      <c r="U1184" s="1" t="s">
        <v>34</v>
      </c>
      <c r="V1184" s="1" t="s">
        <v>34</v>
      </c>
      <c r="W1184" s="1" t="s">
        <v>34</v>
      </c>
      <c r="X1184" t="s">
        <v>2685</v>
      </c>
      <c r="Y1184" s="1">
        <v>7</v>
      </c>
    </row>
    <row r="1185" spans="1:25" x14ac:dyDescent="0.3">
      <c r="A1185" s="1" t="s">
        <v>2199</v>
      </c>
      <c r="B1185" s="1" t="s">
        <v>166</v>
      </c>
      <c r="C1185" s="1" t="s">
        <v>167</v>
      </c>
      <c r="D1185" s="1" t="s">
        <v>59</v>
      </c>
      <c r="E1185" s="1" t="s">
        <v>29</v>
      </c>
      <c r="F1185" s="1" t="s">
        <v>48</v>
      </c>
      <c r="G1185" s="2">
        <v>393.18</v>
      </c>
      <c r="H1185" s="1">
        <v>15</v>
      </c>
      <c r="I1185" s="1">
        <v>176</v>
      </c>
      <c r="J1185" s="1">
        <v>157</v>
      </c>
      <c r="K1185" s="1">
        <v>94</v>
      </c>
      <c r="L1185" s="1">
        <v>74</v>
      </c>
      <c r="M1185" s="1" t="s">
        <v>41</v>
      </c>
      <c r="N1185" s="1" t="s">
        <v>60</v>
      </c>
      <c r="O1185" t="s">
        <v>55</v>
      </c>
      <c r="P1185" s="2">
        <v>275.23</v>
      </c>
      <c r="Q1185" s="1" t="str">
        <f>IF(J569&gt;K569,"YES","NO")</f>
        <v>YES</v>
      </c>
      <c r="R1185" s="2">
        <f>IF(Q569="YES",G569*0.9,G569)</f>
        <v>353.86200000000002</v>
      </c>
      <c r="S1185" s="2">
        <f>J569*G569</f>
        <v>61729.26</v>
      </c>
      <c r="T1185" s="1">
        <f ca="1">TODAY()-DATE(MID(O569,7,4),MID(O569,4,2),LEFT(O569,2))</f>
        <v>91</v>
      </c>
      <c r="U1185" s="1" t="s">
        <v>34</v>
      </c>
      <c r="V1185" s="1" t="s">
        <v>34</v>
      </c>
      <c r="W1185" s="1" t="s">
        <v>34</v>
      </c>
      <c r="X1185" t="s">
        <v>2632</v>
      </c>
      <c r="Y1185" s="1">
        <v>9.5</v>
      </c>
    </row>
    <row r="1186" spans="1:25" x14ac:dyDescent="0.3">
      <c r="A1186" s="1" t="s">
        <v>2200</v>
      </c>
      <c r="B1186" s="1" t="s">
        <v>130</v>
      </c>
      <c r="C1186" s="1" t="s">
        <v>131</v>
      </c>
      <c r="D1186" s="1" t="s">
        <v>132</v>
      </c>
      <c r="E1186" s="1" t="s">
        <v>40</v>
      </c>
      <c r="F1186" s="1" t="s">
        <v>48</v>
      </c>
      <c r="G1186" s="2">
        <v>347.46</v>
      </c>
      <c r="H1186" s="1">
        <v>20</v>
      </c>
      <c r="I1186" s="1">
        <v>232</v>
      </c>
      <c r="J1186" s="1">
        <v>204</v>
      </c>
      <c r="K1186" s="1">
        <v>105</v>
      </c>
      <c r="L1186" s="1">
        <v>94</v>
      </c>
      <c r="M1186" s="1" t="s">
        <v>31</v>
      </c>
      <c r="N1186" s="1" t="s">
        <v>60</v>
      </c>
      <c r="O1186" t="s">
        <v>240</v>
      </c>
      <c r="P1186" s="2">
        <v>243.22</v>
      </c>
      <c r="Q1186" s="1" t="str">
        <f>IF(J520&gt;K520,"YES","NO")</f>
        <v>YES</v>
      </c>
      <c r="R1186" s="2">
        <f>IF(Q520="YES",G520*0.9,G520)</f>
        <v>312.714</v>
      </c>
      <c r="S1186" s="2">
        <f>J520*G520</f>
        <v>70881.84</v>
      </c>
      <c r="T1186" s="1">
        <f ca="1">TODAY()-DATE(MID(O520,7,4),MID(O520,4,2),LEFT(O520,2))</f>
        <v>111</v>
      </c>
      <c r="U1186" s="1" t="s">
        <v>34</v>
      </c>
      <c r="V1186" s="1" t="s">
        <v>34</v>
      </c>
      <c r="W1186" s="1" t="s">
        <v>34</v>
      </c>
      <c r="X1186" t="s">
        <v>2912</v>
      </c>
      <c r="Y1186" s="1">
        <v>5</v>
      </c>
    </row>
    <row r="1187" spans="1:25" x14ac:dyDescent="0.3">
      <c r="A1187" s="1" t="s">
        <v>2201</v>
      </c>
      <c r="B1187" s="1" t="s">
        <v>57</v>
      </c>
      <c r="C1187" s="1" t="s">
        <v>58</v>
      </c>
      <c r="D1187" s="1" t="s">
        <v>59</v>
      </c>
      <c r="E1187" s="1" t="s">
        <v>40</v>
      </c>
      <c r="F1187" s="1" t="s">
        <v>48</v>
      </c>
      <c r="G1187" s="2">
        <v>236.36</v>
      </c>
      <c r="H1187" s="1">
        <v>16</v>
      </c>
      <c r="I1187" s="1">
        <v>174</v>
      </c>
      <c r="J1187" s="1">
        <v>145</v>
      </c>
      <c r="K1187" s="1">
        <v>100</v>
      </c>
      <c r="L1187" s="1">
        <v>66</v>
      </c>
      <c r="M1187" s="1" t="s">
        <v>49</v>
      </c>
      <c r="N1187" s="1" t="s">
        <v>42</v>
      </c>
      <c r="O1187" t="s">
        <v>98</v>
      </c>
      <c r="P1187" s="2">
        <v>165.45</v>
      </c>
      <c r="Q1187" s="1" t="str">
        <f>IF(J755&gt;K755,"YES","NO")</f>
        <v>YES</v>
      </c>
      <c r="R1187" s="2">
        <f>IF(Q755="YES",G755*0.9,G755)</f>
        <v>212.72400000000002</v>
      </c>
      <c r="S1187" s="2">
        <f>J755*G755</f>
        <v>34272.200000000004</v>
      </c>
      <c r="T1187" s="1">
        <f ca="1">TODAY()-DATE(MID(O755,7,4),MID(O755,4,2),LEFT(O755,2))</f>
        <v>96</v>
      </c>
      <c r="U1187" s="1" t="s">
        <v>34</v>
      </c>
      <c r="V1187" s="1" t="s">
        <v>34</v>
      </c>
      <c r="W1187" s="1" t="s">
        <v>34</v>
      </c>
      <c r="X1187" t="s">
        <v>2671</v>
      </c>
      <c r="Y1187" s="1">
        <v>7.5</v>
      </c>
    </row>
    <row r="1188" spans="1:25" x14ac:dyDescent="0.3">
      <c r="A1188" s="1" t="s">
        <v>2202</v>
      </c>
      <c r="B1188" s="1" t="s">
        <v>189</v>
      </c>
      <c r="C1188" s="1" t="s">
        <v>190</v>
      </c>
      <c r="D1188" s="1" t="s">
        <v>59</v>
      </c>
      <c r="E1188" s="1" t="s">
        <v>40</v>
      </c>
      <c r="F1188" s="1" t="s">
        <v>30</v>
      </c>
      <c r="G1188" s="2">
        <v>313.32</v>
      </c>
      <c r="H1188" s="1">
        <v>8</v>
      </c>
      <c r="I1188" s="1">
        <v>137</v>
      </c>
      <c r="J1188" s="1">
        <v>102</v>
      </c>
      <c r="K1188" s="1">
        <v>118</v>
      </c>
      <c r="L1188" s="1">
        <v>73</v>
      </c>
      <c r="M1188" s="1" t="s">
        <v>41</v>
      </c>
      <c r="N1188" s="1" t="s">
        <v>60</v>
      </c>
      <c r="O1188" t="s">
        <v>139</v>
      </c>
      <c r="P1188" s="2">
        <v>219.32</v>
      </c>
      <c r="Q1188" s="1" t="str">
        <f>IF(J647&gt;K647,"YES","NO")</f>
        <v>NO</v>
      </c>
      <c r="R1188" s="2">
        <f>IF(Q647="YES",G647*0.9,G647)</f>
        <v>313.32</v>
      </c>
      <c r="S1188" s="2">
        <f>J647*G647</f>
        <v>31958.639999999999</v>
      </c>
      <c r="T1188" s="1">
        <f ca="1">TODAY()-DATE(MID(O647,7,4),MID(O647,4,2),LEFT(O647,2))</f>
        <v>75</v>
      </c>
      <c r="U1188" s="1" t="s">
        <v>34</v>
      </c>
      <c r="V1188" s="1" t="s">
        <v>34</v>
      </c>
      <c r="W1188" s="1" t="s">
        <v>34</v>
      </c>
      <c r="X1188" t="s">
        <v>2821</v>
      </c>
      <c r="Y1188" s="1">
        <v>8.5</v>
      </c>
    </row>
    <row r="1189" spans="1:25" x14ac:dyDescent="0.3">
      <c r="A1189" s="1" t="s">
        <v>2203</v>
      </c>
      <c r="B1189" s="1" t="s">
        <v>95</v>
      </c>
      <c r="C1189" s="1" t="s">
        <v>96</v>
      </c>
      <c r="D1189" s="1" t="s">
        <v>97</v>
      </c>
      <c r="E1189" s="1" t="s">
        <v>40</v>
      </c>
      <c r="F1189" s="1" t="s">
        <v>48</v>
      </c>
      <c r="G1189" s="2">
        <v>379.24</v>
      </c>
      <c r="H1189" s="1">
        <v>0</v>
      </c>
      <c r="I1189" s="1">
        <v>233</v>
      </c>
      <c r="J1189" s="1">
        <v>228</v>
      </c>
      <c r="K1189" s="1">
        <v>83</v>
      </c>
      <c r="L1189" s="1">
        <v>72</v>
      </c>
      <c r="M1189" s="1" t="s">
        <v>49</v>
      </c>
      <c r="N1189" s="1" t="s">
        <v>60</v>
      </c>
      <c r="O1189" t="s">
        <v>212</v>
      </c>
      <c r="P1189" s="2">
        <v>265.47000000000003</v>
      </c>
      <c r="Q1189" s="1" t="str">
        <f>IF(J261&gt;K261,"YES","NO")</f>
        <v>YES</v>
      </c>
      <c r="R1189" s="2">
        <f>IF(Q261="YES",G261*0.9,G261)</f>
        <v>341.31600000000003</v>
      </c>
      <c r="S1189" s="2">
        <f>J261*G261</f>
        <v>86466.72</v>
      </c>
      <c r="T1189" s="1">
        <f ca="1">TODAY()-DATE(MID(O261,7,4),MID(O261,4,2),LEFT(O261,2))</f>
        <v>78</v>
      </c>
      <c r="U1189" s="1" t="s">
        <v>34</v>
      </c>
      <c r="V1189" s="1" t="s">
        <v>34</v>
      </c>
      <c r="W1189" s="1" t="s">
        <v>34</v>
      </c>
      <c r="X1189" t="s">
        <v>2660</v>
      </c>
      <c r="Y1189" s="1">
        <v>5.5</v>
      </c>
    </row>
    <row r="1190" spans="1:25" x14ac:dyDescent="0.3">
      <c r="A1190" s="1" t="s">
        <v>2204</v>
      </c>
      <c r="B1190" s="1" t="s">
        <v>77</v>
      </c>
      <c r="C1190" s="1" t="s">
        <v>78</v>
      </c>
      <c r="D1190" s="1" t="s">
        <v>47</v>
      </c>
      <c r="E1190" s="1" t="s">
        <v>40</v>
      </c>
      <c r="F1190" s="1" t="s">
        <v>54</v>
      </c>
      <c r="G1190" s="2">
        <v>421.34</v>
      </c>
      <c r="H1190" s="1">
        <v>2</v>
      </c>
      <c r="I1190" s="1">
        <v>232</v>
      </c>
      <c r="J1190" s="1">
        <v>211</v>
      </c>
      <c r="K1190" s="1">
        <v>104</v>
      </c>
      <c r="L1190" s="1">
        <v>112</v>
      </c>
      <c r="M1190" s="1" t="s">
        <v>41</v>
      </c>
      <c r="N1190" s="1" t="s">
        <v>32</v>
      </c>
      <c r="O1190" t="s">
        <v>178</v>
      </c>
      <c r="P1190" s="2">
        <v>294.94</v>
      </c>
      <c r="Q1190" s="1" t="str">
        <f>IF(J786&gt;K786,"YES","NO")</f>
        <v>YES</v>
      </c>
      <c r="R1190" s="2">
        <f>IF(Q786="YES",G786*0.9,G786)</f>
        <v>379.20599999999996</v>
      </c>
      <c r="S1190" s="2">
        <f>J786*G786</f>
        <v>88902.739999999991</v>
      </c>
      <c r="T1190" s="1">
        <f ca="1">TODAY()-DATE(MID(O786,7,4),MID(O786,4,2),LEFT(O786,2))</f>
        <v>90</v>
      </c>
      <c r="U1190" s="1" t="s">
        <v>34</v>
      </c>
      <c r="V1190" s="1" t="s">
        <v>34</v>
      </c>
      <c r="W1190" s="1" t="s">
        <v>34</v>
      </c>
      <c r="X1190" t="s">
        <v>2808</v>
      </c>
      <c r="Y1190" s="1">
        <v>8</v>
      </c>
    </row>
    <row r="1191" spans="1:25" x14ac:dyDescent="0.3">
      <c r="A1191" s="1" t="s">
        <v>2205</v>
      </c>
      <c r="B1191" s="1" t="s">
        <v>102</v>
      </c>
      <c r="C1191" s="1" t="s">
        <v>103</v>
      </c>
      <c r="D1191" s="1" t="s">
        <v>104</v>
      </c>
      <c r="E1191" s="1" t="s">
        <v>29</v>
      </c>
      <c r="F1191" s="1" t="s">
        <v>54</v>
      </c>
      <c r="G1191" s="2">
        <v>164.35</v>
      </c>
      <c r="H1191" s="1">
        <v>20</v>
      </c>
      <c r="I1191" s="1">
        <v>195</v>
      </c>
      <c r="J1191" s="1">
        <v>183</v>
      </c>
      <c r="K1191" s="1">
        <v>89</v>
      </c>
      <c r="L1191" s="1">
        <v>96</v>
      </c>
      <c r="M1191" s="1" t="s">
        <v>31</v>
      </c>
      <c r="N1191" s="1" t="s">
        <v>42</v>
      </c>
      <c r="O1191" t="s">
        <v>473</v>
      </c>
      <c r="P1191" s="2">
        <v>115.04</v>
      </c>
      <c r="Q1191" s="1" t="str">
        <f>IF(J681&gt;K681,"YES","NO")</f>
        <v>YES</v>
      </c>
      <c r="R1191" s="2">
        <f>IF(Q681="YES",G681*0.9,G681)</f>
        <v>147.91499999999999</v>
      </c>
      <c r="S1191" s="2">
        <f>J681*G681</f>
        <v>30076.05</v>
      </c>
      <c r="T1191" s="1">
        <f ca="1">TODAY()-DATE(MID(O681,7,4),MID(O681,4,2),LEFT(O681,2))</f>
        <v>146</v>
      </c>
      <c r="U1191" s="1" t="s">
        <v>34</v>
      </c>
      <c r="V1191" s="1" t="s">
        <v>34</v>
      </c>
      <c r="W1191" s="1" t="s">
        <v>34</v>
      </c>
      <c r="X1191" t="s">
        <v>2583</v>
      </c>
      <c r="Y1191" s="1">
        <v>5.5</v>
      </c>
    </row>
    <row r="1192" spans="1:25" x14ac:dyDescent="0.3">
      <c r="A1192" s="1" t="s">
        <v>2206</v>
      </c>
      <c r="B1192" s="1" t="s">
        <v>118</v>
      </c>
      <c r="C1192" s="1" t="s">
        <v>119</v>
      </c>
      <c r="D1192" s="1" t="s">
        <v>97</v>
      </c>
      <c r="E1192" s="1" t="s">
        <v>74</v>
      </c>
      <c r="F1192" s="1" t="s">
        <v>54</v>
      </c>
      <c r="G1192" s="2">
        <v>161.66</v>
      </c>
      <c r="H1192" s="1">
        <v>7</v>
      </c>
      <c r="I1192" s="1">
        <v>158</v>
      </c>
      <c r="J1192" s="1">
        <v>136</v>
      </c>
      <c r="K1192" s="1">
        <v>45</v>
      </c>
      <c r="L1192" s="1">
        <v>125</v>
      </c>
      <c r="M1192" s="1" t="s">
        <v>41</v>
      </c>
      <c r="N1192" s="1" t="s">
        <v>60</v>
      </c>
      <c r="O1192" t="s">
        <v>116</v>
      </c>
      <c r="P1192" s="2">
        <v>113.16</v>
      </c>
      <c r="Q1192" s="1" t="str">
        <f>IF(J507&gt;K507,"YES","NO")</f>
        <v>YES</v>
      </c>
      <c r="R1192" s="2">
        <f>IF(Q507="YES",G507*0.9,G507)</f>
        <v>145.494</v>
      </c>
      <c r="S1192" s="2">
        <f>J507*G507</f>
        <v>21985.759999999998</v>
      </c>
      <c r="T1192" s="1">
        <f ca="1">TODAY()-DATE(MID(O507,7,4),MID(O507,4,2),LEFT(O507,2))</f>
        <v>87</v>
      </c>
      <c r="U1192" s="1" t="s">
        <v>34</v>
      </c>
      <c r="V1192" s="1" t="s">
        <v>34</v>
      </c>
      <c r="W1192" s="1" t="s">
        <v>34</v>
      </c>
      <c r="X1192" t="s">
        <v>2837</v>
      </c>
      <c r="Y1192" s="1">
        <v>8.5</v>
      </c>
    </row>
    <row r="1193" spans="1:25" x14ac:dyDescent="0.3">
      <c r="A1193" s="1" t="s">
        <v>2207</v>
      </c>
      <c r="B1193" s="1" t="s">
        <v>77</v>
      </c>
      <c r="C1193" s="1" t="s">
        <v>78</v>
      </c>
      <c r="D1193" s="1" t="s">
        <v>47</v>
      </c>
      <c r="E1193" s="1" t="s">
        <v>29</v>
      </c>
      <c r="F1193" s="1" t="s">
        <v>54</v>
      </c>
      <c r="G1193" s="2">
        <v>193.05</v>
      </c>
      <c r="H1193" s="1">
        <v>4</v>
      </c>
      <c r="I1193" s="1">
        <v>163</v>
      </c>
      <c r="J1193" s="1">
        <v>137</v>
      </c>
      <c r="K1193" s="1">
        <v>118</v>
      </c>
      <c r="L1193" s="1">
        <v>117</v>
      </c>
      <c r="M1193" s="1" t="s">
        <v>31</v>
      </c>
      <c r="N1193" s="1" t="s">
        <v>60</v>
      </c>
      <c r="O1193" t="s">
        <v>203</v>
      </c>
      <c r="P1193" s="2">
        <v>135.13</v>
      </c>
      <c r="Q1193" s="1" t="str">
        <f>IF(J688&gt;K688,"YES","NO")</f>
        <v>YES</v>
      </c>
      <c r="R1193" s="2">
        <f>IF(Q688="YES",G688*0.9,G688)</f>
        <v>173.745</v>
      </c>
      <c r="S1193" s="2">
        <f>J688*G688</f>
        <v>26447.850000000002</v>
      </c>
      <c r="T1193" s="1">
        <f ca="1">TODAY()-DATE(MID(O688,7,4),MID(O688,4,2),LEFT(O688,2))</f>
        <v>102</v>
      </c>
      <c r="U1193" s="1" t="s">
        <v>34</v>
      </c>
      <c r="V1193" s="1" t="s">
        <v>34</v>
      </c>
      <c r="W1193" s="1" t="s">
        <v>34</v>
      </c>
      <c r="X1193" t="s">
        <v>2680</v>
      </c>
      <c r="Y1193" s="1">
        <v>9</v>
      </c>
    </row>
    <row r="1194" spans="1:25" x14ac:dyDescent="0.3">
      <c r="A1194" s="1" t="s">
        <v>2208</v>
      </c>
      <c r="B1194" s="1" t="s">
        <v>123</v>
      </c>
      <c r="C1194" s="1" t="s">
        <v>124</v>
      </c>
      <c r="D1194" s="1" t="s">
        <v>47</v>
      </c>
      <c r="E1194" s="1" t="s">
        <v>29</v>
      </c>
      <c r="F1194" s="1" t="s">
        <v>30</v>
      </c>
      <c r="G1194" s="2">
        <v>396.83</v>
      </c>
      <c r="H1194" s="1">
        <v>7</v>
      </c>
      <c r="I1194" s="1">
        <v>219</v>
      </c>
      <c r="J1194" s="1">
        <v>181</v>
      </c>
      <c r="K1194" s="1">
        <v>78</v>
      </c>
      <c r="L1194" s="1">
        <v>51</v>
      </c>
      <c r="M1194" s="1" t="s">
        <v>31</v>
      </c>
      <c r="N1194" s="1" t="s">
        <v>42</v>
      </c>
      <c r="O1194" t="s">
        <v>227</v>
      </c>
      <c r="P1194" s="2">
        <v>277.77999999999997</v>
      </c>
      <c r="Q1194" s="1" t="str">
        <f>IF(J128&gt;K128,"YES","NO")</f>
        <v>YES</v>
      </c>
      <c r="R1194" s="2">
        <f>IF(Q128="YES",G128*0.9,G128)</f>
        <v>357.14699999999999</v>
      </c>
      <c r="S1194" s="2">
        <f>J128*G128</f>
        <v>71826.23</v>
      </c>
      <c r="T1194" s="1">
        <f ca="1">TODAY()-DATE(MID(O128,7,4),MID(O128,4,2),LEFT(O128,2))</f>
        <v>132</v>
      </c>
      <c r="U1194" s="1" t="s">
        <v>34</v>
      </c>
      <c r="V1194" s="1" t="s">
        <v>34</v>
      </c>
      <c r="W1194" s="1" t="s">
        <v>34</v>
      </c>
      <c r="X1194" t="s">
        <v>2623</v>
      </c>
      <c r="Y1194" s="1">
        <v>9</v>
      </c>
    </row>
    <row r="1195" spans="1:25" x14ac:dyDescent="0.3">
      <c r="A1195" s="1" t="s">
        <v>2209</v>
      </c>
      <c r="B1195" s="1" t="s">
        <v>166</v>
      </c>
      <c r="C1195" s="1" t="s">
        <v>167</v>
      </c>
      <c r="D1195" s="1" t="s">
        <v>59</v>
      </c>
      <c r="E1195" s="1" t="s">
        <v>29</v>
      </c>
      <c r="F1195" s="1" t="s">
        <v>54</v>
      </c>
      <c r="G1195" s="2">
        <v>444.83</v>
      </c>
      <c r="H1195" s="1">
        <v>0</v>
      </c>
      <c r="I1195" s="1">
        <v>240</v>
      </c>
      <c r="J1195" s="1">
        <v>212</v>
      </c>
      <c r="K1195" s="1">
        <v>64</v>
      </c>
      <c r="L1195" s="1">
        <v>110</v>
      </c>
      <c r="M1195" s="1" t="s">
        <v>31</v>
      </c>
      <c r="N1195" s="1" t="s">
        <v>60</v>
      </c>
      <c r="O1195" t="s">
        <v>217</v>
      </c>
      <c r="P1195" s="2">
        <v>311.38</v>
      </c>
      <c r="Q1195" s="1" t="str">
        <f>IF(J550&gt;K550,"YES","NO")</f>
        <v>YES</v>
      </c>
      <c r="R1195" s="2">
        <f>IF(Q550="YES",G550*0.9,G550)</f>
        <v>400.34699999999998</v>
      </c>
      <c r="S1195" s="2">
        <f>J550*G550</f>
        <v>94303.959999999992</v>
      </c>
      <c r="T1195" s="1">
        <f ca="1">TODAY()-DATE(MID(O550,7,4),MID(O550,4,2),LEFT(O550,2))</f>
        <v>100</v>
      </c>
      <c r="U1195" s="1" t="s">
        <v>34</v>
      </c>
      <c r="V1195" s="1" t="s">
        <v>34</v>
      </c>
      <c r="W1195" s="1" t="s">
        <v>34</v>
      </c>
      <c r="X1195" t="s">
        <v>2527</v>
      </c>
      <c r="Y1195" s="1">
        <v>5</v>
      </c>
    </row>
    <row r="1196" spans="1:25" x14ac:dyDescent="0.3">
      <c r="A1196" s="1" t="s">
        <v>2210</v>
      </c>
      <c r="B1196" s="1" t="s">
        <v>197</v>
      </c>
      <c r="C1196" s="1" t="s">
        <v>198</v>
      </c>
      <c r="D1196" s="1" t="s">
        <v>104</v>
      </c>
      <c r="E1196" s="1" t="s">
        <v>74</v>
      </c>
      <c r="F1196" s="1" t="s">
        <v>54</v>
      </c>
      <c r="G1196" s="2">
        <v>351.13</v>
      </c>
      <c r="H1196" s="1">
        <v>23</v>
      </c>
      <c r="I1196" s="1">
        <v>222</v>
      </c>
      <c r="J1196" s="1">
        <v>182</v>
      </c>
      <c r="K1196" s="1">
        <v>83</v>
      </c>
      <c r="L1196" s="1">
        <v>78</v>
      </c>
      <c r="M1196" s="1" t="s">
        <v>31</v>
      </c>
      <c r="N1196" s="1" t="s">
        <v>32</v>
      </c>
      <c r="O1196" t="s">
        <v>272</v>
      </c>
      <c r="P1196" s="2">
        <v>245.79</v>
      </c>
      <c r="Q1196" s="1" t="str">
        <f>IF(J764&gt;K764,"YES","NO")</f>
        <v>YES</v>
      </c>
      <c r="R1196" s="2">
        <f>IF(Q764="YES",G764*0.9,G764)</f>
        <v>316.017</v>
      </c>
      <c r="S1196" s="2">
        <f>J764*G764</f>
        <v>63905.659999999996</v>
      </c>
      <c r="T1196" s="1">
        <f ca="1">TODAY()-DATE(MID(O764,7,4),MID(O764,4,2),LEFT(O764,2))</f>
        <v>72</v>
      </c>
      <c r="U1196" s="1" t="s">
        <v>34</v>
      </c>
      <c r="V1196" s="1" t="s">
        <v>34</v>
      </c>
      <c r="W1196" s="1" t="s">
        <v>34</v>
      </c>
      <c r="X1196" t="s">
        <v>2712</v>
      </c>
      <c r="Y1196" s="1">
        <v>7</v>
      </c>
    </row>
    <row r="1197" spans="1:25" x14ac:dyDescent="0.3">
      <c r="A1197" s="1" t="s">
        <v>2211</v>
      </c>
      <c r="B1197" s="1" t="s">
        <v>83</v>
      </c>
      <c r="C1197" s="1" t="s">
        <v>84</v>
      </c>
      <c r="D1197" s="1" t="s">
        <v>85</v>
      </c>
      <c r="E1197" s="1" t="s">
        <v>29</v>
      </c>
      <c r="F1197" s="1" t="s">
        <v>30</v>
      </c>
      <c r="G1197" s="2">
        <v>420.91</v>
      </c>
      <c r="H1197" s="1">
        <v>0</v>
      </c>
      <c r="I1197" s="1">
        <v>175</v>
      </c>
      <c r="J1197" s="1">
        <v>168</v>
      </c>
      <c r="K1197" s="1">
        <v>55</v>
      </c>
      <c r="L1197" s="1">
        <v>83</v>
      </c>
      <c r="M1197" s="1" t="s">
        <v>31</v>
      </c>
      <c r="N1197" s="1" t="s">
        <v>42</v>
      </c>
      <c r="O1197" t="s">
        <v>145</v>
      </c>
      <c r="P1197" s="2">
        <v>294.64</v>
      </c>
      <c r="Q1197" s="1" t="str">
        <f>IF(J580&gt;K580,"YES","NO")</f>
        <v>YES</v>
      </c>
      <c r="R1197" s="2">
        <f>IF(Q580="YES",G580*0.9,G580)</f>
        <v>378.81900000000002</v>
      </c>
      <c r="S1197" s="2">
        <f>J580*G580</f>
        <v>70712.88</v>
      </c>
      <c r="T1197" s="1">
        <f ca="1">TODAY()-DATE(MID(O580,7,4),MID(O580,4,2),LEFT(O580,2))</f>
        <v>68</v>
      </c>
      <c r="U1197" s="1" t="s">
        <v>34</v>
      </c>
      <c r="V1197" s="1" t="s">
        <v>34</v>
      </c>
      <c r="W1197" s="1" t="s">
        <v>34</v>
      </c>
      <c r="X1197" t="s">
        <v>2777</v>
      </c>
      <c r="Y1197" s="1">
        <v>5</v>
      </c>
    </row>
    <row r="1198" spans="1:25" x14ac:dyDescent="0.3">
      <c r="A1198" s="1" t="s">
        <v>2212</v>
      </c>
      <c r="B1198" s="1" t="s">
        <v>123</v>
      </c>
      <c r="C1198" s="1" t="s">
        <v>124</v>
      </c>
      <c r="D1198" s="1" t="s">
        <v>47</v>
      </c>
      <c r="E1198" s="1" t="s">
        <v>40</v>
      </c>
      <c r="F1198" s="1" t="s">
        <v>48</v>
      </c>
      <c r="G1198" s="2">
        <v>209.93</v>
      </c>
      <c r="H1198" s="1">
        <v>17</v>
      </c>
      <c r="I1198" s="1">
        <v>136</v>
      </c>
      <c r="J1198" s="1">
        <v>110</v>
      </c>
      <c r="K1198" s="1">
        <v>92</v>
      </c>
      <c r="L1198" s="1">
        <v>126</v>
      </c>
      <c r="M1198" s="1" t="s">
        <v>31</v>
      </c>
      <c r="N1198" s="1" t="s">
        <v>60</v>
      </c>
      <c r="O1198" t="s">
        <v>340</v>
      </c>
      <c r="P1198" s="2">
        <v>146.94999999999999</v>
      </c>
      <c r="Q1198" s="1" t="str">
        <f>IF(J551&gt;K551,"YES","NO")</f>
        <v>YES</v>
      </c>
      <c r="R1198" s="2">
        <f>IF(Q551="YES",G551*0.9,G551)</f>
        <v>188.93700000000001</v>
      </c>
      <c r="S1198" s="2">
        <f>J551*G551</f>
        <v>23092.3</v>
      </c>
      <c r="T1198" s="1">
        <f ca="1">TODAY()-DATE(MID(O551,7,4),MID(O551,4,2),LEFT(O551,2))</f>
        <v>138</v>
      </c>
      <c r="U1198" s="1" t="s">
        <v>34</v>
      </c>
      <c r="V1198" s="1" t="s">
        <v>34</v>
      </c>
      <c r="W1198" s="1" t="s">
        <v>34</v>
      </c>
      <c r="X1198" t="s">
        <v>2771</v>
      </c>
      <c r="Y1198" s="1">
        <v>5.5</v>
      </c>
    </row>
    <row r="1199" spans="1:25" x14ac:dyDescent="0.3">
      <c r="A1199" s="1" t="s">
        <v>2213</v>
      </c>
      <c r="B1199" s="1" t="s">
        <v>192</v>
      </c>
      <c r="C1199" s="1" t="s">
        <v>193</v>
      </c>
      <c r="D1199" s="1" t="s">
        <v>85</v>
      </c>
      <c r="E1199" s="1" t="s">
        <v>40</v>
      </c>
      <c r="F1199" s="1" t="s">
        <v>48</v>
      </c>
      <c r="G1199" s="2">
        <v>316.5</v>
      </c>
      <c r="H1199" s="1">
        <v>8</v>
      </c>
      <c r="I1199" s="1">
        <v>124</v>
      </c>
      <c r="J1199" s="1">
        <v>86</v>
      </c>
      <c r="K1199" s="1">
        <v>95</v>
      </c>
      <c r="L1199" s="1">
        <v>86</v>
      </c>
      <c r="M1199" s="1" t="s">
        <v>49</v>
      </c>
      <c r="N1199" s="1" t="s">
        <v>32</v>
      </c>
      <c r="O1199" t="s">
        <v>90</v>
      </c>
      <c r="P1199" s="2">
        <v>221.55</v>
      </c>
      <c r="Q1199" s="1" t="str">
        <f>IF(J697&gt;K697,"YES","NO")</f>
        <v>NO</v>
      </c>
      <c r="R1199" s="2">
        <f>IF(Q697="YES",G697*0.9,G697)</f>
        <v>316.5</v>
      </c>
      <c r="S1199" s="2">
        <f>J697*G697</f>
        <v>27219</v>
      </c>
      <c r="T1199" s="1">
        <f ca="1">TODAY()-DATE(MID(O697,7,4),MID(O697,4,2),LEFT(O697,2))</f>
        <v>94</v>
      </c>
      <c r="U1199" s="1" t="s">
        <v>34</v>
      </c>
      <c r="V1199" s="1" t="s">
        <v>34</v>
      </c>
      <c r="W1199" s="1" t="s">
        <v>34</v>
      </c>
      <c r="X1199" t="s">
        <v>2858</v>
      </c>
      <c r="Y1199" s="1">
        <v>8.5</v>
      </c>
    </row>
    <row r="1200" spans="1:25" x14ac:dyDescent="0.3">
      <c r="A1200" s="1" t="s">
        <v>2214</v>
      </c>
      <c r="B1200" s="1" t="s">
        <v>107</v>
      </c>
      <c r="C1200" s="1" t="s">
        <v>108</v>
      </c>
      <c r="D1200" s="1" t="s">
        <v>39</v>
      </c>
      <c r="E1200" s="1" t="s">
        <v>74</v>
      </c>
      <c r="F1200" s="1" t="s">
        <v>48</v>
      </c>
      <c r="G1200" s="2">
        <v>314.25</v>
      </c>
      <c r="H1200" s="1">
        <v>8</v>
      </c>
      <c r="I1200" s="1">
        <v>242</v>
      </c>
      <c r="J1200" s="1">
        <v>225</v>
      </c>
      <c r="K1200" s="1">
        <v>45</v>
      </c>
      <c r="L1200" s="1">
        <v>112</v>
      </c>
      <c r="M1200" s="1" t="s">
        <v>31</v>
      </c>
      <c r="N1200" s="1" t="s">
        <v>42</v>
      </c>
      <c r="O1200" t="s">
        <v>98</v>
      </c>
      <c r="P1200" s="2">
        <v>219.97</v>
      </c>
      <c r="Q1200" s="1" t="str">
        <f>IF(J718&gt;K718,"YES","NO")</f>
        <v>YES</v>
      </c>
      <c r="R1200" s="2">
        <f>IF(Q718="YES",G718*0.9,G718)</f>
        <v>282.82499999999999</v>
      </c>
      <c r="S1200" s="2">
        <f>J718*G718</f>
        <v>70706.25</v>
      </c>
      <c r="T1200" s="1">
        <f ca="1">TODAY()-DATE(MID(O718,7,4),MID(O718,4,2),LEFT(O718,2))</f>
        <v>96</v>
      </c>
      <c r="U1200" s="1" t="s">
        <v>34</v>
      </c>
      <c r="V1200" s="1" t="s">
        <v>34</v>
      </c>
      <c r="W1200" s="1" t="s">
        <v>34</v>
      </c>
      <c r="X1200" t="s">
        <v>2645</v>
      </c>
      <c r="Y1200" s="1">
        <v>9</v>
      </c>
    </row>
    <row r="1201" spans="1:25" x14ac:dyDescent="0.3">
      <c r="A1201" s="1" t="s">
        <v>2215</v>
      </c>
      <c r="B1201" s="1" t="s">
        <v>176</v>
      </c>
      <c r="C1201" s="1" t="s">
        <v>177</v>
      </c>
      <c r="D1201" s="1" t="s">
        <v>39</v>
      </c>
      <c r="E1201" s="1" t="s">
        <v>29</v>
      </c>
      <c r="F1201" s="1" t="s">
        <v>54</v>
      </c>
      <c r="G1201" s="2">
        <v>216.92</v>
      </c>
      <c r="H1201" s="1">
        <v>24</v>
      </c>
      <c r="I1201" s="1">
        <v>268</v>
      </c>
      <c r="J1201" s="1">
        <v>255</v>
      </c>
      <c r="K1201" s="1">
        <v>94</v>
      </c>
      <c r="L1201" s="1">
        <v>118</v>
      </c>
      <c r="M1201" s="1" t="s">
        <v>31</v>
      </c>
      <c r="N1201" s="1" t="s">
        <v>60</v>
      </c>
      <c r="O1201" t="s">
        <v>311</v>
      </c>
      <c r="P1201" s="2">
        <v>151.84</v>
      </c>
      <c r="Q1201" s="1" t="str">
        <f>IF(J572&gt;K572,"YES","NO")</f>
        <v>YES</v>
      </c>
      <c r="R1201" s="2">
        <f>IF(Q572="YES",G572*0.9,G572)</f>
        <v>195.22799999999998</v>
      </c>
      <c r="S1201" s="2">
        <f>J572*G572</f>
        <v>55314.6</v>
      </c>
      <c r="T1201" s="1">
        <f ca="1">TODAY()-DATE(MID(O572,7,4),MID(O572,4,2),LEFT(O572,2))</f>
        <v>80</v>
      </c>
      <c r="U1201" s="1" t="s">
        <v>34</v>
      </c>
      <c r="V1201" s="1" t="s">
        <v>34</v>
      </c>
      <c r="W1201" s="1" t="s">
        <v>34</v>
      </c>
      <c r="X1201" t="s">
        <v>2698</v>
      </c>
      <c r="Y1201" s="1">
        <v>6</v>
      </c>
    </row>
    <row r="1202" spans="1:25" x14ac:dyDescent="0.3">
      <c r="A1202" s="1" t="s">
        <v>2216</v>
      </c>
      <c r="B1202" s="1" t="s">
        <v>176</v>
      </c>
      <c r="C1202" s="1" t="s">
        <v>177</v>
      </c>
      <c r="D1202" s="1" t="s">
        <v>39</v>
      </c>
      <c r="E1202" s="1" t="s">
        <v>29</v>
      </c>
      <c r="F1202" s="1" t="s">
        <v>30</v>
      </c>
      <c r="G1202" s="2">
        <v>422.34</v>
      </c>
      <c r="H1202" s="1">
        <v>8</v>
      </c>
      <c r="I1202" s="1">
        <v>218</v>
      </c>
      <c r="J1202" s="1">
        <v>181</v>
      </c>
      <c r="K1202" s="1">
        <v>58</v>
      </c>
      <c r="L1202" s="1">
        <v>137</v>
      </c>
      <c r="M1202" s="1" t="s">
        <v>49</v>
      </c>
      <c r="N1202" s="1" t="s">
        <v>32</v>
      </c>
      <c r="O1202" t="s">
        <v>153</v>
      </c>
      <c r="P1202" s="2">
        <v>295.64</v>
      </c>
      <c r="Q1202" s="1" t="str">
        <f>IF(J265&gt;K265,"YES","NO")</f>
        <v>YES</v>
      </c>
      <c r="R1202" s="2">
        <f>IF(Q265="YES",G265*0.9,G265)</f>
        <v>380.10599999999999</v>
      </c>
      <c r="S1202" s="2">
        <f>J265*G265</f>
        <v>76443.539999999994</v>
      </c>
      <c r="T1202" s="1">
        <f ca="1">TODAY()-DATE(MID(O265,7,4),MID(O265,4,2),LEFT(O265,2))</f>
        <v>135</v>
      </c>
      <c r="U1202" s="1" t="s">
        <v>34</v>
      </c>
      <c r="V1202" s="1" t="s">
        <v>34</v>
      </c>
      <c r="W1202" s="1" t="s">
        <v>34</v>
      </c>
      <c r="X1202" t="s">
        <v>2618</v>
      </c>
      <c r="Y1202" s="1">
        <v>7.5</v>
      </c>
    </row>
    <row r="1203" spans="1:25" x14ac:dyDescent="0.3">
      <c r="A1203" s="1" t="s">
        <v>2217</v>
      </c>
      <c r="B1203" s="1" t="s">
        <v>130</v>
      </c>
      <c r="C1203" s="1" t="s">
        <v>131</v>
      </c>
      <c r="D1203" s="1" t="s">
        <v>132</v>
      </c>
      <c r="E1203" s="1" t="s">
        <v>40</v>
      </c>
      <c r="F1203" s="1" t="s">
        <v>30</v>
      </c>
      <c r="G1203" s="2">
        <v>292.29000000000002</v>
      </c>
      <c r="H1203" s="1">
        <v>25</v>
      </c>
      <c r="I1203" s="1">
        <v>254</v>
      </c>
      <c r="J1203" s="1">
        <v>240</v>
      </c>
      <c r="K1203" s="1">
        <v>73</v>
      </c>
      <c r="L1203" s="1">
        <v>54</v>
      </c>
      <c r="M1203" s="1" t="s">
        <v>49</v>
      </c>
      <c r="N1203" s="1" t="s">
        <v>32</v>
      </c>
      <c r="O1203" t="s">
        <v>242</v>
      </c>
      <c r="P1203" s="2">
        <v>204.6</v>
      </c>
      <c r="Q1203" s="1" t="str">
        <f>IF(J596&gt;K596,"YES","NO")</f>
        <v>YES</v>
      </c>
      <c r="R1203" s="2">
        <f>IF(Q596="YES",G596*0.9,G596)</f>
        <v>263.06100000000004</v>
      </c>
      <c r="S1203" s="2">
        <f>J596*G596</f>
        <v>70149.600000000006</v>
      </c>
      <c r="T1203" s="1">
        <f ca="1">TODAY()-DATE(MID(O596,7,4),MID(O596,4,2),LEFT(O596,2))</f>
        <v>105</v>
      </c>
      <c r="U1203" s="1" t="s">
        <v>34</v>
      </c>
      <c r="V1203" s="1" t="s">
        <v>34</v>
      </c>
      <c r="W1203" s="1" t="s">
        <v>34</v>
      </c>
      <c r="X1203" t="s">
        <v>2814</v>
      </c>
      <c r="Y1203" s="1">
        <v>8</v>
      </c>
    </row>
    <row r="1204" spans="1:25" x14ac:dyDescent="0.3">
      <c r="A1204" s="1" t="s">
        <v>2218</v>
      </c>
      <c r="B1204" s="1" t="s">
        <v>57</v>
      </c>
      <c r="C1204" s="1" t="s">
        <v>58</v>
      </c>
      <c r="D1204" s="1" t="s">
        <v>59</v>
      </c>
      <c r="E1204" s="1" t="s">
        <v>74</v>
      </c>
      <c r="F1204" s="1" t="s">
        <v>54</v>
      </c>
      <c r="G1204" s="2">
        <v>52.01</v>
      </c>
      <c r="H1204" s="1">
        <v>8</v>
      </c>
      <c r="I1204" s="1">
        <v>282</v>
      </c>
      <c r="J1204" s="1">
        <v>261</v>
      </c>
      <c r="K1204" s="1">
        <v>74</v>
      </c>
      <c r="L1204" s="1">
        <v>143</v>
      </c>
      <c r="M1204" s="1" t="s">
        <v>49</v>
      </c>
      <c r="N1204" s="1" t="s">
        <v>32</v>
      </c>
      <c r="O1204" t="s">
        <v>205</v>
      </c>
      <c r="P1204" s="2">
        <v>36.409999999999997</v>
      </c>
      <c r="Q1204" s="1" t="str">
        <f>IF(J65&gt;K65,"YES","NO")</f>
        <v>YES</v>
      </c>
      <c r="R1204" s="2">
        <f>IF(Q65="YES",G65*0.9,G65)</f>
        <v>46.808999999999997</v>
      </c>
      <c r="S1204" s="2">
        <f>J65*G65</f>
        <v>13574.609999999999</v>
      </c>
      <c r="T1204" s="1">
        <f ca="1">TODAY()-DATE(MID(O65,7,4),MID(O65,4,2),LEFT(O65,2))</f>
        <v>74</v>
      </c>
      <c r="U1204" s="1" t="s">
        <v>34</v>
      </c>
      <c r="V1204" s="1" t="s">
        <v>34</v>
      </c>
      <c r="W1204" s="1" t="s">
        <v>34</v>
      </c>
      <c r="X1204" t="s">
        <v>2757</v>
      </c>
      <c r="Y1204" s="1">
        <v>7.5</v>
      </c>
    </row>
    <row r="1205" spans="1:25" x14ac:dyDescent="0.3">
      <c r="A1205" s="1" t="s">
        <v>2219</v>
      </c>
      <c r="B1205" s="1" t="s">
        <v>197</v>
      </c>
      <c r="C1205" s="1" t="s">
        <v>198</v>
      </c>
      <c r="D1205" s="1" t="s">
        <v>104</v>
      </c>
      <c r="E1205" s="1" t="s">
        <v>40</v>
      </c>
      <c r="F1205" s="1" t="s">
        <v>48</v>
      </c>
      <c r="G1205" s="2">
        <v>376.54</v>
      </c>
      <c r="H1205" s="1">
        <v>3</v>
      </c>
      <c r="I1205" s="1">
        <v>228</v>
      </c>
      <c r="J1205" s="1">
        <v>214</v>
      </c>
      <c r="K1205" s="1">
        <v>83</v>
      </c>
      <c r="L1205" s="1">
        <v>120</v>
      </c>
      <c r="M1205" s="1" t="s">
        <v>31</v>
      </c>
      <c r="N1205" s="1" t="s">
        <v>32</v>
      </c>
      <c r="O1205" t="s">
        <v>109</v>
      </c>
      <c r="P1205" s="2">
        <v>263.58</v>
      </c>
      <c r="Q1205" s="1" t="str">
        <f>IF(J678&gt;K678,"YES","NO")</f>
        <v>YES</v>
      </c>
      <c r="R1205" s="2">
        <f>IF(Q678="YES",G678*0.9,G678)</f>
        <v>338.88600000000002</v>
      </c>
      <c r="S1205" s="2">
        <f>J678*G678</f>
        <v>80579.56</v>
      </c>
      <c r="T1205" s="1">
        <f ca="1">TODAY()-DATE(MID(O678,7,4),MID(O678,4,2),LEFT(O678,2))</f>
        <v>89</v>
      </c>
      <c r="U1205" s="1" t="s">
        <v>34</v>
      </c>
      <c r="V1205" s="1" t="s">
        <v>34</v>
      </c>
      <c r="W1205" s="1" t="s">
        <v>34</v>
      </c>
      <c r="X1205" t="s">
        <v>2741</v>
      </c>
      <c r="Y1205" s="1">
        <v>9</v>
      </c>
    </row>
    <row r="1206" spans="1:25" x14ac:dyDescent="0.3">
      <c r="A1206" s="1" t="s">
        <v>2220</v>
      </c>
      <c r="B1206" s="1" t="s">
        <v>176</v>
      </c>
      <c r="C1206" s="1" t="s">
        <v>177</v>
      </c>
      <c r="D1206" s="1" t="s">
        <v>39</v>
      </c>
      <c r="E1206" s="1" t="s">
        <v>74</v>
      </c>
      <c r="F1206" s="1" t="s">
        <v>30</v>
      </c>
      <c r="G1206" s="2">
        <v>145.51</v>
      </c>
      <c r="H1206" s="1">
        <v>13</v>
      </c>
      <c r="I1206" s="1">
        <v>228</v>
      </c>
      <c r="J1206" s="1">
        <v>218</v>
      </c>
      <c r="K1206" s="1">
        <v>69</v>
      </c>
      <c r="L1206" s="1">
        <v>99</v>
      </c>
      <c r="M1206" s="1" t="s">
        <v>41</v>
      </c>
      <c r="N1206" s="1" t="s">
        <v>42</v>
      </c>
      <c r="O1206" t="s">
        <v>224</v>
      </c>
      <c r="P1206" s="2">
        <v>101.86</v>
      </c>
      <c r="Q1206" s="1" t="str">
        <f>IF(J620&gt;K620,"YES","NO")</f>
        <v>YES</v>
      </c>
      <c r="R1206" s="2">
        <f>IF(Q620="YES",G620*0.9,G620)</f>
        <v>130.959</v>
      </c>
      <c r="S1206" s="2">
        <f>J620*G620</f>
        <v>31721.179999999997</v>
      </c>
      <c r="T1206" s="1">
        <f ca="1">TODAY()-DATE(MID(O620,7,4),MID(O620,4,2),LEFT(O620,2))</f>
        <v>140</v>
      </c>
      <c r="U1206" s="1" t="s">
        <v>34</v>
      </c>
      <c r="V1206" s="1" t="s">
        <v>34</v>
      </c>
      <c r="W1206" s="1" t="s">
        <v>34</v>
      </c>
      <c r="X1206" t="s">
        <v>2749</v>
      </c>
      <c r="Y1206" s="1">
        <v>5</v>
      </c>
    </row>
    <row r="1207" spans="1:25" x14ac:dyDescent="0.3">
      <c r="A1207" s="1" t="s">
        <v>2221</v>
      </c>
      <c r="B1207" s="1" t="s">
        <v>197</v>
      </c>
      <c r="C1207" s="1" t="s">
        <v>198</v>
      </c>
      <c r="D1207" s="1" t="s">
        <v>104</v>
      </c>
      <c r="E1207" s="1" t="s">
        <v>40</v>
      </c>
      <c r="F1207" s="1" t="s">
        <v>48</v>
      </c>
      <c r="G1207" s="2">
        <v>376.54</v>
      </c>
      <c r="H1207" s="1">
        <v>3</v>
      </c>
      <c r="I1207" s="1">
        <v>228</v>
      </c>
      <c r="J1207" s="1">
        <v>214</v>
      </c>
      <c r="K1207" s="1">
        <v>83</v>
      </c>
      <c r="L1207" s="1">
        <v>120</v>
      </c>
      <c r="M1207" s="1" t="s">
        <v>31</v>
      </c>
      <c r="N1207" s="1" t="s">
        <v>32</v>
      </c>
      <c r="O1207" t="s">
        <v>109</v>
      </c>
      <c r="P1207" s="2">
        <v>263.58</v>
      </c>
      <c r="Q1207" s="1" t="str">
        <f>IF(J678&gt;K678,"YES","NO")</f>
        <v>YES</v>
      </c>
      <c r="R1207" s="2">
        <f>IF(Q678="YES",G678*0.9,G678)</f>
        <v>338.88600000000002</v>
      </c>
      <c r="S1207" s="2">
        <f>J678*G678</f>
        <v>80579.56</v>
      </c>
      <c r="T1207" s="1">
        <f ca="1">TODAY()-DATE(MID(O678,7,4),MID(O678,4,2),LEFT(O678,2))</f>
        <v>89</v>
      </c>
      <c r="U1207" s="1" t="s">
        <v>34</v>
      </c>
      <c r="V1207" s="1" t="s">
        <v>34</v>
      </c>
      <c r="W1207" s="1" t="s">
        <v>34</v>
      </c>
      <c r="X1207" t="s">
        <v>2912</v>
      </c>
      <c r="Y1207" s="1">
        <v>9</v>
      </c>
    </row>
    <row r="1208" spans="1:25" x14ac:dyDescent="0.3">
      <c r="A1208" s="1" t="s">
        <v>2222</v>
      </c>
      <c r="B1208" s="1" t="s">
        <v>130</v>
      </c>
      <c r="C1208" s="1" t="s">
        <v>131</v>
      </c>
      <c r="D1208" s="1" t="s">
        <v>132</v>
      </c>
      <c r="E1208" s="1" t="s">
        <v>40</v>
      </c>
      <c r="F1208" s="1" t="s">
        <v>48</v>
      </c>
      <c r="G1208" s="2">
        <v>157.84</v>
      </c>
      <c r="H1208" s="1">
        <v>19</v>
      </c>
      <c r="I1208" s="1">
        <v>105</v>
      </c>
      <c r="J1208" s="1">
        <v>90</v>
      </c>
      <c r="K1208" s="1">
        <v>108</v>
      </c>
      <c r="L1208" s="1">
        <v>142</v>
      </c>
      <c r="M1208" s="1" t="s">
        <v>41</v>
      </c>
      <c r="N1208" s="1" t="s">
        <v>32</v>
      </c>
      <c r="O1208" t="s">
        <v>287</v>
      </c>
      <c r="P1208" s="2">
        <v>110.49</v>
      </c>
      <c r="Q1208" s="1" t="str">
        <f>IF(J737&gt;K737,"YES","NO")</f>
        <v>NO</v>
      </c>
      <c r="R1208" s="2">
        <f>IF(Q737="YES",G737*0.9,G737)</f>
        <v>157.84</v>
      </c>
      <c r="S1208" s="2">
        <f>J737*G737</f>
        <v>14205.6</v>
      </c>
      <c r="T1208" s="1">
        <f ca="1">TODAY()-DATE(MID(O737,7,4),MID(O737,4,2),LEFT(O737,2))</f>
        <v>143</v>
      </c>
      <c r="U1208" s="1" t="s">
        <v>34</v>
      </c>
      <c r="V1208" s="1" t="s">
        <v>34</v>
      </c>
      <c r="W1208" s="1" t="s">
        <v>34</v>
      </c>
      <c r="X1208" t="s">
        <v>2846</v>
      </c>
      <c r="Y1208" s="1">
        <v>8.5</v>
      </c>
    </row>
    <row r="1209" spans="1:25" x14ac:dyDescent="0.3">
      <c r="A1209" s="1" t="s">
        <v>2223</v>
      </c>
      <c r="B1209" s="1" t="s">
        <v>69</v>
      </c>
      <c r="C1209" s="1" t="s">
        <v>70</v>
      </c>
      <c r="D1209" s="1" t="s">
        <v>59</v>
      </c>
      <c r="E1209" s="1" t="s">
        <v>29</v>
      </c>
      <c r="F1209" s="1" t="s">
        <v>48</v>
      </c>
      <c r="G1209" s="2">
        <v>359.25</v>
      </c>
      <c r="H1209" s="1">
        <v>4</v>
      </c>
      <c r="I1209" s="1">
        <v>258</v>
      </c>
      <c r="J1209" s="1">
        <v>247</v>
      </c>
      <c r="K1209" s="1">
        <v>111</v>
      </c>
      <c r="L1209" s="1">
        <v>51</v>
      </c>
      <c r="M1209" s="1" t="s">
        <v>41</v>
      </c>
      <c r="N1209" s="1" t="s">
        <v>60</v>
      </c>
      <c r="O1209" t="s">
        <v>260</v>
      </c>
      <c r="P1209" s="2">
        <v>251.47</v>
      </c>
      <c r="Q1209" s="1" t="str">
        <f>IF(J470&gt;K470,"YES","NO")</f>
        <v>YES</v>
      </c>
      <c r="R1209" s="2">
        <f>IF(Q470="YES",G470*0.9,G470)</f>
        <v>323.32499999999999</v>
      </c>
      <c r="S1209" s="2">
        <f>J470*G470</f>
        <v>88734.75</v>
      </c>
      <c r="T1209" s="1">
        <f ca="1">TODAY()-DATE(MID(O470,7,4),MID(O470,4,2),LEFT(O470,2))</f>
        <v>70</v>
      </c>
      <c r="U1209" s="1" t="s">
        <v>34</v>
      </c>
      <c r="V1209" s="1" t="s">
        <v>34</v>
      </c>
      <c r="W1209" s="1" t="s">
        <v>34</v>
      </c>
      <c r="X1209" t="s">
        <v>2738</v>
      </c>
      <c r="Y1209" s="1">
        <v>5</v>
      </c>
    </row>
    <row r="1210" spans="1:25" x14ac:dyDescent="0.3">
      <c r="A1210" s="1" t="s">
        <v>2224</v>
      </c>
      <c r="B1210" s="1" t="s">
        <v>52</v>
      </c>
      <c r="C1210" s="1" t="s">
        <v>53</v>
      </c>
      <c r="D1210" s="1" t="s">
        <v>47</v>
      </c>
      <c r="E1210" s="1" t="s">
        <v>74</v>
      </c>
      <c r="F1210" s="1" t="s">
        <v>48</v>
      </c>
      <c r="G1210" s="2">
        <v>322.05</v>
      </c>
      <c r="H1210" s="1">
        <v>9</v>
      </c>
      <c r="I1210" s="1">
        <v>154</v>
      </c>
      <c r="J1210" s="1">
        <v>115</v>
      </c>
      <c r="K1210" s="1">
        <v>109</v>
      </c>
      <c r="L1210" s="1">
        <v>127</v>
      </c>
      <c r="M1210" s="1" t="s">
        <v>31</v>
      </c>
      <c r="N1210" s="1" t="s">
        <v>32</v>
      </c>
      <c r="O1210" t="s">
        <v>109</v>
      </c>
      <c r="P1210" s="2">
        <v>225.44</v>
      </c>
      <c r="Q1210" s="1" t="str">
        <f>IF(J329&gt;K329,"YES","NO")</f>
        <v>YES</v>
      </c>
      <c r="R1210" s="2">
        <f>IF(Q329="YES",G329*0.9,G329)</f>
        <v>289.84500000000003</v>
      </c>
      <c r="S1210" s="2">
        <f>J329*G329</f>
        <v>37035.75</v>
      </c>
      <c r="T1210" s="1">
        <f ca="1">TODAY()-DATE(MID(O329,7,4),MID(O329,4,2),LEFT(O329,2))</f>
        <v>89</v>
      </c>
      <c r="U1210" s="1" t="s">
        <v>34</v>
      </c>
      <c r="V1210" s="1" t="s">
        <v>34</v>
      </c>
      <c r="W1210" s="1" t="s">
        <v>34</v>
      </c>
      <c r="X1210" t="s">
        <v>2819</v>
      </c>
      <c r="Y1210" s="1">
        <v>9.5</v>
      </c>
    </row>
    <row r="1211" spans="1:25" x14ac:dyDescent="0.3">
      <c r="A1211" s="1" t="s">
        <v>2225</v>
      </c>
      <c r="B1211" s="1" t="s">
        <v>52</v>
      </c>
      <c r="C1211" s="1" t="s">
        <v>53</v>
      </c>
      <c r="D1211" s="1" t="s">
        <v>47</v>
      </c>
      <c r="E1211" s="1" t="s">
        <v>40</v>
      </c>
      <c r="F1211" s="1" t="s">
        <v>30</v>
      </c>
      <c r="G1211" s="2">
        <v>440.67</v>
      </c>
      <c r="H1211" s="1">
        <v>23</v>
      </c>
      <c r="I1211" s="1">
        <v>296</v>
      </c>
      <c r="J1211" s="1">
        <v>268</v>
      </c>
      <c r="K1211" s="1">
        <v>119</v>
      </c>
      <c r="L1211" s="1">
        <v>59</v>
      </c>
      <c r="M1211" s="1" t="s">
        <v>31</v>
      </c>
      <c r="N1211" s="1" t="s">
        <v>32</v>
      </c>
      <c r="O1211" t="s">
        <v>272</v>
      </c>
      <c r="P1211" s="2">
        <v>308.47000000000003</v>
      </c>
      <c r="Q1211" s="1" t="str">
        <f>IF(J642&gt;K642,"YES","NO")</f>
        <v>YES</v>
      </c>
      <c r="R1211" s="2">
        <f>IF(Q642="YES",G642*0.9,G642)</f>
        <v>396.60300000000001</v>
      </c>
      <c r="S1211" s="2">
        <f>J642*G642</f>
        <v>118099.56</v>
      </c>
      <c r="T1211" s="1">
        <f ca="1">TODAY()-DATE(MID(O642,7,4),MID(O642,4,2),LEFT(O642,2))</f>
        <v>72</v>
      </c>
      <c r="U1211" s="1" t="s">
        <v>34</v>
      </c>
      <c r="V1211" s="1" t="s">
        <v>34</v>
      </c>
      <c r="W1211" s="1" t="s">
        <v>34</v>
      </c>
      <c r="X1211" t="s">
        <v>2572</v>
      </c>
      <c r="Y1211" s="1">
        <v>6</v>
      </c>
    </row>
    <row r="1212" spans="1:25" x14ac:dyDescent="0.3">
      <c r="A1212" s="1" t="s">
        <v>2226</v>
      </c>
      <c r="B1212" s="1" t="s">
        <v>111</v>
      </c>
      <c r="C1212" s="1" t="s">
        <v>112</v>
      </c>
      <c r="D1212" s="1" t="s">
        <v>97</v>
      </c>
      <c r="E1212" s="1" t="s">
        <v>74</v>
      </c>
      <c r="F1212" s="1" t="s">
        <v>30</v>
      </c>
      <c r="G1212" s="2">
        <v>416.35</v>
      </c>
      <c r="H1212" s="1">
        <v>14</v>
      </c>
      <c r="I1212" s="1">
        <v>94</v>
      </c>
      <c r="J1212" s="1">
        <v>72</v>
      </c>
      <c r="K1212" s="1">
        <v>99</v>
      </c>
      <c r="L1212" s="1">
        <v>75</v>
      </c>
      <c r="M1212" s="1" t="s">
        <v>41</v>
      </c>
      <c r="N1212" s="1" t="s">
        <v>42</v>
      </c>
      <c r="O1212" t="s">
        <v>229</v>
      </c>
      <c r="P1212" s="2">
        <v>291.44</v>
      </c>
      <c r="Q1212" s="1" t="str">
        <f>IF(J529&gt;K529,"YES","NO")</f>
        <v>NO</v>
      </c>
      <c r="R1212" s="2">
        <f>IF(Q529="YES",G529*0.9,G529)</f>
        <v>416.35</v>
      </c>
      <c r="S1212" s="2">
        <f>J529*G529</f>
        <v>29977.200000000001</v>
      </c>
      <c r="T1212" s="1">
        <f ca="1">TODAY()-DATE(MID(O529,7,4),MID(O529,4,2),LEFT(O529,2))</f>
        <v>128</v>
      </c>
      <c r="U1212" s="1" t="s">
        <v>34</v>
      </c>
      <c r="V1212" s="1" t="s">
        <v>34</v>
      </c>
      <c r="W1212" s="1" t="s">
        <v>34</v>
      </c>
      <c r="X1212" t="s">
        <v>2658</v>
      </c>
      <c r="Y1212" s="1">
        <v>9.5</v>
      </c>
    </row>
    <row r="1213" spans="1:25" x14ac:dyDescent="0.3">
      <c r="A1213" s="1" t="s">
        <v>2227</v>
      </c>
      <c r="B1213" s="1" t="s">
        <v>63</v>
      </c>
      <c r="C1213" s="1" t="s">
        <v>64</v>
      </c>
      <c r="D1213" s="1" t="s">
        <v>28</v>
      </c>
      <c r="E1213" s="1" t="s">
        <v>29</v>
      </c>
      <c r="F1213" s="1" t="s">
        <v>48</v>
      </c>
      <c r="G1213" s="2">
        <v>139.21</v>
      </c>
      <c r="H1213" s="1">
        <v>22</v>
      </c>
      <c r="I1213" s="1">
        <v>263</v>
      </c>
      <c r="J1213" s="1">
        <v>253</v>
      </c>
      <c r="K1213" s="1">
        <v>105</v>
      </c>
      <c r="L1213" s="1">
        <v>128</v>
      </c>
      <c r="M1213" s="1" t="s">
        <v>41</v>
      </c>
      <c r="N1213" s="1" t="s">
        <v>60</v>
      </c>
      <c r="O1213" t="s">
        <v>224</v>
      </c>
      <c r="P1213" s="2">
        <v>97.45</v>
      </c>
      <c r="Q1213" s="1" t="str">
        <f>IF(J597&gt;K597,"YES","NO")</f>
        <v>YES</v>
      </c>
      <c r="R1213" s="2">
        <f>IF(Q597="YES",G597*0.9,G597)</f>
        <v>125.28900000000002</v>
      </c>
      <c r="S1213" s="2">
        <f>J597*G597</f>
        <v>35220.130000000005</v>
      </c>
      <c r="T1213" s="1">
        <f ca="1">TODAY()-DATE(MID(O597,7,4),MID(O597,4,2),LEFT(O597,2))</f>
        <v>140</v>
      </c>
      <c r="U1213" s="1" t="s">
        <v>34</v>
      </c>
      <c r="V1213" s="1" t="s">
        <v>34</v>
      </c>
      <c r="W1213" s="1" t="s">
        <v>34</v>
      </c>
      <c r="X1213" t="s">
        <v>2583</v>
      </c>
      <c r="Y1213" s="1">
        <v>8.5</v>
      </c>
    </row>
    <row r="1214" spans="1:25" x14ac:dyDescent="0.3">
      <c r="A1214" s="1" t="s">
        <v>2228</v>
      </c>
      <c r="B1214" s="1" t="s">
        <v>83</v>
      </c>
      <c r="C1214" s="1" t="s">
        <v>84</v>
      </c>
      <c r="D1214" s="1" t="s">
        <v>85</v>
      </c>
      <c r="E1214" s="1" t="s">
        <v>40</v>
      </c>
      <c r="F1214" s="1" t="s">
        <v>48</v>
      </c>
      <c r="G1214" s="2">
        <v>452.64</v>
      </c>
      <c r="H1214" s="1">
        <v>13</v>
      </c>
      <c r="I1214" s="1">
        <v>192</v>
      </c>
      <c r="J1214" s="1">
        <v>155</v>
      </c>
      <c r="K1214" s="1">
        <v>114</v>
      </c>
      <c r="L1214" s="1">
        <v>79</v>
      </c>
      <c r="M1214" s="1" t="s">
        <v>49</v>
      </c>
      <c r="N1214" s="1" t="s">
        <v>32</v>
      </c>
      <c r="O1214" t="s">
        <v>86</v>
      </c>
      <c r="P1214" s="2">
        <v>316.85000000000002</v>
      </c>
      <c r="Q1214" s="1" t="str">
        <f>IF(J237&gt;K237,"YES","NO")</f>
        <v>YES</v>
      </c>
      <c r="R1214" s="2">
        <f>IF(Q237="YES",G237*0.9,G237)</f>
        <v>407.37599999999998</v>
      </c>
      <c r="S1214" s="2">
        <f>J237*G237</f>
        <v>70159.199999999997</v>
      </c>
      <c r="T1214" s="1">
        <f ca="1">TODAY()-DATE(MID(O237,7,4),MID(O237,4,2),LEFT(O237,2))</f>
        <v>121</v>
      </c>
      <c r="U1214" s="1" t="s">
        <v>34</v>
      </c>
      <c r="V1214" s="1" t="s">
        <v>34</v>
      </c>
      <c r="W1214" s="1" t="s">
        <v>34</v>
      </c>
      <c r="X1214" t="s">
        <v>2880</v>
      </c>
      <c r="Y1214" s="1">
        <v>8.5</v>
      </c>
    </row>
    <row r="1215" spans="1:25" x14ac:dyDescent="0.3">
      <c r="A1215" s="1" t="s">
        <v>2229</v>
      </c>
      <c r="B1215" s="1" t="s">
        <v>37</v>
      </c>
      <c r="C1215" s="1" t="s">
        <v>38</v>
      </c>
      <c r="D1215" s="1" t="s">
        <v>39</v>
      </c>
      <c r="E1215" s="1" t="s">
        <v>40</v>
      </c>
      <c r="F1215" s="1" t="s">
        <v>30</v>
      </c>
      <c r="G1215" s="2">
        <v>264.36</v>
      </c>
      <c r="H1215" s="1">
        <v>5</v>
      </c>
      <c r="I1215" s="1">
        <v>272</v>
      </c>
      <c r="J1215" s="1">
        <v>236</v>
      </c>
      <c r="K1215" s="1">
        <v>95</v>
      </c>
      <c r="L1215" s="1">
        <v>90</v>
      </c>
      <c r="M1215" s="1" t="s">
        <v>41</v>
      </c>
      <c r="N1215" s="1" t="s">
        <v>60</v>
      </c>
      <c r="O1215" t="s">
        <v>217</v>
      </c>
      <c r="P1215" s="2">
        <v>185.05</v>
      </c>
      <c r="Q1215" s="1" t="str">
        <f>IF(J320&gt;K320,"YES","NO")</f>
        <v>YES</v>
      </c>
      <c r="R1215" s="2">
        <f>IF(Q320="YES",G320*0.9,G320)</f>
        <v>237.92400000000001</v>
      </c>
      <c r="S1215" s="2">
        <f>J320*G320</f>
        <v>62388.960000000006</v>
      </c>
      <c r="T1215" s="1">
        <f ca="1">TODAY()-DATE(MID(O320,7,4),MID(O320,4,2),LEFT(O320,2))</f>
        <v>100</v>
      </c>
      <c r="U1215" s="1" t="s">
        <v>34</v>
      </c>
      <c r="V1215" s="1" t="s">
        <v>34</v>
      </c>
      <c r="W1215" s="1" t="s">
        <v>34</v>
      </c>
      <c r="X1215" t="s">
        <v>2864</v>
      </c>
      <c r="Y1215" s="1">
        <v>5</v>
      </c>
    </row>
    <row r="1216" spans="1:25" x14ac:dyDescent="0.3">
      <c r="A1216" s="1" t="s">
        <v>2230</v>
      </c>
      <c r="B1216" s="1" t="s">
        <v>143</v>
      </c>
      <c r="C1216" s="1" t="s">
        <v>144</v>
      </c>
      <c r="D1216" s="1" t="s">
        <v>47</v>
      </c>
      <c r="E1216" s="1" t="s">
        <v>74</v>
      </c>
      <c r="F1216" s="1" t="s">
        <v>48</v>
      </c>
      <c r="G1216" s="2">
        <v>264.79000000000002</v>
      </c>
      <c r="H1216" s="1">
        <v>3</v>
      </c>
      <c r="I1216" s="1">
        <v>239</v>
      </c>
      <c r="J1216" s="1">
        <v>210</v>
      </c>
      <c r="K1216" s="1">
        <v>109</v>
      </c>
      <c r="L1216" s="1">
        <v>105</v>
      </c>
      <c r="M1216" s="1" t="s">
        <v>49</v>
      </c>
      <c r="N1216" s="1" t="s">
        <v>32</v>
      </c>
      <c r="O1216" t="s">
        <v>361</v>
      </c>
      <c r="P1216" s="2">
        <v>185.35</v>
      </c>
      <c r="Q1216" s="1" t="str">
        <f>IF(J712&gt;K712,"YES","NO")</f>
        <v>YES</v>
      </c>
      <c r="R1216" s="2">
        <f>IF(Q712="YES",G712*0.9,G712)</f>
        <v>238.31100000000004</v>
      </c>
      <c r="S1216" s="2">
        <f>J712*G712</f>
        <v>55605.9</v>
      </c>
      <c r="T1216" s="1">
        <f ca="1">TODAY()-DATE(MID(O712,7,4),MID(O712,4,2),LEFT(O712,2))</f>
        <v>99</v>
      </c>
      <c r="U1216" s="1" t="s">
        <v>34</v>
      </c>
      <c r="V1216" s="1" t="s">
        <v>34</v>
      </c>
      <c r="W1216" s="1" t="s">
        <v>34</v>
      </c>
      <c r="X1216" t="s">
        <v>2786</v>
      </c>
      <c r="Y1216" s="1">
        <v>6</v>
      </c>
    </row>
    <row r="1217" spans="1:25" x14ac:dyDescent="0.3">
      <c r="A1217" s="1" t="s">
        <v>2231</v>
      </c>
      <c r="B1217" s="1" t="s">
        <v>52</v>
      </c>
      <c r="C1217" s="1" t="s">
        <v>53</v>
      </c>
      <c r="D1217" s="1" t="s">
        <v>47</v>
      </c>
      <c r="E1217" s="1" t="s">
        <v>29</v>
      </c>
      <c r="F1217" s="1" t="s">
        <v>54</v>
      </c>
      <c r="G1217" s="2">
        <v>147.25</v>
      </c>
      <c r="H1217" s="1">
        <v>7</v>
      </c>
      <c r="I1217" s="1">
        <v>103</v>
      </c>
      <c r="J1217" s="1">
        <v>66</v>
      </c>
      <c r="K1217" s="1">
        <v>44</v>
      </c>
      <c r="L1217" s="1">
        <v>97</v>
      </c>
      <c r="M1217" s="1" t="s">
        <v>49</v>
      </c>
      <c r="N1217" s="1" t="s">
        <v>32</v>
      </c>
      <c r="O1217" t="s">
        <v>384</v>
      </c>
      <c r="P1217" s="2">
        <v>103.07</v>
      </c>
      <c r="Q1217" s="1" t="str">
        <f>IF(J628&gt;K628,"YES","NO")</f>
        <v>YES</v>
      </c>
      <c r="R1217" s="2">
        <f>IF(Q628="YES",G628*0.9,G628)</f>
        <v>132.52500000000001</v>
      </c>
      <c r="S1217" s="2">
        <f>J628*G628</f>
        <v>9718.5</v>
      </c>
      <c r="T1217" s="1">
        <f ca="1">TODAY()-DATE(MID(O628,7,4),MID(O628,4,2),LEFT(O628,2))</f>
        <v>147</v>
      </c>
      <c r="U1217" s="1" t="s">
        <v>34</v>
      </c>
      <c r="V1217" s="1" t="s">
        <v>34</v>
      </c>
      <c r="W1217" s="1" t="s">
        <v>34</v>
      </c>
      <c r="X1217" t="s">
        <v>2913</v>
      </c>
      <c r="Y1217" s="1">
        <v>9</v>
      </c>
    </row>
    <row r="1218" spans="1:25" x14ac:dyDescent="0.3">
      <c r="A1218" s="1" t="s">
        <v>2232</v>
      </c>
      <c r="B1218" s="1" t="s">
        <v>172</v>
      </c>
      <c r="C1218" s="1" t="s">
        <v>173</v>
      </c>
      <c r="D1218" s="1" t="s">
        <v>132</v>
      </c>
      <c r="E1218" s="1" t="s">
        <v>40</v>
      </c>
      <c r="F1218" s="1" t="s">
        <v>30</v>
      </c>
      <c r="G1218" s="2">
        <v>68.11</v>
      </c>
      <c r="H1218" s="1">
        <v>2</v>
      </c>
      <c r="I1218" s="1">
        <v>93</v>
      </c>
      <c r="J1218" s="1">
        <v>57</v>
      </c>
      <c r="K1218" s="1">
        <v>117</v>
      </c>
      <c r="L1218" s="1">
        <v>110</v>
      </c>
      <c r="M1218" s="1" t="s">
        <v>31</v>
      </c>
      <c r="N1218" s="1" t="s">
        <v>42</v>
      </c>
      <c r="O1218" t="s">
        <v>247</v>
      </c>
      <c r="P1218" s="2">
        <v>47.68</v>
      </c>
      <c r="Q1218" s="1" t="str">
        <f>IF(J114&gt;K114,"YES","NO")</f>
        <v>NO</v>
      </c>
      <c r="R1218" s="2">
        <f>IF(Q114="YES",G114*0.9,G114)</f>
        <v>68.11</v>
      </c>
      <c r="S1218" s="2">
        <f>J114*G114</f>
        <v>3882.27</v>
      </c>
      <c r="T1218" s="1">
        <f ca="1">TODAY()-DATE(MID(O114,7,4),MID(O114,4,2),LEFT(O114,2))</f>
        <v>125</v>
      </c>
      <c r="U1218" s="1" t="s">
        <v>34</v>
      </c>
      <c r="V1218" s="1" t="s">
        <v>34</v>
      </c>
      <c r="W1218" s="1" t="s">
        <v>34</v>
      </c>
      <c r="X1218" t="s">
        <v>2710</v>
      </c>
      <c r="Y1218" s="1">
        <v>7</v>
      </c>
    </row>
    <row r="1219" spans="1:25" x14ac:dyDescent="0.3">
      <c r="A1219" s="1" t="s">
        <v>2233</v>
      </c>
      <c r="B1219" s="1" t="s">
        <v>262</v>
      </c>
      <c r="C1219" s="1" t="s">
        <v>263</v>
      </c>
      <c r="D1219" s="1" t="s">
        <v>104</v>
      </c>
      <c r="E1219" s="1" t="s">
        <v>40</v>
      </c>
      <c r="F1219" s="1" t="s">
        <v>54</v>
      </c>
      <c r="G1219" s="2">
        <v>63.55</v>
      </c>
      <c r="H1219" s="1">
        <v>2</v>
      </c>
      <c r="I1219" s="1">
        <v>110</v>
      </c>
      <c r="J1219" s="1">
        <v>102</v>
      </c>
      <c r="K1219" s="1">
        <v>65</v>
      </c>
      <c r="L1219" s="1">
        <v>73</v>
      </c>
      <c r="M1219" s="1" t="s">
        <v>49</v>
      </c>
      <c r="N1219" s="1" t="s">
        <v>32</v>
      </c>
      <c r="O1219" t="s">
        <v>90</v>
      </c>
      <c r="P1219" s="2">
        <v>44.48</v>
      </c>
      <c r="Q1219" s="1" t="str">
        <f>IF(J436&gt;K436,"YES","NO")</f>
        <v>YES</v>
      </c>
      <c r="R1219" s="2">
        <f>IF(Q436="YES",G436*0.9,G436)</f>
        <v>57.195</v>
      </c>
      <c r="S1219" s="2">
        <f>J436*G436</f>
        <v>6482.0999999999995</v>
      </c>
      <c r="T1219" s="1">
        <f ca="1">TODAY()-DATE(MID(O436,7,4),MID(O436,4,2),LEFT(O436,2))</f>
        <v>94</v>
      </c>
      <c r="U1219" s="1" t="s">
        <v>34</v>
      </c>
      <c r="V1219" s="1" t="s">
        <v>34</v>
      </c>
      <c r="W1219" s="1" t="s">
        <v>34</v>
      </c>
      <c r="X1219" t="s">
        <v>2589</v>
      </c>
      <c r="Y1219" s="1">
        <v>8</v>
      </c>
    </row>
    <row r="1220" spans="1:25" x14ac:dyDescent="0.3">
      <c r="A1220" s="1" t="s">
        <v>2234</v>
      </c>
      <c r="B1220" s="1" t="s">
        <v>143</v>
      </c>
      <c r="C1220" s="1" t="s">
        <v>144</v>
      </c>
      <c r="D1220" s="1" t="s">
        <v>47</v>
      </c>
      <c r="E1220" s="1" t="s">
        <v>74</v>
      </c>
      <c r="F1220" s="1" t="s">
        <v>54</v>
      </c>
      <c r="G1220" s="2">
        <v>399.1</v>
      </c>
      <c r="H1220" s="1">
        <v>12</v>
      </c>
      <c r="I1220" s="1">
        <v>245</v>
      </c>
      <c r="J1220" s="1">
        <v>236</v>
      </c>
      <c r="K1220" s="1">
        <v>52</v>
      </c>
      <c r="L1220" s="1">
        <v>140</v>
      </c>
      <c r="M1220" s="1" t="s">
        <v>41</v>
      </c>
      <c r="N1220" s="1" t="s">
        <v>42</v>
      </c>
      <c r="O1220" t="s">
        <v>473</v>
      </c>
      <c r="P1220" s="2">
        <v>279.37</v>
      </c>
      <c r="Q1220" s="1" t="str">
        <f>IF(J757&gt;K757,"YES","NO")</f>
        <v>YES</v>
      </c>
      <c r="R1220" s="2">
        <f>IF(Q757="YES",G757*0.9,G757)</f>
        <v>359.19000000000005</v>
      </c>
      <c r="S1220" s="2">
        <f>J757*G757</f>
        <v>94187.6</v>
      </c>
      <c r="T1220" s="1">
        <f ca="1">TODAY()-DATE(MID(O757,7,4),MID(O757,4,2),LEFT(O757,2))</f>
        <v>146</v>
      </c>
      <c r="U1220" s="1" t="s">
        <v>34</v>
      </c>
      <c r="V1220" s="1" t="s">
        <v>34</v>
      </c>
      <c r="W1220" s="1" t="s">
        <v>34</v>
      </c>
      <c r="X1220" t="s">
        <v>2815</v>
      </c>
      <c r="Y1220" s="1">
        <v>8.5</v>
      </c>
    </row>
    <row r="1221" spans="1:25" x14ac:dyDescent="0.3">
      <c r="A1221" s="1" t="s">
        <v>2235</v>
      </c>
      <c r="B1221" s="1" t="s">
        <v>77</v>
      </c>
      <c r="C1221" s="1" t="s">
        <v>78</v>
      </c>
      <c r="D1221" s="1" t="s">
        <v>47</v>
      </c>
      <c r="E1221" s="1" t="s">
        <v>29</v>
      </c>
      <c r="F1221" s="1" t="s">
        <v>30</v>
      </c>
      <c r="G1221" s="2">
        <v>347.71</v>
      </c>
      <c r="H1221" s="1">
        <v>3</v>
      </c>
      <c r="I1221" s="1">
        <v>209</v>
      </c>
      <c r="J1221" s="1">
        <v>195</v>
      </c>
      <c r="K1221" s="1">
        <v>82</v>
      </c>
      <c r="L1221" s="1">
        <v>125</v>
      </c>
      <c r="M1221" s="1" t="s">
        <v>49</v>
      </c>
      <c r="N1221" s="1" t="s">
        <v>60</v>
      </c>
      <c r="O1221" t="s">
        <v>199</v>
      </c>
      <c r="P1221" s="2">
        <v>243.4</v>
      </c>
      <c r="Q1221" s="1" t="str">
        <f>IF(J616&gt;K616,"YES","NO")</f>
        <v>YES</v>
      </c>
      <c r="R1221" s="2">
        <f>IF(Q616="YES",G616*0.9,G616)</f>
        <v>312.93899999999996</v>
      </c>
      <c r="S1221" s="2">
        <f>J616*G616</f>
        <v>67803.45</v>
      </c>
      <c r="T1221" s="1">
        <f ca="1">TODAY()-DATE(MID(O616,7,4),MID(O616,4,2),LEFT(O616,2))</f>
        <v>129</v>
      </c>
      <c r="U1221" s="1" t="s">
        <v>34</v>
      </c>
      <c r="V1221" s="1" t="s">
        <v>34</v>
      </c>
      <c r="W1221" s="1" t="s">
        <v>34</v>
      </c>
      <c r="X1221" t="s">
        <v>2886</v>
      </c>
      <c r="Y1221" s="1">
        <v>8</v>
      </c>
    </row>
    <row r="1222" spans="1:25" x14ac:dyDescent="0.3">
      <c r="A1222" s="1" t="s">
        <v>2236</v>
      </c>
      <c r="B1222" s="1" t="s">
        <v>63</v>
      </c>
      <c r="C1222" s="1" t="s">
        <v>64</v>
      </c>
      <c r="D1222" s="1" t="s">
        <v>28</v>
      </c>
      <c r="E1222" s="1" t="s">
        <v>29</v>
      </c>
      <c r="F1222" s="1" t="s">
        <v>54</v>
      </c>
      <c r="G1222" s="2">
        <v>57.84</v>
      </c>
      <c r="H1222" s="1">
        <v>14</v>
      </c>
      <c r="I1222" s="1">
        <v>81</v>
      </c>
      <c r="J1222" s="1">
        <v>74</v>
      </c>
      <c r="K1222" s="1">
        <v>43</v>
      </c>
      <c r="L1222" s="1">
        <v>111</v>
      </c>
      <c r="M1222" s="1" t="s">
        <v>31</v>
      </c>
      <c r="N1222" s="1" t="s">
        <v>32</v>
      </c>
      <c r="O1222" t="s">
        <v>187</v>
      </c>
      <c r="P1222" s="2">
        <v>40.49</v>
      </c>
      <c r="Q1222" s="1" t="str">
        <f>IF(J676&gt;K676,"YES","NO")</f>
        <v>YES</v>
      </c>
      <c r="R1222" s="2">
        <f>IF(Q676="YES",G676*0.9,G676)</f>
        <v>52.056000000000004</v>
      </c>
      <c r="S1222" s="2">
        <f>J676*G676</f>
        <v>4280.16</v>
      </c>
      <c r="T1222" s="1">
        <f ca="1">TODAY()-DATE(MID(O676,7,4),MID(O676,4,2),LEFT(O676,2))</f>
        <v>148</v>
      </c>
      <c r="U1222" s="1" t="s">
        <v>34</v>
      </c>
      <c r="V1222" s="1" t="s">
        <v>34</v>
      </c>
      <c r="W1222" s="1" t="s">
        <v>34</v>
      </c>
      <c r="X1222" t="s">
        <v>2629</v>
      </c>
      <c r="Y1222" s="1">
        <v>8</v>
      </c>
    </row>
    <row r="1223" spans="1:25" x14ac:dyDescent="0.3">
      <c r="A1223" s="1" t="s">
        <v>2237</v>
      </c>
      <c r="B1223" s="1" t="s">
        <v>111</v>
      </c>
      <c r="C1223" s="1" t="s">
        <v>112</v>
      </c>
      <c r="D1223" s="1" t="s">
        <v>97</v>
      </c>
      <c r="E1223" s="1" t="s">
        <v>40</v>
      </c>
      <c r="F1223" s="1" t="s">
        <v>30</v>
      </c>
      <c r="G1223" s="2">
        <v>419.24</v>
      </c>
      <c r="H1223" s="1">
        <v>9</v>
      </c>
      <c r="I1223" s="1">
        <v>244</v>
      </c>
      <c r="J1223" s="1">
        <v>227</v>
      </c>
      <c r="K1223" s="1">
        <v>104</v>
      </c>
      <c r="L1223" s="1">
        <v>64</v>
      </c>
      <c r="M1223" s="1" t="s">
        <v>41</v>
      </c>
      <c r="N1223" s="1" t="s">
        <v>42</v>
      </c>
      <c r="O1223" t="s">
        <v>137</v>
      </c>
      <c r="P1223" s="2">
        <v>293.47000000000003</v>
      </c>
      <c r="Q1223" s="1" t="str">
        <f>IF(J468&gt;K468,"YES","NO")</f>
        <v>YES</v>
      </c>
      <c r="R1223" s="2">
        <f>IF(Q468="YES",G468*0.9,G468)</f>
        <v>377.31600000000003</v>
      </c>
      <c r="S1223" s="2">
        <f>J468*G468</f>
        <v>95167.48</v>
      </c>
      <c r="T1223" s="1">
        <f ca="1">TODAY()-DATE(MID(O468,7,4),MID(O468,4,2),LEFT(O468,2))</f>
        <v>107</v>
      </c>
      <c r="U1223" s="1" t="s">
        <v>34</v>
      </c>
      <c r="V1223" s="1" t="s">
        <v>34</v>
      </c>
      <c r="W1223" s="1" t="s">
        <v>34</v>
      </c>
      <c r="X1223" t="s">
        <v>2682</v>
      </c>
      <c r="Y1223" s="1">
        <v>9</v>
      </c>
    </row>
    <row r="1224" spans="1:25" x14ac:dyDescent="0.3">
      <c r="A1224" s="1" t="s">
        <v>2238</v>
      </c>
      <c r="B1224" s="1" t="s">
        <v>102</v>
      </c>
      <c r="C1224" s="1" t="s">
        <v>103</v>
      </c>
      <c r="D1224" s="1" t="s">
        <v>104</v>
      </c>
      <c r="E1224" s="1" t="s">
        <v>74</v>
      </c>
      <c r="F1224" s="1" t="s">
        <v>54</v>
      </c>
      <c r="G1224" s="2">
        <v>189.04</v>
      </c>
      <c r="H1224" s="1">
        <v>20</v>
      </c>
      <c r="I1224" s="1">
        <v>149</v>
      </c>
      <c r="J1224" s="1">
        <v>140</v>
      </c>
      <c r="K1224" s="1">
        <v>106</v>
      </c>
      <c r="L1224" s="1">
        <v>98</v>
      </c>
      <c r="M1224" s="1" t="s">
        <v>31</v>
      </c>
      <c r="N1224" s="1" t="s">
        <v>32</v>
      </c>
      <c r="O1224" t="s">
        <v>254</v>
      </c>
      <c r="P1224" s="2">
        <v>132.33000000000001</v>
      </c>
      <c r="Q1224" s="1" t="str">
        <f>IF(J584&gt;K584,"YES","NO")</f>
        <v>YES</v>
      </c>
      <c r="R1224" s="2">
        <f>IF(Q584="YES",G584*0.9,G584)</f>
        <v>170.136</v>
      </c>
      <c r="S1224" s="2">
        <f>J584*G584</f>
        <v>26465.599999999999</v>
      </c>
      <c r="T1224" s="1">
        <f ca="1">TODAY()-DATE(MID(O584,7,4),MID(O584,4,2),LEFT(O584,2))</f>
        <v>145</v>
      </c>
      <c r="U1224" s="1" t="s">
        <v>34</v>
      </c>
      <c r="V1224" s="1" t="s">
        <v>34</v>
      </c>
      <c r="W1224" s="1" t="s">
        <v>34</v>
      </c>
      <c r="X1224" t="s">
        <v>2716</v>
      </c>
      <c r="Y1224" s="1">
        <v>7</v>
      </c>
    </row>
    <row r="1225" spans="1:25" x14ac:dyDescent="0.3">
      <c r="A1225" s="1" t="s">
        <v>2239</v>
      </c>
      <c r="B1225" s="1" t="s">
        <v>123</v>
      </c>
      <c r="C1225" s="1" t="s">
        <v>124</v>
      </c>
      <c r="D1225" s="1" t="s">
        <v>47</v>
      </c>
      <c r="E1225" s="1" t="s">
        <v>74</v>
      </c>
      <c r="F1225" s="1" t="s">
        <v>54</v>
      </c>
      <c r="G1225" s="2">
        <v>382.23</v>
      </c>
      <c r="H1225" s="1">
        <v>11</v>
      </c>
      <c r="I1225" s="1">
        <v>262</v>
      </c>
      <c r="J1225" s="1">
        <v>255</v>
      </c>
      <c r="K1225" s="1">
        <v>84</v>
      </c>
      <c r="L1225" s="1">
        <v>122</v>
      </c>
      <c r="M1225" s="1" t="s">
        <v>31</v>
      </c>
      <c r="N1225" s="1" t="s">
        <v>60</v>
      </c>
      <c r="O1225" t="s">
        <v>311</v>
      </c>
      <c r="P1225" s="2">
        <v>267.56</v>
      </c>
      <c r="Q1225" s="1" t="str">
        <f>IF(J478&gt;K478,"YES","NO")</f>
        <v>YES</v>
      </c>
      <c r="R1225" s="2">
        <f>IF(Q478="YES",G478*0.9,G478)</f>
        <v>344.00700000000001</v>
      </c>
      <c r="S1225" s="2">
        <f>J478*G478</f>
        <v>97468.650000000009</v>
      </c>
      <c r="T1225" s="1">
        <f ca="1">TODAY()-DATE(MID(O478,7,4),MID(O478,4,2),LEFT(O478,2))</f>
        <v>80</v>
      </c>
      <c r="U1225" s="1" t="s">
        <v>34</v>
      </c>
      <c r="V1225" s="1" t="s">
        <v>34</v>
      </c>
      <c r="W1225" s="1" t="s">
        <v>34</v>
      </c>
      <c r="X1225" t="s">
        <v>2618</v>
      </c>
      <c r="Y1225" s="1">
        <v>9</v>
      </c>
    </row>
    <row r="1226" spans="1:25" x14ac:dyDescent="0.3">
      <c r="A1226" s="1" t="s">
        <v>2240</v>
      </c>
      <c r="B1226" s="1" t="s">
        <v>166</v>
      </c>
      <c r="C1226" s="1" t="s">
        <v>167</v>
      </c>
      <c r="D1226" s="1" t="s">
        <v>59</v>
      </c>
      <c r="E1226" s="1" t="s">
        <v>29</v>
      </c>
      <c r="F1226" s="1" t="s">
        <v>54</v>
      </c>
      <c r="G1226" s="2">
        <v>388.66</v>
      </c>
      <c r="H1226" s="1">
        <v>25</v>
      </c>
      <c r="I1226" s="1">
        <v>152</v>
      </c>
      <c r="J1226" s="1">
        <v>120</v>
      </c>
      <c r="K1226" s="1">
        <v>108</v>
      </c>
      <c r="L1226" s="1">
        <v>148</v>
      </c>
      <c r="M1226" s="1" t="s">
        <v>49</v>
      </c>
      <c r="N1226" s="1" t="s">
        <v>60</v>
      </c>
      <c r="O1226" t="s">
        <v>159</v>
      </c>
      <c r="P1226" s="2">
        <v>272.06</v>
      </c>
      <c r="Q1226" s="1" t="str">
        <f>IF(J708&gt;K708,"YES","NO")</f>
        <v>YES</v>
      </c>
      <c r="R1226" s="2">
        <f>IF(Q708="YES",G708*0.9,G708)</f>
        <v>349.79400000000004</v>
      </c>
      <c r="S1226" s="2">
        <f>J708*G708</f>
        <v>46639.200000000004</v>
      </c>
      <c r="T1226" s="1">
        <f ca="1">TODAY()-DATE(MID(O708,7,4),MID(O708,4,2),LEFT(O708,2))</f>
        <v>134</v>
      </c>
      <c r="U1226" s="1" t="s">
        <v>34</v>
      </c>
      <c r="V1226" s="1" t="s">
        <v>34</v>
      </c>
      <c r="W1226" s="1" t="s">
        <v>34</v>
      </c>
      <c r="X1226" t="s">
        <v>2898</v>
      </c>
      <c r="Y1226" s="1">
        <v>9</v>
      </c>
    </row>
    <row r="1227" spans="1:25" x14ac:dyDescent="0.3">
      <c r="A1227" s="1" t="s">
        <v>2241</v>
      </c>
      <c r="B1227" s="1" t="s">
        <v>69</v>
      </c>
      <c r="C1227" s="1" t="s">
        <v>70</v>
      </c>
      <c r="D1227" s="1" t="s">
        <v>59</v>
      </c>
      <c r="E1227" s="1" t="s">
        <v>40</v>
      </c>
      <c r="F1227" s="1" t="s">
        <v>48</v>
      </c>
      <c r="G1227" s="2">
        <v>254.72</v>
      </c>
      <c r="H1227" s="1">
        <v>1</v>
      </c>
      <c r="I1227" s="1">
        <v>239</v>
      </c>
      <c r="J1227" s="1">
        <v>199</v>
      </c>
      <c r="K1227" s="1">
        <v>120</v>
      </c>
      <c r="L1227" s="1">
        <v>124</v>
      </c>
      <c r="M1227" s="1" t="s">
        <v>31</v>
      </c>
      <c r="N1227" s="1" t="s">
        <v>60</v>
      </c>
      <c r="O1227" t="s">
        <v>224</v>
      </c>
      <c r="P1227" s="2">
        <v>178.3</v>
      </c>
      <c r="Q1227" s="1" t="str">
        <f>IF(J78&gt;K78,"YES","NO")</f>
        <v>YES</v>
      </c>
      <c r="R1227" s="2">
        <f>IF(Q78="YES",G78*0.9,G78)</f>
        <v>229.24799999999999</v>
      </c>
      <c r="S1227" s="2">
        <f>J78*G78</f>
        <v>50689.279999999999</v>
      </c>
      <c r="T1227" s="1">
        <f ca="1">TODAY()-DATE(MID(O78,7,4),MID(O78,4,2),LEFT(O78,2))</f>
        <v>140</v>
      </c>
      <c r="U1227" s="1" t="s">
        <v>34</v>
      </c>
      <c r="V1227" s="1" t="s">
        <v>34</v>
      </c>
      <c r="W1227" s="1" t="s">
        <v>34</v>
      </c>
      <c r="X1227" t="s">
        <v>2751</v>
      </c>
      <c r="Y1227" s="1">
        <v>9</v>
      </c>
    </row>
    <row r="1228" spans="1:25" x14ac:dyDescent="0.3">
      <c r="A1228" s="1" t="s">
        <v>2242</v>
      </c>
      <c r="B1228" s="1" t="s">
        <v>83</v>
      </c>
      <c r="C1228" s="1" t="s">
        <v>84</v>
      </c>
      <c r="D1228" s="1" t="s">
        <v>85</v>
      </c>
      <c r="E1228" s="1" t="s">
        <v>29</v>
      </c>
      <c r="F1228" s="1" t="s">
        <v>48</v>
      </c>
      <c r="G1228" s="2">
        <v>464.83</v>
      </c>
      <c r="H1228" s="1">
        <v>0</v>
      </c>
      <c r="I1228" s="1">
        <v>90</v>
      </c>
      <c r="J1228" s="1">
        <v>77</v>
      </c>
      <c r="K1228" s="1">
        <v>55</v>
      </c>
      <c r="L1228" s="1">
        <v>53</v>
      </c>
      <c r="M1228" s="1" t="s">
        <v>31</v>
      </c>
      <c r="N1228" s="1" t="s">
        <v>60</v>
      </c>
      <c r="O1228" t="s">
        <v>260</v>
      </c>
      <c r="P1228" s="2">
        <v>325.38</v>
      </c>
      <c r="Q1228" s="1" t="str">
        <f>IF(J318&gt;K318,"YES","NO")</f>
        <v>YES</v>
      </c>
      <c r="R1228" s="2">
        <f>IF(Q318="YES",G318*0.9,G318)</f>
        <v>418.34699999999998</v>
      </c>
      <c r="S1228" s="2">
        <f>J318*G318</f>
        <v>35791.909999999996</v>
      </c>
      <c r="T1228" s="1">
        <f ca="1">TODAY()-DATE(MID(O318,7,4),MID(O318,4,2),LEFT(O318,2))</f>
        <v>70</v>
      </c>
      <c r="U1228" s="1" t="s">
        <v>34</v>
      </c>
      <c r="V1228" s="1" t="s">
        <v>34</v>
      </c>
      <c r="W1228" s="1" t="s">
        <v>34</v>
      </c>
      <c r="X1228" t="s">
        <v>2562</v>
      </c>
      <c r="Y1228" s="1">
        <v>9</v>
      </c>
    </row>
    <row r="1229" spans="1:25" x14ac:dyDescent="0.3">
      <c r="A1229" s="1" t="s">
        <v>2243</v>
      </c>
      <c r="B1229" s="1" t="s">
        <v>189</v>
      </c>
      <c r="C1229" s="1" t="s">
        <v>190</v>
      </c>
      <c r="D1229" s="1" t="s">
        <v>59</v>
      </c>
      <c r="E1229" s="1" t="s">
        <v>40</v>
      </c>
      <c r="F1229" s="1" t="s">
        <v>30</v>
      </c>
      <c r="G1229" s="2">
        <v>250.85</v>
      </c>
      <c r="H1229" s="1">
        <v>4</v>
      </c>
      <c r="I1229" s="1">
        <v>258</v>
      </c>
      <c r="J1229" s="1">
        <v>239</v>
      </c>
      <c r="K1229" s="1">
        <v>77</v>
      </c>
      <c r="L1229" s="1">
        <v>50</v>
      </c>
      <c r="M1229" s="1" t="s">
        <v>41</v>
      </c>
      <c r="N1229" s="1" t="s">
        <v>32</v>
      </c>
      <c r="O1229" t="s">
        <v>302</v>
      </c>
      <c r="P1229" s="2">
        <v>175.59</v>
      </c>
      <c r="Q1229" s="1" t="str">
        <f>IF(J241&gt;K241,"YES","NO")</f>
        <v>YES</v>
      </c>
      <c r="R1229" s="2">
        <f>IF(Q241="YES",G241*0.9,G241)</f>
        <v>225.76499999999999</v>
      </c>
      <c r="S1229" s="2">
        <f>J241*G241</f>
        <v>59953.15</v>
      </c>
      <c r="T1229" s="1">
        <f ca="1">TODAY()-DATE(MID(O241,7,4),MID(O241,4,2),LEFT(O241,2))</f>
        <v>133</v>
      </c>
      <c r="U1229" s="1" t="s">
        <v>34</v>
      </c>
      <c r="V1229" s="1" t="s">
        <v>34</v>
      </c>
      <c r="W1229" s="1" t="s">
        <v>34</v>
      </c>
      <c r="X1229" t="s">
        <v>2812</v>
      </c>
      <c r="Y1229" s="1">
        <v>5.5</v>
      </c>
    </row>
    <row r="1230" spans="1:25" x14ac:dyDescent="0.3">
      <c r="A1230" s="1" t="s">
        <v>2244</v>
      </c>
      <c r="B1230" s="1" t="s">
        <v>77</v>
      </c>
      <c r="C1230" s="1" t="s">
        <v>78</v>
      </c>
      <c r="D1230" s="1" t="s">
        <v>47</v>
      </c>
      <c r="E1230" s="1" t="s">
        <v>40</v>
      </c>
      <c r="F1230" s="1" t="s">
        <v>30</v>
      </c>
      <c r="G1230" s="2">
        <v>46.82</v>
      </c>
      <c r="H1230" s="1">
        <v>23</v>
      </c>
      <c r="I1230" s="1">
        <v>127</v>
      </c>
      <c r="J1230" s="1">
        <v>117</v>
      </c>
      <c r="K1230" s="1">
        <v>67</v>
      </c>
      <c r="L1230" s="1">
        <v>127</v>
      </c>
      <c r="M1230" s="1" t="s">
        <v>31</v>
      </c>
      <c r="N1230" s="1" t="s">
        <v>42</v>
      </c>
      <c r="O1230" t="s">
        <v>183</v>
      </c>
      <c r="P1230" s="2">
        <v>32.770000000000003</v>
      </c>
      <c r="Q1230" s="1" t="str">
        <f>IF(J462&gt;K462,"YES","NO")</f>
        <v>YES</v>
      </c>
      <c r="R1230" s="2">
        <f>IF(Q462="YES",G462*0.9,G462)</f>
        <v>42.137999999999998</v>
      </c>
      <c r="S1230" s="2">
        <f>J462*G462</f>
        <v>5477.94</v>
      </c>
      <c r="T1230" s="1">
        <f ca="1">TODAY()-DATE(MID(O462,7,4),MID(O462,4,2),LEFT(O462,2))</f>
        <v>115</v>
      </c>
      <c r="U1230" s="1" t="s">
        <v>34</v>
      </c>
      <c r="V1230" s="1" t="s">
        <v>34</v>
      </c>
      <c r="W1230" s="1" t="s">
        <v>34</v>
      </c>
      <c r="X1230" t="s">
        <v>2570</v>
      </c>
      <c r="Y1230" s="1">
        <v>6</v>
      </c>
    </row>
    <row r="1231" spans="1:25" x14ac:dyDescent="0.3">
      <c r="A1231" s="1" t="s">
        <v>2245</v>
      </c>
      <c r="B1231" s="1" t="s">
        <v>102</v>
      </c>
      <c r="C1231" s="1" t="s">
        <v>103</v>
      </c>
      <c r="D1231" s="1" t="s">
        <v>104</v>
      </c>
      <c r="E1231" s="1" t="s">
        <v>74</v>
      </c>
      <c r="F1231" s="1" t="s">
        <v>30</v>
      </c>
      <c r="G1231" s="2">
        <v>376.51</v>
      </c>
      <c r="H1231" s="1">
        <v>16</v>
      </c>
      <c r="I1231" s="1">
        <v>216</v>
      </c>
      <c r="J1231" s="1">
        <v>192</v>
      </c>
      <c r="K1231" s="1">
        <v>105</v>
      </c>
      <c r="L1231" s="1">
        <v>121</v>
      </c>
      <c r="M1231" s="1" t="s">
        <v>49</v>
      </c>
      <c r="N1231" s="1" t="s">
        <v>32</v>
      </c>
      <c r="O1231" t="s">
        <v>128</v>
      </c>
      <c r="P1231" s="2">
        <v>263.56</v>
      </c>
      <c r="Q1231" s="1" t="str">
        <f>IF(J164&gt;K164,"YES","NO")</f>
        <v>YES</v>
      </c>
      <c r="R1231" s="2">
        <f>IF(Q164="YES",G164*0.9,G164)</f>
        <v>338.85899999999998</v>
      </c>
      <c r="S1231" s="2">
        <f>J164*G164</f>
        <v>72289.919999999998</v>
      </c>
      <c r="T1231" s="1">
        <f ca="1">TODAY()-DATE(MID(O164,7,4),MID(O164,4,2),LEFT(O164,2))</f>
        <v>77</v>
      </c>
      <c r="U1231" s="1" t="s">
        <v>34</v>
      </c>
      <c r="V1231" s="1" t="s">
        <v>34</v>
      </c>
      <c r="W1231" s="1" t="s">
        <v>34</v>
      </c>
      <c r="X1231" t="s">
        <v>2711</v>
      </c>
      <c r="Y1231" s="1">
        <v>7</v>
      </c>
    </row>
    <row r="1232" spans="1:25" x14ac:dyDescent="0.3">
      <c r="A1232" s="1" t="s">
        <v>2246</v>
      </c>
      <c r="B1232" s="1" t="s">
        <v>143</v>
      </c>
      <c r="C1232" s="1" t="s">
        <v>144</v>
      </c>
      <c r="D1232" s="1" t="s">
        <v>47</v>
      </c>
      <c r="E1232" s="1" t="s">
        <v>40</v>
      </c>
      <c r="F1232" s="1" t="s">
        <v>48</v>
      </c>
      <c r="G1232" s="2">
        <v>119.13</v>
      </c>
      <c r="H1232" s="1">
        <v>4</v>
      </c>
      <c r="I1232" s="1">
        <v>149</v>
      </c>
      <c r="J1232" s="1">
        <v>149</v>
      </c>
      <c r="K1232" s="1">
        <v>50</v>
      </c>
      <c r="L1232" s="1">
        <v>111</v>
      </c>
      <c r="M1232" s="1" t="s">
        <v>31</v>
      </c>
      <c r="N1232" s="1" t="s">
        <v>42</v>
      </c>
      <c r="O1232" t="s">
        <v>398</v>
      </c>
      <c r="P1232" s="2">
        <v>83.39</v>
      </c>
      <c r="Q1232" s="1" t="str">
        <f>IF(J722&gt;K722,"YES","NO")</f>
        <v>YES</v>
      </c>
      <c r="R1232" s="2">
        <f>IF(Q722="YES",G722*0.9,G722)</f>
        <v>107.217</v>
      </c>
      <c r="S1232" s="2">
        <f>J722*G722</f>
        <v>17750.37</v>
      </c>
      <c r="T1232" s="1">
        <f ca="1">TODAY()-DATE(MID(O722,7,4),MID(O722,4,2),LEFT(O722,2))</f>
        <v>86</v>
      </c>
      <c r="U1232" s="1" t="s">
        <v>34</v>
      </c>
      <c r="V1232" s="1" t="s">
        <v>34</v>
      </c>
      <c r="W1232" s="1" t="s">
        <v>34</v>
      </c>
      <c r="X1232" t="s">
        <v>2687</v>
      </c>
      <c r="Y1232" s="1">
        <v>6</v>
      </c>
    </row>
    <row r="1233" spans="1:25" x14ac:dyDescent="0.3">
      <c r="A1233" s="1" t="s">
        <v>2247</v>
      </c>
      <c r="B1233" s="1" t="s">
        <v>192</v>
      </c>
      <c r="C1233" s="1" t="s">
        <v>193</v>
      </c>
      <c r="D1233" s="1" t="s">
        <v>85</v>
      </c>
      <c r="E1233" s="1" t="s">
        <v>29</v>
      </c>
      <c r="F1233" s="1" t="s">
        <v>30</v>
      </c>
      <c r="G1233" s="2">
        <v>440.41</v>
      </c>
      <c r="H1233" s="1">
        <v>25</v>
      </c>
      <c r="I1233" s="1">
        <v>259</v>
      </c>
      <c r="J1233" s="1">
        <v>247</v>
      </c>
      <c r="K1233" s="1">
        <v>47</v>
      </c>
      <c r="L1233" s="1">
        <v>71</v>
      </c>
      <c r="M1233" s="1" t="s">
        <v>49</v>
      </c>
      <c r="N1233" s="1" t="s">
        <v>32</v>
      </c>
      <c r="O1233" t="s">
        <v>153</v>
      </c>
      <c r="P1233" s="2">
        <v>308.29000000000002</v>
      </c>
      <c r="Q1233" s="1" t="str">
        <f>IF(J505&gt;K505,"YES","NO")</f>
        <v>YES</v>
      </c>
      <c r="R1233" s="2">
        <f>IF(Q505="YES",G505*0.9,G505)</f>
        <v>396.36900000000003</v>
      </c>
      <c r="S1233" s="2">
        <f>J505*G505</f>
        <v>108781.27</v>
      </c>
      <c r="T1233" s="1">
        <f ca="1">TODAY()-DATE(MID(O505,7,4),MID(O505,4,2),LEFT(O505,2))</f>
        <v>135</v>
      </c>
      <c r="U1233" s="1" t="s">
        <v>34</v>
      </c>
      <c r="V1233" s="1" t="s">
        <v>34</v>
      </c>
      <c r="W1233" s="1" t="s">
        <v>34</v>
      </c>
      <c r="X1233" t="s">
        <v>2687</v>
      </c>
      <c r="Y1233" s="1">
        <v>7.5</v>
      </c>
    </row>
    <row r="1234" spans="1:25" x14ac:dyDescent="0.3">
      <c r="A1234" s="1" t="s">
        <v>2248</v>
      </c>
      <c r="B1234" s="1" t="s">
        <v>72</v>
      </c>
      <c r="C1234" s="1" t="s">
        <v>73</v>
      </c>
      <c r="D1234" s="1" t="s">
        <v>47</v>
      </c>
      <c r="E1234" s="1" t="s">
        <v>29</v>
      </c>
      <c r="F1234" s="1" t="s">
        <v>48</v>
      </c>
      <c r="G1234" s="2">
        <v>236.57</v>
      </c>
      <c r="H1234" s="1">
        <v>9</v>
      </c>
      <c r="I1234" s="1">
        <v>274</v>
      </c>
      <c r="J1234" s="1">
        <v>263</v>
      </c>
      <c r="K1234" s="1">
        <v>74</v>
      </c>
      <c r="L1234" s="1">
        <v>90</v>
      </c>
      <c r="M1234" s="1" t="s">
        <v>31</v>
      </c>
      <c r="N1234" s="1" t="s">
        <v>32</v>
      </c>
      <c r="O1234" t="s">
        <v>455</v>
      </c>
      <c r="P1234" s="2">
        <v>165.6</v>
      </c>
      <c r="Q1234" s="1" t="str">
        <f>IF(J287&gt;K287,"YES","NO")</f>
        <v>YES</v>
      </c>
      <c r="R1234" s="2">
        <f>IF(Q287="YES",G287*0.9,G287)</f>
        <v>212.91300000000001</v>
      </c>
      <c r="S1234" s="2">
        <f>J287*G287</f>
        <v>62217.909999999996</v>
      </c>
      <c r="T1234" s="1">
        <f ca="1">TODAY()-DATE(MID(O287,7,4),MID(O287,4,2),LEFT(O287,2))</f>
        <v>112</v>
      </c>
      <c r="U1234" s="1" t="s">
        <v>34</v>
      </c>
      <c r="V1234" s="1" t="s">
        <v>34</v>
      </c>
      <c r="W1234" s="1" t="s">
        <v>34</v>
      </c>
      <c r="X1234" t="s">
        <v>2913</v>
      </c>
      <c r="Y1234" s="1">
        <v>8.5</v>
      </c>
    </row>
    <row r="1235" spans="1:25" x14ac:dyDescent="0.3">
      <c r="A1235" s="1" t="s">
        <v>2249</v>
      </c>
      <c r="B1235" s="1" t="s">
        <v>102</v>
      </c>
      <c r="C1235" s="1" t="s">
        <v>103</v>
      </c>
      <c r="D1235" s="1" t="s">
        <v>104</v>
      </c>
      <c r="E1235" s="1" t="s">
        <v>74</v>
      </c>
      <c r="F1235" s="1" t="s">
        <v>30</v>
      </c>
      <c r="G1235" s="2">
        <v>376.51</v>
      </c>
      <c r="H1235" s="1">
        <v>16</v>
      </c>
      <c r="I1235" s="1">
        <v>216</v>
      </c>
      <c r="J1235" s="1">
        <v>192</v>
      </c>
      <c r="K1235" s="1">
        <v>105</v>
      </c>
      <c r="L1235" s="1">
        <v>121</v>
      </c>
      <c r="M1235" s="1" t="s">
        <v>49</v>
      </c>
      <c r="N1235" s="1" t="s">
        <v>32</v>
      </c>
      <c r="O1235" t="s">
        <v>128</v>
      </c>
      <c r="P1235" s="2">
        <v>263.56</v>
      </c>
      <c r="Q1235" s="1" t="str">
        <f>IF(J164&gt;K164,"YES","NO")</f>
        <v>YES</v>
      </c>
      <c r="R1235" s="2">
        <f>IF(Q164="YES",G164*0.9,G164)</f>
        <v>338.85899999999998</v>
      </c>
      <c r="S1235" s="2">
        <f>J164*G164</f>
        <v>72289.919999999998</v>
      </c>
      <c r="T1235" s="1">
        <f ca="1">TODAY()-DATE(MID(O164,7,4),MID(O164,4,2),LEFT(O164,2))</f>
        <v>77</v>
      </c>
      <c r="U1235" s="1" t="s">
        <v>34</v>
      </c>
      <c r="V1235" s="1" t="s">
        <v>34</v>
      </c>
      <c r="W1235" s="1" t="s">
        <v>34</v>
      </c>
      <c r="X1235" t="s">
        <v>2569</v>
      </c>
      <c r="Y1235" s="1">
        <v>7</v>
      </c>
    </row>
    <row r="1236" spans="1:25" x14ac:dyDescent="0.3">
      <c r="A1236" s="1" t="s">
        <v>2250</v>
      </c>
      <c r="B1236" s="1" t="s">
        <v>192</v>
      </c>
      <c r="C1236" s="1" t="s">
        <v>193</v>
      </c>
      <c r="D1236" s="1" t="s">
        <v>85</v>
      </c>
      <c r="E1236" s="1" t="s">
        <v>29</v>
      </c>
      <c r="F1236" s="1" t="s">
        <v>54</v>
      </c>
      <c r="G1236" s="2">
        <v>431.7</v>
      </c>
      <c r="H1236" s="1">
        <v>1</v>
      </c>
      <c r="I1236" s="1">
        <v>201</v>
      </c>
      <c r="J1236" s="1">
        <v>193</v>
      </c>
      <c r="K1236" s="1">
        <v>68</v>
      </c>
      <c r="L1236" s="1">
        <v>132</v>
      </c>
      <c r="M1236" s="1" t="s">
        <v>41</v>
      </c>
      <c r="N1236" s="1" t="s">
        <v>42</v>
      </c>
      <c r="O1236" t="s">
        <v>183</v>
      </c>
      <c r="P1236" s="2">
        <v>302.19</v>
      </c>
      <c r="Q1236" s="1" t="str">
        <f>IF(J59&gt;K59,"YES","NO")</f>
        <v>YES</v>
      </c>
      <c r="R1236" s="2">
        <f>IF(Q59="YES",G59*0.9,G59)</f>
        <v>388.53</v>
      </c>
      <c r="S1236" s="2">
        <f>J59*G59</f>
        <v>83318.099999999991</v>
      </c>
      <c r="T1236" s="1">
        <f ca="1">TODAY()-DATE(MID(O59,7,4),MID(O59,4,2),LEFT(O59,2))</f>
        <v>115</v>
      </c>
      <c r="U1236" s="1" t="s">
        <v>34</v>
      </c>
      <c r="V1236" s="1" t="s">
        <v>34</v>
      </c>
      <c r="W1236" s="1" t="s">
        <v>34</v>
      </c>
      <c r="X1236" t="s">
        <v>2746</v>
      </c>
      <c r="Y1236" s="1">
        <v>9.5</v>
      </c>
    </row>
    <row r="1237" spans="1:25" x14ac:dyDescent="0.3">
      <c r="A1237" s="1" t="s">
        <v>2251</v>
      </c>
      <c r="B1237" s="1" t="s">
        <v>299</v>
      </c>
      <c r="C1237" s="1" t="s">
        <v>300</v>
      </c>
      <c r="D1237" s="1" t="s">
        <v>39</v>
      </c>
      <c r="E1237" s="1" t="s">
        <v>40</v>
      </c>
      <c r="F1237" s="1" t="s">
        <v>48</v>
      </c>
      <c r="G1237" s="2">
        <v>430.54</v>
      </c>
      <c r="H1237" s="1">
        <v>21</v>
      </c>
      <c r="I1237" s="1">
        <v>259</v>
      </c>
      <c r="J1237" s="1">
        <v>222</v>
      </c>
      <c r="K1237" s="1">
        <v>119</v>
      </c>
      <c r="L1237" s="1">
        <v>116</v>
      </c>
      <c r="M1237" s="1" t="s">
        <v>31</v>
      </c>
      <c r="N1237" s="1" t="s">
        <v>42</v>
      </c>
      <c r="O1237" t="s">
        <v>88</v>
      </c>
      <c r="P1237" s="2">
        <v>301.38</v>
      </c>
      <c r="Q1237" s="1" t="str">
        <f>IF(J657&gt;K657,"YES","NO")</f>
        <v>YES</v>
      </c>
      <c r="R1237" s="2">
        <f>IF(Q657="YES",G657*0.9,G657)</f>
        <v>387.48600000000005</v>
      </c>
      <c r="S1237" s="2">
        <f>J657*G657</f>
        <v>95579.88</v>
      </c>
      <c r="T1237" s="1">
        <f ca="1">TODAY()-DATE(MID(O657,7,4),MID(O657,4,2),LEFT(O657,2))</f>
        <v>124</v>
      </c>
      <c r="U1237" s="1" t="s">
        <v>34</v>
      </c>
      <c r="V1237" s="1" t="s">
        <v>34</v>
      </c>
      <c r="W1237" s="1" t="s">
        <v>34</v>
      </c>
      <c r="X1237" t="s">
        <v>2828</v>
      </c>
      <c r="Y1237" s="1">
        <v>8.5</v>
      </c>
    </row>
    <row r="1238" spans="1:25" x14ac:dyDescent="0.3">
      <c r="A1238" s="1" t="s">
        <v>2252</v>
      </c>
      <c r="B1238" s="1" t="s">
        <v>95</v>
      </c>
      <c r="C1238" s="1" t="s">
        <v>96</v>
      </c>
      <c r="D1238" s="1" t="s">
        <v>97</v>
      </c>
      <c r="E1238" s="1" t="s">
        <v>29</v>
      </c>
      <c r="F1238" s="1" t="s">
        <v>54</v>
      </c>
      <c r="G1238" s="2">
        <v>242.61</v>
      </c>
      <c r="H1238" s="1">
        <v>3</v>
      </c>
      <c r="I1238" s="1">
        <v>210</v>
      </c>
      <c r="J1238" s="1">
        <v>205</v>
      </c>
      <c r="K1238" s="1">
        <v>50</v>
      </c>
      <c r="L1238" s="1">
        <v>71</v>
      </c>
      <c r="M1238" s="1" t="s">
        <v>49</v>
      </c>
      <c r="N1238" s="1" t="s">
        <v>32</v>
      </c>
      <c r="O1238" t="s">
        <v>287</v>
      </c>
      <c r="P1238" s="2">
        <v>169.83</v>
      </c>
      <c r="Q1238" s="1" t="str">
        <f>IF(J690&gt;K690,"YES","NO")</f>
        <v>YES</v>
      </c>
      <c r="R1238" s="2">
        <f>IF(Q690="YES",G690*0.9,G690)</f>
        <v>218.34900000000002</v>
      </c>
      <c r="S1238" s="2">
        <f>J690*G690</f>
        <v>49735.05</v>
      </c>
      <c r="T1238" s="1">
        <f ca="1">TODAY()-DATE(MID(O690,7,4),MID(O690,4,2),LEFT(O690,2))</f>
        <v>143</v>
      </c>
      <c r="U1238" s="1" t="s">
        <v>34</v>
      </c>
      <c r="V1238" s="1" t="s">
        <v>34</v>
      </c>
      <c r="W1238" s="1" t="s">
        <v>34</v>
      </c>
      <c r="X1238" t="s">
        <v>2640</v>
      </c>
      <c r="Y1238" s="1">
        <v>5</v>
      </c>
    </row>
    <row r="1239" spans="1:25" x14ac:dyDescent="0.3">
      <c r="A1239" s="1" t="s">
        <v>2253</v>
      </c>
      <c r="B1239" s="1" t="s">
        <v>166</v>
      </c>
      <c r="C1239" s="1" t="s">
        <v>167</v>
      </c>
      <c r="D1239" s="1" t="s">
        <v>59</v>
      </c>
      <c r="E1239" s="1" t="s">
        <v>40</v>
      </c>
      <c r="F1239" s="1" t="s">
        <v>30</v>
      </c>
      <c r="G1239" s="2">
        <v>82.55</v>
      </c>
      <c r="H1239" s="1">
        <v>21</v>
      </c>
      <c r="I1239" s="1">
        <v>148</v>
      </c>
      <c r="J1239" s="1">
        <v>109</v>
      </c>
      <c r="K1239" s="1">
        <v>48</v>
      </c>
      <c r="L1239" s="1">
        <v>122</v>
      </c>
      <c r="M1239" s="1" t="s">
        <v>41</v>
      </c>
      <c r="N1239" s="1" t="s">
        <v>42</v>
      </c>
      <c r="O1239" t="s">
        <v>183</v>
      </c>
      <c r="P1239" s="2">
        <v>57.78</v>
      </c>
      <c r="Q1239" s="1" t="str">
        <f>IF(J158&gt;K158,"YES","NO")</f>
        <v>YES</v>
      </c>
      <c r="R1239" s="2">
        <f>IF(Q158="YES",G158*0.9,G158)</f>
        <v>74.295000000000002</v>
      </c>
      <c r="S1239" s="2">
        <f>J158*G158</f>
        <v>8997.9499999999989</v>
      </c>
      <c r="T1239" s="1">
        <f ca="1">TODAY()-DATE(MID(O158,7,4),MID(O158,4,2),LEFT(O158,2))</f>
        <v>115</v>
      </c>
      <c r="U1239" s="1" t="s">
        <v>34</v>
      </c>
      <c r="V1239" s="1" t="s">
        <v>34</v>
      </c>
      <c r="W1239" s="1" t="s">
        <v>34</v>
      </c>
      <c r="X1239" t="s">
        <v>2564</v>
      </c>
      <c r="Y1239" s="1">
        <v>9</v>
      </c>
    </row>
    <row r="1240" spans="1:25" x14ac:dyDescent="0.3">
      <c r="A1240" s="1" t="s">
        <v>2254</v>
      </c>
      <c r="B1240" s="1" t="s">
        <v>197</v>
      </c>
      <c r="C1240" s="1" t="s">
        <v>198</v>
      </c>
      <c r="D1240" s="1" t="s">
        <v>104</v>
      </c>
      <c r="E1240" s="1" t="s">
        <v>74</v>
      </c>
      <c r="F1240" s="1" t="s">
        <v>30</v>
      </c>
      <c r="G1240" s="2">
        <v>204.81</v>
      </c>
      <c r="H1240" s="1">
        <v>10</v>
      </c>
      <c r="I1240" s="1">
        <v>285</v>
      </c>
      <c r="J1240" s="1">
        <v>246</v>
      </c>
      <c r="K1240" s="1">
        <v>94</v>
      </c>
      <c r="L1240" s="1">
        <v>136</v>
      </c>
      <c r="M1240" s="1" t="s">
        <v>41</v>
      </c>
      <c r="N1240" s="1" t="s">
        <v>32</v>
      </c>
      <c r="O1240" t="s">
        <v>377</v>
      </c>
      <c r="P1240" s="2">
        <v>143.37</v>
      </c>
      <c r="Q1240" s="1" t="str">
        <f>IF(J286&gt;K286,"YES","NO")</f>
        <v>YES</v>
      </c>
      <c r="R1240" s="2">
        <f>IF(Q286="YES",G286*0.9,G286)</f>
        <v>184.32900000000001</v>
      </c>
      <c r="S1240" s="2">
        <f>J286*G286</f>
        <v>50383.26</v>
      </c>
      <c r="T1240" s="1">
        <f ca="1">TODAY()-DATE(MID(O286,7,4),MID(O286,4,2),LEFT(O286,2))</f>
        <v>65</v>
      </c>
      <c r="U1240" s="1" t="s">
        <v>34</v>
      </c>
      <c r="V1240" s="1" t="s">
        <v>34</v>
      </c>
      <c r="W1240" s="1" t="s">
        <v>34</v>
      </c>
      <c r="X1240" t="s">
        <v>2533</v>
      </c>
      <c r="Y1240" s="1">
        <v>8</v>
      </c>
    </row>
    <row r="1241" spans="1:25" x14ac:dyDescent="0.3">
      <c r="A1241" s="1" t="s">
        <v>2255</v>
      </c>
      <c r="B1241" s="1" t="s">
        <v>83</v>
      </c>
      <c r="C1241" s="1" t="s">
        <v>84</v>
      </c>
      <c r="D1241" s="1" t="s">
        <v>85</v>
      </c>
      <c r="E1241" s="1" t="s">
        <v>40</v>
      </c>
      <c r="F1241" s="1" t="s">
        <v>54</v>
      </c>
      <c r="G1241" s="2">
        <v>489.94</v>
      </c>
      <c r="H1241" s="1">
        <v>5</v>
      </c>
      <c r="I1241" s="1">
        <v>136</v>
      </c>
      <c r="J1241" s="1">
        <v>114</v>
      </c>
      <c r="K1241" s="1">
        <v>53</v>
      </c>
      <c r="L1241" s="1">
        <v>117</v>
      </c>
      <c r="M1241" s="1" t="s">
        <v>41</v>
      </c>
      <c r="N1241" s="1" t="s">
        <v>42</v>
      </c>
      <c r="O1241" t="s">
        <v>100</v>
      </c>
      <c r="P1241" s="2">
        <v>342.96</v>
      </c>
      <c r="Q1241" s="1" t="str">
        <f>IF(J19&gt;K19,"YES","NO")</f>
        <v>YES</v>
      </c>
      <c r="R1241" s="2">
        <f>IF(Q19="YES",G19*0.9,G19)</f>
        <v>440.94600000000003</v>
      </c>
      <c r="S1241" s="2">
        <f>J19*G19</f>
        <v>55853.159999999996</v>
      </c>
      <c r="T1241" s="1">
        <f ca="1">TODAY()-DATE(MID(O19,7,4),MID(O19,4,2),LEFT(O19,2))</f>
        <v>137</v>
      </c>
      <c r="U1241" s="1" t="s">
        <v>34</v>
      </c>
      <c r="V1241" s="1" t="s">
        <v>34</v>
      </c>
      <c r="W1241" s="1" t="s">
        <v>34</v>
      </c>
      <c r="X1241" t="s">
        <v>2773</v>
      </c>
      <c r="Y1241" s="1">
        <v>9.5</v>
      </c>
    </row>
    <row r="1242" spans="1:25" x14ac:dyDescent="0.3">
      <c r="A1242" s="1" t="s">
        <v>2256</v>
      </c>
      <c r="B1242" s="1" t="s">
        <v>107</v>
      </c>
      <c r="C1242" s="1" t="s">
        <v>108</v>
      </c>
      <c r="D1242" s="1" t="s">
        <v>39</v>
      </c>
      <c r="E1242" s="1" t="s">
        <v>74</v>
      </c>
      <c r="F1242" s="1" t="s">
        <v>54</v>
      </c>
      <c r="G1242" s="2">
        <v>257.07</v>
      </c>
      <c r="H1242" s="1">
        <v>4</v>
      </c>
      <c r="I1242" s="1">
        <v>261</v>
      </c>
      <c r="J1242" s="1">
        <v>228</v>
      </c>
      <c r="K1242" s="1">
        <v>83</v>
      </c>
      <c r="L1242" s="1">
        <v>75</v>
      </c>
      <c r="M1242" s="1" t="s">
        <v>41</v>
      </c>
      <c r="N1242" s="1" t="s">
        <v>32</v>
      </c>
      <c r="O1242" t="s">
        <v>384</v>
      </c>
      <c r="P1242" s="2">
        <v>179.95</v>
      </c>
      <c r="Q1242" s="1" t="str">
        <f>IF(J460&gt;K460,"YES","NO")</f>
        <v>YES</v>
      </c>
      <c r="R1242" s="2">
        <f>IF(Q460="YES",G460*0.9,G460)</f>
        <v>231.363</v>
      </c>
      <c r="S1242" s="2">
        <f>J460*G460</f>
        <v>58611.96</v>
      </c>
      <c r="T1242" s="1">
        <f ca="1">TODAY()-DATE(MID(O460,7,4),MID(O460,4,2),LEFT(O460,2))</f>
        <v>147</v>
      </c>
      <c r="U1242" s="1" t="s">
        <v>34</v>
      </c>
      <c r="V1242" s="1" t="s">
        <v>34</v>
      </c>
      <c r="W1242" s="1" t="s">
        <v>34</v>
      </c>
      <c r="X1242" t="s">
        <v>2771</v>
      </c>
      <c r="Y1242" s="1">
        <v>5</v>
      </c>
    </row>
    <row r="1243" spans="1:25" x14ac:dyDescent="0.3">
      <c r="A1243" s="1" t="s">
        <v>2257</v>
      </c>
      <c r="B1243" s="1" t="s">
        <v>45</v>
      </c>
      <c r="C1243" s="1" t="s">
        <v>46</v>
      </c>
      <c r="D1243" s="1" t="s">
        <v>47</v>
      </c>
      <c r="E1243" s="1" t="s">
        <v>74</v>
      </c>
      <c r="F1243" s="1" t="s">
        <v>54</v>
      </c>
      <c r="G1243" s="2">
        <v>346.66</v>
      </c>
      <c r="H1243" s="1">
        <v>10</v>
      </c>
      <c r="I1243" s="1">
        <v>197</v>
      </c>
      <c r="J1243" s="1">
        <v>187</v>
      </c>
      <c r="K1243" s="1">
        <v>118</v>
      </c>
      <c r="L1243" s="1">
        <v>82</v>
      </c>
      <c r="M1243" s="1" t="s">
        <v>41</v>
      </c>
      <c r="N1243" s="1" t="s">
        <v>60</v>
      </c>
      <c r="O1243" t="s">
        <v>135</v>
      </c>
      <c r="P1243" s="2">
        <v>242.66</v>
      </c>
      <c r="Q1243" s="1" t="str">
        <f>IF(J30&gt;K30,"YES","NO")</f>
        <v>YES</v>
      </c>
      <c r="R1243" s="2">
        <f>IF(Q30="YES",G30*0.9,G30)</f>
        <v>311.99400000000003</v>
      </c>
      <c r="S1243" s="2">
        <f>J30*G30</f>
        <v>64825.420000000006</v>
      </c>
      <c r="T1243" s="1">
        <f ca="1">TODAY()-DATE(MID(O30,7,4),MID(O30,4,2),LEFT(O30,2))</f>
        <v>71</v>
      </c>
      <c r="U1243" s="1" t="s">
        <v>34</v>
      </c>
      <c r="V1243" s="1" t="s">
        <v>34</v>
      </c>
      <c r="W1243" s="1" t="s">
        <v>34</v>
      </c>
      <c r="X1243" t="s">
        <v>2733</v>
      </c>
      <c r="Y1243" s="1">
        <v>5</v>
      </c>
    </row>
    <row r="1244" spans="1:25" x14ac:dyDescent="0.3">
      <c r="A1244" s="1" t="s">
        <v>2258</v>
      </c>
      <c r="B1244" s="1" t="s">
        <v>107</v>
      </c>
      <c r="C1244" s="1" t="s">
        <v>108</v>
      </c>
      <c r="D1244" s="1" t="s">
        <v>39</v>
      </c>
      <c r="E1244" s="1" t="s">
        <v>74</v>
      </c>
      <c r="F1244" s="1" t="s">
        <v>48</v>
      </c>
      <c r="G1244" s="2">
        <v>191.93</v>
      </c>
      <c r="H1244" s="1">
        <v>9</v>
      </c>
      <c r="I1244" s="1">
        <v>253</v>
      </c>
      <c r="J1244" s="1">
        <v>253</v>
      </c>
      <c r="K1244" s="1">
        <v>74</v>
      </c>
      <c r="L1244" s="1">
        <v>145</v>
      </c>
      <c r="M1244" s="1" t="s">
        <v>31</v>
      </c>
      <c r="N1244" s="1" t="s">
        <v>32</v>
      </c>
      <c r="O1244" t="s">
        <v>157</v>
      </c>
      <c r="P1244" s="2">
        <v>134.35</v>
      </c>
      <c r="Q1244" s="1" t="str">
        <f>IF(J336&gt;K336,"YES","NO")</f>
        <v>YES</v>
      </c>
      <c r="R1244" s="2">
        <f>IF(Q336="YES",G336*0.9,G336)</f>
        <v>172.73700000000002</v>
      </c>
      <c r="S1244" s="2">
        <f>J336*G336</f>
        <v>48558.29</v>
      </c>
      <c r="T1244" s="1">
        <f ca="1">TODAY()-DATE(MID(O336,7,4),MID(O336,4,2),LEFT(O336,2))</f>
        <v>103</v>
      </c>
      <c r="U1244" s="1" t="s">
        <v>34</v>
      </c>
      <c r="V1244" s="1" t="s">
        <v>34</v>
      </c>
      <c r="W1244" s="1" t="s">
        <v>34</v>
      </c>
      <c r="X1244" t="s">
        <v>2693</v>
      </c>
      <c r="Y1244" s="1">
        <v>8</v>
      </c>
    </row>
    <row r="1245" spans="1:25" x14ac:dyDescent="0.3">
      <c r="A1245" s="1" t="s">
        <v>2259</v>
      </c>
      <c r="B1245" s="1" t="s">
        <v>45</v>
      </c>
      <c r="C1245" s="1" t="s">
        <v>46</v>
      </c>
      <c r="D1245" s="1" t="s">
        <v>47</v>
      </c>
      <c r="E1245" s="1" t="s">
        <v>29</v>
      </c>
      <c r="F1245" s="1" t="s">
        <v>48</v>
      </c>
      <c r="G1245" s="2">
        <v>416.67</v>
      </c>
      <c r="H1245" s="1">
        <v>19</v>
      </c>
      <c r="I1245" s="1">
        <v>90</v>
      </c>
      <c r="J1245" s="1">
        <v>78</v>
      </c>
      <c r="K1245" s="1">
        <v>72</v>
      </c>
      <c r="L1245" s="1">
        <v>97</v>
      </c>
      <c r="M1245" s="1" t="s">
        <v>31</v>
      </c>
      <c r="N1245" s="1" t="s">
        <v>32</v>
      </c>
      <c r="O1245" t="s">
        <v>100</v>
      </c>
      <c r="P1245" s="2">
        <v>291.67</v>
      </c>
      <c r="Q1245" s="1" t="str">
        <f>IF(J317&gt;K317,"YES","NO")</f>
        <v>YES</v>
      </c>
      <c r="R1245" s="2">
        <f>IF(Q317="YES",G317*0.9,G317)</f>
        <v>375.00300000000004</v>
      </c>
      <c r="S1245" s="2">
        <f>J317*G317</f>
        <v>32500.260000000002</v>
      </c>
      <c r="T1245" s="1">
        <f ca="1">TODAY()-DATE(MID(O317,7,4),MID(O317,4,2),LEFT(O317,2))</f>
        <v>137</v>
      </c>
      <c r="U1245" s="1" t="s">
        <v>34</v>
      </c>
      <c r="V1245" s="1" t="s">
        <v>34</v>
      </c>
      <c r="W1245" s="1" t="s">
        <v>34</v>
      </c>
      <c r="X1245" t="s">
        <v>2702</v>
      </c>
      <c r="Y1245" s="1">
        <v>8.5</v>
      </c>
    </row>
    <row r="1246" spans="1:25" x14ac:dyDescent="0.3">
      <c r="A1246" s="1" t="s">
        <v>2260</v>
      </c>
      <c r="B1246" s="1" t="s">
        <v>176</v>
      </c>
      <c r="C1246" s="1" t="s">
        <v>177</v>
      </c>
      <c r="D1246" s="1" t="s">
        <v>39</v>
      </c>
      <c r="E1246" s="1" t="s">
        <v>74</v>
      </c>
      <c r="F1246" s="1" t="s">
        <v>54</v>
      </c>
      <c r="G1246" s="2">
        <v>214.02</v>
      </c>
      <c r="H1246" s="1">
        <v>5</v>
      </c>
      <c r="I1246" s="1">
        <v>177</v>
      </c>
      <c r="J1246" s="1">
        <v>176</v>
      </c>
      <c r="K1246" s="1">
        <v>51</v>
      </c>
      <c r="L1246" s="1">
        <v>148</v>
      </c>
      <c r="M1246" s="1" t="s">
        <v>31</v>
      </c>
      <c r="N1246" s="1" t="s">
        <v>32</v>
      </c>
      <c r="O1246" t="s">
        <v>67</v>
      </c>
      <c r="P1246" s="2">
        <v>149.81</v>
      </c>
      <c r="Q1246" s="1" t="str">
        <f>IF(J800&gt;K800,"YES","NO")</f>
        <v>YES</v>
      </c>
      <c r="R1246" s="2">
        <f>IF(Q800="YES",G800*0.9,G800)</f>
        <v>192.61800000000002</v>
      </c>
      <c r="S1246" s="2">
        <f>J800*G800</f>
        <v>37667.520000000004</v>
      </c>
      <c r="T1246" s="1">
        <f ca="1">TODAY()-DATE(MID(O800,7,4),MID(O800,4,2),LEFT(O800,2))</f>
        <v>97</v>
      </c>
      <c r="U1246" s="1" t="s">
        <v>34</v>
      </c>
      <c r="V1246" s="1" t="s">
        <v>34</v>
      </c>
      <c r="W1246" s="1" t="s">
        <v>34</v>
      </c>
      <c r="X1246" t="s">
        <v>2678</v>
      </c>
      <c r="Y1246" s="1">
        <v>5</v>
      </c>
    </row>
    <row r="1247" spans="1:25" x14ac:dyDescent="0.3">
      <c r="A1247" s="1" t="s">
        <v>2261</v>
      </c>
      <c r="B1247" s="1" t="s">
        <v>83</v>
      </c>
      <c r="C1247" s="1" t="s">
        <v>84</v>
      </c>
      <c r="D1247" s="1" t="s">
        <v>85</v>
      </c>
      <c r="E1247" s="1" t="s">
        <v>74</v>
      </c>
      <c r="F1247" s="1" t="s">
        <v>30</v>
      </c>
      <c r="G1247" s="2">
        <v>182.91</v>
      </c>
      <c r="H1247" s="1">
        <v>13</v>
      </c>
      <c r="I1247" s="1">
        <v>160</v>
      </c>
      <c r="J1247" s="1">
        <v>151</v>
      </c>
      <c r="K1247" s="1">
        <v>110</v>
      </c>
      <c r="L1247" s="1">
        <v>58</v>
      </c>
      <c r="M1247" s="1" t="s">
        <v>31</v>
      </c>
      <c r="N1247" s="1" t="s">
        <v>60</v>
      </c>
      <c r="O1247" t="s">
        <v>161</v>
      </c>
      <c r="P1247" s="2">
        <v>128.04</v>
      </c>
      <c r="Q1247" s="1" t="str">
        <f>IF(J45&gt;K45,"YES","NO")</f>
        <v>YES</v>
      </c>
      <c r="R1247" s="2">
        <f>IF(Q45="YES",G45*0.9,G45)</f>
        <v>164.619</v>
      </c>
      <c r="S1247" s="2">
        <f>J45*G45</f>
        <v>27619.41</v>
      </c>
      <c r="T1247" s="1">
        <f ca="1">TODAY()-DATE(MID(O45,7,4),MID(O45,4,2),LEFT(O45,2))</f>
        <v>69</v>
      </c>
      <c r="U1247" s="1" t="s">
        <v>34</v>
      </c>
      <c r="V1247" s="1" t="s">
        <v>34</v>
      </c>
      <c r="W1247" s="1" t="s">
        <v>34</v>
      </c>
      <c r="X1247" t="s">
        <v>2598</v>
      </c>
      <c r="Y1247" s="1">
        <v>7.5</v>
      </c>
    </row>
    <row r="1248" spans="1:25" x14ac:dyDescent="0.3">
      <c r="A1248" s="1" t="s">
        <v>2262</v>
      </c>
      <c r="B1248" s="1" t="s">
        <v>69</v>
      </c>
      <c r="C1248" s="1" t="s">
        <v>70</v>
      </c>
      <c r="D1248" s="1" t="s">
        <v>59</v>
      </c>
      <c r="E1248" s="1" t="s">
        <v>74</v>
      </c>
      <c r="F1248" s="1" t="s">
        <v>48</v>
      </c>
      <c r="G1248" s="2">
        <v>345.73</v>
      </c>
      <c r="H1248" s="1">
        <v>10</v>
      </c>
      <c r="I1248" s="1">
        <v>262</v>
      </c>
      <c r="J1248" s="1">
        <v>227</v>
      </c>
      <c r="K1248" s="1">
        <v>99</v>
      </c>
      <c r="L1248" s="1">
        <v>79</v>
      </c>
      <c r="M1248" s="1" t="s">
        <v>41</v>
      </c>
      <c r="N1248" s="1" t="s">
        <v>60</v>
      </c>
      <c r="O1248" t="s">
        <v>164</v>
      </c>
      <c r="P1248" s="2">
        <v>242.01</v>
      </c>
      <c r="Q1248" s="1" t="str">
        <f>IF(J645&gt;K645,"YES","NO")</f>
        <v>YES</v>
      </c>
      <c r="R1248" s="2">
        <f>IF(Q645="YES",G645*0.9,G645)</f>
        <v>311.15700000000004</v>
      </c>
      <c r="S1248" s="2">
        <f>J645*G645</f>
        <v>78480.710000000006</v>
      </c>
      <c r="T1248" s="1">
        <f ca="1">TODAY()-DATE(MID(O645,7,4),MID(O645,4,2),LEFT(O645,2))</f>
        <v>126</v>
      </c>
      <c r="U1248" s="1" t="s">
        <v>34</v>
      </c>
      <c r="V1248" s="1" t="s">
        <v>34</v>
      </c>
      <c r="W1248" s="1" t="s">
        <v>34</v>
      </c>
      <c r="X1248" t="s">
        <v>2561</v>
      </c>
      <c r="Y1248" s="1">
        <v>7.5</v>
      </c>
    </row>
    <row r="1249" spans="1:25" x14ac:dyDescent="0.3">
      <c r="A1249" s="1" t="s">
        <v>2263</v>
      </c>
      <c r="B1249" s="1" t="s">
        <v>123</v>
      </c>
      <c r="C1249" s="1" t="s">
        <v>124</v>
      </c>
      <c r="D1249" s="1" t="s">
        <v>47</v>
      </c>
      <c r="E1249" s="1" t="s">
        <v>29</v>
      </c>
      <c r="F1249" s="1" t="s">
        <v>30</v>
      </c>
      <c r="G1249" s="2">
        <v>396.83</v>
      </c>
      <c r="H1249" s="1">
        <v>7</v>
      </c>
      <c r="I1249" s="1">
        <v>219</v>
      </c>
      <c r="J1249" s="1">
        <v>181</v>
      </c>
      <c r="K1249" s="1">
        <v>78</v>
      </c>
      <c r="L1249" s="1">
        <v>51</v>
      </c>
      <c r="M1249" s="1" t="s">
        <v>31</v>
      </c>
      <c r="N1249" s="1" t="s">
        <v>42</v>
      </c>
      <c r="O1249" t="s">
        <v>227</v>
      </c>
      <c r="P1249" s="2">
        <v>277.77999999999997</v>
      </c>
      <c r="Q1249" s="1" t="str">
        <f>IF(J128&gt;K128,"YES","NO")</f>
        <v>YES</v>
      </c>
      <c r="R1249" s="2">
        <f>IF(Q128="YES",G128*0.9,G128)</f>
        <v>357.14699999999999</v>
      </c>
      <c r="S1249" s="2">
        <f>J128*G128</f>
        <v>71826.23</v>
      </c>
      <c r="T1249" s="1">
        <f ca="1">TODAY()-DATE(MID(O128,7,4),MID(O128,4,2),LEFT(O128,2))</f>
        <v>132</v>
      </c>
      <c r="U1249" s="1" t="s">
        <v>34</v>
      </c>
      <c r="V1249" s="1" t="s">
        <v>34</v>
      </c>
      <c r="W1249" s="1" t="s">
        <v>34</v>
      </c>
      <c r="X1249" t="s">
        <v>2753</v>
      </c>
      <c r="Y1249" s="1">
        <v>9</v>
      </c>
    </row>
    <row r="1250" spans="1:25" x14ac:dyDescent="0.3">
      <c r="A1250" s="1" t="s">
        <v>2264</v>
      </c>
      <c r="B1250" s="1" t="s">
        <v>26</v>
      </c>
      <c r="C1250" s="1" t="s">
        <v>27</v>
      </c>
      <c r="D1250" s="1" t="s">
        <v>28</v>
      </c>
      <c r="E1250" s="1" t="s">
        <v>29</v>
      </c>
      <c r="F1250" s="1" t="s">
        <v>48</v>
      </c>
      <c r="G1250" s="2">
        <v>215.97</v>
      </c>
      <c r="H1250" s="1">
        <v>12</v>
      </c>
      <c r="I1250" s="1">
        <v>160</v>
      </c>
      <c r="J1250" s="1">
        <v>132</v>
      </c>
      <c r="K1250" s="1">
        <v>115</v>
      </c>
      <c r="L1250" s="1">
        <v>134</v>
      </c>
      <c r="M1250" s="1" t="s">
        <v>41</v>
      </c>
      <c r="N1250" s="1" t="s">
        <v>32</v>
      </c>
      <c r="O1250" t="s">
        <v>361</v>
      </c>
      <c r="P1250" s="2">
        <v>151.18</v>
      </c>
      <c r="Q1250" s="1" t="str">
        <f>IF(J537&gt;K537,"YES","NO")</f>
        <v>YES</v>
      </c>
      <c r="R1250" s="2">
        <f>IF(Q537="YES",G537*0.9,G537)</f>
        <v>194.37299999999999</v>
      </c>
      <c r="S1250" s="2">
        <f>J537*G537</f>
        <v>28508.04</v>
      </c>
      <c r="T1250" s="1">
        <f ca="1">TODAY()-DATE(MID(O537,7,4),MID(O537,4,2),LEFT(O537,2))</f>
        <v>99</v>
      </c>
      <c r="U1250" s="1" t="s">
        <v>34</v>
      </c>
      <c r="V1250" s="1" t="s">
        <v>34</v>
      </c>
      <c r="W1250" s="1" t="s">
        <v>34</v>
      </c>
      <c r="X1250" t="s">
        <v>2889</v>
      </c>
      <c r="Y1250" s="1">
        <v>8.5</v>
      </c>
    </row>
    <row r="1251" spans="1:25" x14ac:dyDescent="0.3">
      <c r="A1251" s="1" t="s">
        <v>2265</v>
      </c>
      <c r="B1251" s="1" t="s">
        <v>166</v>
      </c>
      <c r="C1251" s="1" t="s">
        <v>167</v>
      </c>
      <c r="D1251" s="1" t="s">
        <v>59</v>
      </c>
      <c r="E1251" s="1" t="s">
        <v>29</v>
      </c>
      <c r="F1251" s="1" t="s">
        <v>30</v>
      </c>
      <c r="G1251" s="2">
        <v>464.69</v>
      </c>
      <c r="H1251" s="1">
        <v>9</v>
      </c>
      <c r="I1251" s="1">
        <v>172</v>
      </c>
      <c r="J1251" s="1">
        <v>141</v>
      </c>
      <c r="K1251" s="1">
        <v>117</v>
      </c>
      <c r="L1251" s="1">
        <v>53</v>
      </c>
      <c r="M1251" s="1" t="s">
        <v>31</v>
      </c>
      <c r="N1251" s="1" t="s">
        <v>42</v>
      </c>
      <c r="O1251" t="s">
        <v>398</v>
      </c>
      <c r="P1251" s="2">
        <v>325.27999999999997</v>
      </c>
      <c r="Q1251" s="1" t="str">
        <f>IF(J355&gt;K355,"YES","NO")</f>
        <v>YES</v>
      </c>
      <c r="R1251" s="2">
        <f>IF(Q355="YES",G355*0.9,G355)</f>
        <v>418.221</v>
      </c>
      <c r="S1251" s="2">
        <f>J355*G355</f>
        <v>65521.29</v>
      </c>
      <c r="T1251" s="1">
        <f ca="1">TODAY()-DATE(MID(O355,7,4),MID(O355,4,2),LEFT(O355,2))</f>
        <v>86</v>
      </c>
      <c r="U1251" s="1" t="s">
        <v>34</v>
      </c>
      <c r="V1251" s="1" t="s">
        <v>34</v>
      </c>
      <c r="W1251" s="1" t="s">
        <v>34</v>
      </c>
      <c r="X1251" t="s">
        <v>2522</v>
      </c>
      <c r="Y1251" s="1">
        <v>7.5</v>
      </c>
    </row>
    <row r="1252" spans="1:25" x14ac:dyDescent="0.3">
      <c r="A1252" s="1" t="s">
        <v>2266</v>
      </c>
      <c r="B1252" s="1" t="s">
        <v>52</v>
      </c>
      <c r="C1252" s="1" t="s">
        <v>53</v>
      </c>
      <c r="D1252" s="1" t="s">
        <v>47</v>
      </c>
      <c r="E1252" s="1" t="s">
        <v>74</v>
      </c>
      <c r="F1252" s="1" t="s">
        <v>48</v>
      </c>
      <c r="G1252" s="2">
        <v>115.62</v>
      </c>
      <c r="H1252" s="1">
        <v>6</v>
      </c>
      <c r="I1252" s="1">
        <v>230</v>
      </c>
      <c r="J1252" s="1">
        <v>198</v>
      </c>
      <c r="K1252" s="1">
        <v>73</v>
      </c>
      <c r="L1252" s="1">
        <v>110</v>
      </c>
      <c r="M1252" s="1" t="s">
        <v>31</v>
      </c>
      <c r="N1252" s="1" t="s">
        <v>60</v>
      </c>
      <c r="O1252" t="s">
        <v>128</v>
      </c>
      <c r="P1252" s="2">
        <v>80.930000000000007</v>
      </c>
      <c r="Q1252" s="1" t="str">
        <f>IF(J615&gt;K615,"YES","NO")</f>
        <v>YES</v>
      </c>
      <c r="R1252" s="2">
        <f>IF(Q615="YES",G615*0.9,G615)</f>
        <v>104.05800000000001</v>
      </c>
      <c r="S1252" s="2">
        <f>J615*G615</f>
        <v>22892.760000000002</v>
      </c>
      <c r="T1252" s="1">
        <f ca="1">TODAY()-DATE(MID(O615,7,4),MID(O615,4,2),LEFT(O615,2))</f>
        <v>77</v>
      </c>
      <c r="U1252" s="1" t="s">
        <v>34</v>
      </c>
      <c r="V1252" s="1" t="s">
        <v>34</v>
      </c>
      <c r="W1252" s="1" t="s">
        <v>34</v>
      </c>
      <c r="X1252" t="s">
        <v>2680</v>
      </c>
      <c r="Y1252" s="1">
        <v>7.5</v>
      </c>
    </row>
    <row r="1253" spans="1:25" x14ac:dyDescent="0.3">
      <c r="A1253" s="1" t="s">
        <v>2267</v>
      </c>
      <c r="B1253" s="1" t="s">
        <v>95</v>
      </c>
      <c r="C1253" s="1" t="s">
        <v>96</v>
      </c>
      <c r="D1253" s="1" t="s">
        <v>97</v>
      </c>
      <c r="E1253" s="1" t="s">
        <v>40</v>
      </c>
      <c r="F1253" s="1" t="s">
        <v>54</v>
      </c>
      <c r="G1253" s="2">
        <v>131.4</v>
      </c>
      <c r="H1253" s="1">
        <v>7</v>
      </c>
      <c r="I1253" s="1">
        <v>243</v>
      </c>
      <c r="J1253" s="1">
        <v>237</v>
      </c>
      <c r="K1253" s="1">
        <v>98</v>
      </c>
      <c r="L1253" s="1">
        <v>149</v>
      </c>
      <c r="M1253" s="1" t="s">
        <v>31</v>
      </c>
      <c r="N1253" s="1" t="s">
        <v>42</v>
      </c>
      <c r="O1253" t="s">
        <v>224</v>
      </c>
      <c r="P1253" s="2">
        <v>91.98</v>
      </c>
      <c r="Q1253" s="1" t="str">
        <f>IF(J341&gt;K341,"YES","NO")</f>
        <v>YES</v>
      </c>
      <c r="R1253" s="2">
        <f>IF(Q341="YES",G341*0.9,G341)</f>
        <v>118.26</v>
      </c>
      <c r="S1253" s="2">
        <f>J341*G341</f>
        <v>31141.800000000003</v>
      </c>
      <c r="T1253" s="1">
        <f ca="1">TODAY()-DATE(MID(O341,7,4),MID(O341,4,2),LEFT(O341,2))</f>
        <v>140</v>
      </c>
      <c r="U1253" s="1" t="s">
        <v>34</v>
      </c>
      <c r="V1253" s="1" t="s">
        <v>34</v>
      </c>
      <c r="W1253" s="1" t="s">
        <v>34</v>
      </c>
      <c r="X1253" t="s">
        <v>2605</v>
      </c>
      <c r="Y1253" s="1">
        <v>5.5</v>
      </c>
    </row>
    <row r="1254" spans="1:25" x14ac:dyDescent="0.3">
      <c r="A1254" s="1" t="s">
        <v>2268</v>
      </c>
      <c r="B1254" s="1" t="s">
        <v>57</v>
      </c>
      <c r="C1254" s="1" t="s">
        <v>58</v>
      </c>
      <c r="D1254" s="1" t="s">
        <v>59</v>
      </c>
      <c r="E1254" s="1" t="s">
        <v>40</v>
      </c>
      <c r="F1254" s="1" t="s">
        <v>48</v>
      </c>
      <c r="G1254" s="2">
        <v>236.36</v>
      </c>
      <c r="H1254" s="1">
        <v>16</v>
      </c>
      <c r="I1254" s="1">
        <v>174</v>
      </c>
      <c r="J1254" s="1">
        <v>145</v>
      </c>
      <c r="K1254" s="1">
        <v>100</v>
      </c>
      <c r="L1254" s="1">
        <v>66</v>
      </c>
      <c r="M1254" s="1" t="s">
        <v>49</v>
      </c>
      <c r="N1254" s="1" t="s">
        <v>42</v>
      </c>
      <c r="O1254" t="s">
        <v>98</v>
      </c>
      <c r="P1254" s="2">
        <v>165.45</v>
      </c>
      <c r="Q1254" s="1" t="str">
        <f>IF(J755&gt;K755,"YES","NO")</f>
        <v>YES</v>
      </c>
      <c r="R1254" s="2">
        <f>IF(Q755="YES",G755*0.9,G755)</f>
        <v>212.72400000000002</v>
      </c>
      <c r="S1254" s="2">
        <f>J755*G755</f>
        <v>34272.200000000004</v>
      </c>
      <c r="T1254" s="1">
        <f ca="1">TODAY()-DATE(MID(O755,7,4),MID(O755,4,2),LEFT(O755,2))</f>
        <v>96</v>
      </c>
      <c r="U1254" s="1" t="s">
        <v>34</v>
      </c>
      <c r="V1254" s="1" t="s">
        <v>34</v>
      </c>
      <c r="W1254" s="1" t="s">
        <v>34</v>
      </c>
      <c r="X1254" t="s">
        <v>2647</v>
      </c>
      <c r="Y1254" s="1">
        <v>7.5</v>
      </c>
    </row>
    <row r="1255" spans="1:25" x14ac:dyDescent="0.3">
      <c r="A1255" s="1" t="s">
        <v>2269</v>
      </c>
      <c r="B1255" s="1" t="s">
        <v>57</v>
      </c>
      <c r="C1255" s="1" t="s">
        <v>58</v>
      </c>
      <c r="D1255" s="1" t="s">
        <v>59</v>
      </c>
      <c r="E1255" s="1" t="s">
        <v>74</v>
      </c>
      <c r="F1255" s="1" t="s">
        <v>54</v>
      </c>
      <c r="G1255" s="2">
        <v>61.22</v>
      </c>
      <c r="H1255" s="1">
        <v>22</v>
      </c>
      <c r="I1255" s="1">
        <v>184</v>
      </c>
      <c r="J1255" s="1">
        <v>172</v>
      </c>
      <c r="K1255" s="1">
        <v>88</v>
      </c>
      <c r="L1255" s="1">
        <v>142</v>
      </c>
      <c r="M1255" s="1" t="s">
        <v>41</v>
      </c>
      <c r="N1255" s="1" t="s">
        <v>42</v>
      </c>
      <c r="O1255" t="s">
        <v>257</v>
      </c>
      <c r="P1255" s="2">
        <v>42.85</v>
      </c>
      <c r="Q1255" s="1" t="str">
        <f>IF(J102&gt;K102,"YES","NO")</f>
        <v>YES</v>
      </c>
      <c r="R1255" s="2">
        <f>IF(Q102="YES",G102*0.9,G102)</f>
        <v>55.097999999999999</v>
      </c>
      <c r="S1255" s="2">
        <f>J102*G102</f>
        <v>10529.84</v>
      </c>
      <c r="T1255" s="1">
        <f ca="1">TODAY()-DATE(MID(O102,7,4),MID(O102,4,2),LEFT(O102,2))</f>
        <v>113</v>
      </c>
      <c r="U1255" s="1" t="s">
        <v>34</v>
      </c>
      <c r="V1255" s="1" t="s">
        <v>34</v>
      </c>
      <c r="W1255" s="1" t="s">
        <v>34</v>
      </c>
      <c r="X1255" t="s">
        <v>2644</v>
      </c>
      <c r="Y1255" s="1">
        <v>6</v>
      </c>
    </row>
    <row r="1256" spans="1:25" x14ac:dyDescent="0.3">
      <c r="A1256" s="1" t="s">
        <v>2270</v>
      </c>
      <c r="B1256" s="1" t="s">
        <v>37</v>
      </c>
      <c r="C1256" s="1" t="s">
        <v>38</v>
      </c>
      <c r="D1256" s="1" t="s">
        <v>39</v>
      </c>
      <c r="E1256" s="1" t="s">
        <v>74</v>
      </c>
      <c r="F1256" s="1" t="s">
        <v>30</v>
      </c>
      <c r="G1256" s="2">
        <v>234.11</v>
      </c>
      <c r="H1256" s="1">
        <v>4</v>
      </c>
      <c r="I1256" s="1">
        <v>92</v>
      </c>
      <c r="J1256" s="1">
        <v>55</v>
      </c>
      <c r="K1256" s="1">
        <v>115</v>
      </c>
      <c r="L1256" s="1">
        <v>137</v>
      </c>
      <c r="M1256" s="1" t="s">
        <v>31</v>
      </c>
      <c r="N1256" s="1" t="s">
        <v>42</v>
      </c>
      <c r="O1256" t="s">
        <v>65</v>
      </c>
      <c r="P1256" s="2">
        <v>163.88</v>
      </c>
      <c r="Q1256" s="1" t="str">
        <f>IF(J250&gt;K250,"YES","NO")</f>
        <v>NO</v>
      </c>
      <c r="R1256" s="2">
        <f>IF(Q250="YES",G250*0.9,G250)</f>
        <v>234.11</v>
      </c>
      <c r="S1256" s="2">
        <f>J250*G250</f>
        <v>12876.050000000001</v>
      </c>
      <c r="T1256" s="1">
        <f ca="1">TODAY()-DATE(MID(O250,7,4),MID(O250,4,2),LEFT(O250,2))</f>
        <v>142</v>
      </c>
      <c r="U1256" s="1" t="s">
        <v>34</v>
      </c>
      <c r="V1256" s="1" t="s">
        <v>34</v>
      </c>
      <c r="W1256" s="1" t="s">
        <v>34</v>
      </c>
      <c r="X1256" t="s">
        <v>2723</v>
      </c>
      <c r="Y1256" s="1">
        <v>5</v>
      </c>
    </row>
    <row r="1257" spans="1:25" x14ac:dyDescent="0.3">
      <c r="A1257" s="1" t="s">
        <v>2271</v>
      </c>
      <c r="B1257" s="1" t="s">
        <v>143</v>
      </c>
      <c r="C1257" s="1" t="s">
        <v>144</v>
      </c>
      <c r="D1257" s="1" t="s">
        <v>47</v>
      </c>
      <c r="E1257" s="1" t="s">
        <v>74</v>
      </c>
      <c r="F1257" s="1" t="s">
        <v>54</v>
      </c>
      <c r="G1257" s="2">
        <v>389.6</v>
      </c>
      <c r="H1257" s="1">
        <v>8</v>
      </c>
      <c r="I1257" s="1">
        <v>287</v>
      </c>
      <c r="J1257" s="1">
        <v>273</v>
      </c>
      <c r="K1257" s="1">
        <v>76</v>
      </c>
      <c r="L1257" s="1">
        <v>116</v>
      </c>
      <c r="M1257" s="1" t="s">
        <v>49</v>
      </c>
      <c r="N1257" s="1" t="s">
        <v>42</v>
      </c>
      <c r="O1257" t="s">
        <v>395</v>
      </c>
      <c r="P1257" s="2">
        <v>272.72000000000003</v>
      </c>
      <c r="Q1257" s="1" t="str">
        <f>IF(J467&gt;K467,"YES","NO")</f>
        <v>YES</v>
      </c>
      <c r="R1257" s="2">
        <f>IF(Q467="YES",G467*0.9,G467)</f>
        <v>350.64000000000004</v>
      </c>
      <c r="S1257" s="2">
        <f>J467*G467</f>
        <v>106360.8</v>
      </c>
      <c r="T1257" s="1">
        <f ca="1">TODAY()-DATE(MID(O467,7,4),MID(O467,4,2),LEFT(O467,2))</f>
        <v>101</v>
      </c>
      <c r="U1257" s="1" t="s">
        <v>34</v>
      </c>
      <c r="V1257" s="1" t="s">
        <v>34</v>
      </c>
      <c r="W1257" s="1" t="s">
        <v>34</v>
      </c>
      <c r="X1257" t="s">
        <v>2862</v>
      </c>
      <c r="Y1257" s="1">
        <v>8.5</v>
      </c>
    </row>
    <row r="1258" spans="1:25" x14ac:dyDescent="0.3">
      <c r="A1258" s="1" t="s">
        <v>2272</v>
      </c>
      <c r="B1258" s="1" t="s">
        <v>166</v>
      </c>
      <c r="C1258" s="1" t="s">
        <v>167</v>
      </c>
      <c r="D1258" s="1" t="s">
        <v>59</v>
      </c>
      <c r="E1258" s="1" t="s">
        <v>40</v>
      </c>
      <c r="F1258" s="1" t="s">
        <v>30</v>
      </c>
      <c r="G1258" s="2">
        <v>481.02</v>
      </c>
      <c r="H1258" s="1">
        <v>13</v>
      </c>
      <c r="I1258" s="1">
        <v>289</v>
      </c>
      <c r="J1258" s="1">
        <v>289</v>
      </c>
      <c r="K1258" s="1">
        <v>118</v>
      </c>
      <c r="L1258" s="1">
        <v>74</v>
      </c>
      <c r="M1258" s="1" t="s">
        <v>41</v>
      </c>
      <c r="N1258" s="1" t="s">
        <v>60</v>
      </c>
      <c r="O1258" t="s">
        <v>145</v>
      </c>
      <c r="P1258" s="2">
        <v>336.71</v>
      </c>
      <c r="Q1258" s="1" t="str">
        <f>IF(J204&gt;K204,"YES","NO")</f>
        <v>YES</v>
      </c>
      <c r="R1258" s="2">
        <f>IF(Q204="YES",G204*0.9,G204)</f>
        <v>432.91800000000001</v>
      </c>
      <c r="S1258" s="2">
        <f>J204*G204</f>
        <v>139014.78</v>
      </c>
      <c r="T1258" s="1">
        <f ca="1">TODAY()-DATE(MID(O204,7,4),MID(O204,4,2),LEFT(O204,2))</f>
        <v>68</v>
      </c>
      <c r="U1258" s="1" t="s">
        <v>34</v>
      </c>
      <c r="V1258" s="1" t="s">
        <v>34</v>
      </c>
      <c r="W1258" s="1" t="s">
        <v>34</v>
      </c>
      <c r="X1258" t="s">
        <v>2711</v>
      </c>
      <c r="Y1258" s="1">
        <v>7</v>
      </c>
    </row>
    <row r="1259" spans="1:25" x14ac:dyDescent="0.3">
      <c r="A1259" s="1" t="s">
        <v>2273</v>
      </c>
      <c r="B1259" s="1" t="s">
        <v>176</v>
      </c>
      <c r="C1259" s="1" t="s">
        <v>177</v>
      </c>
      <c r="D1259" s="1" t="s">
        <v>39</v>
      </c>
      <c r="E1259" s="1" t="s">
        <v>29</v>
      </c>
      <c r="F1259" s="1" t="s">
        <v>30</v>
      </c>
      <c r="G1259" s="2">
        <v>209.86</v>
      </c>
      <c r="H1259" s="1">
        <v>15</v>
      </c>
      <c r="I1259" s="1">
        <v>221</v>
      </c>
      <c r="J1259" s="1">
        <v>183</v>
      </c>
      <c r="K1259" s="1">
        <v>99</v>
      </c>
      <c r="L1259" s="1">
        <v>137</v>
      </c>
      <c r="M1259" s="1" t="s">
        <v>49</v>
      </c>
      <c r="N1259" s="1" t="s">
        <v>42</v>
      </c>
      <c r="O1259" t="s">
        <v>195</v>
      </c>
      <c r="P1259" s="2">
        <v>146.9</v>
      </c>
      <c r="Q1259" s="1" t="str">
        <f>IF(J785&gt;K785,"YES","NO")</f>
        <v>YES</v>
      </c>
      <c r="R1259" s="2">
        <f>IF(Q785="YES",G785*0.9,G785)</f>
        <v>188.87400000000002</v>
      </c>
      <c r="S1259" s="2">
        <f>J785*G785</f>
        <v>38404.380000000005</v>
      </c>
      <c r="T1259" s="1">
        <f ca="1">TODAY()-DATE(MID(O785,7,4),MID(O785,4,2),LEFT(O785,2))</f>
        <v>63</v>
      </c>
      <c r="U1259" s="1" t="s">
        <v>34</v>
      </c>
      <c r="V1259" s="1" t="s">
        <v>34</v>
      </c>
      <c r="W1259" s="1" t="s">
        <v>34</v>
      </c>
      <c r="X1259" t="s">
        <v>2695</v>
      </c>
      <c r="Y1259" s="1">
        <v>7.5</v>
      </c>
    </row>
    <row r="1260" spans="1:25" x14ac:dyDescent="0.3">
      <c r="A1260" s="1" t="s">
        <v>2274</v>
      </c>
      <c r="B1260" s="1" t="s">
        <v>237</v>
      </c>
      <c r="C1260" s="1" t="s">
        <v>238</v>
      </c>
      <c r="D1260" s="1" t="s">
        <v>85</v>
      </c>
      <c r="E1260" s="1" t="s">
        <v>74</v>
      </c>
      <c r="F1260" s="1" t="s">
        <v>48</v>
      </c>
      <c r="G1260" s="2">
        <v>256.26</v>
      </c>
      <c r="H1260" s="1">
        <v>7</v>
      </c>
      <c r="I1260" s="1">
        <v>218</v>
      </c>
      <c r="J1260" s="1">
        <v>200</v>
      </c>
      <c r="K1260" s="1">
        <v>105</v>
      </c>
      <c r="L1260" s="1">
        <v>65</v>
      </c>
      <c r="M1260" s="1" t="s">
        <v>31</v>
      </c>
      <c r="N1260" s="1" t="s">
        <v>32</v>
      </c>
      <c r="O1260" t="s">
        <v>311</v>
      </c>
      <c r="P1260" s="2">
        <v>179.38</v>
      </c>
      <c r="Q1260" s="1" t="str">
        <f>IF(J445&gt;K445,"YES","NO")</f>
        <v>YES</v>
      </c>
      <c r="R1260" s="2">
        <f>IF(Q445="YES",G445*0.9,G445)</f>
        <v>230.63399999999999</v>
      </c>
      <c r="S1260" s="2">
        <f>J445*G445</f>
        <v>51252</v>
      </c>
      <c r="T1260" s="1">
        <f ca="1">TODAY()-DATE(MID(O445,7,4),MID(O445,4,2),LEFT(O445,2))</f>
        <v>80</v>
      </c>
      <c r="U1260" s="1" t="s">
        <v>34</v>
      </c>
      <c r="V1260" s="1" t="s">
        <v>34</v>
      </c>
      <c r="W1260" s="1" t="s">
        <v>34</v>
      </c>
      <c r="X1260" t="s">
        <v>2853</v>
      </c>
      <c r="Y1260" s="1">
        <v>7.5</v>
      </c>
    </row>
    <row r="1261" spans="1:25" x14ac:dyDescent="0.3">
      <c r="A1261" s="1" t="s">
        <v>2275</v>
      </c>
      <c r="B1261" s="1" t="s">
        <v>123</v>
      </c>
      <c r="C1261" s="1" t="s">
        <v>124</v>
      </c>
      <c r="D1261" s="1" t="s">
        <v>47</v>
      </c>
      <c r="E1261" s="1" t="s">
        <v>40</v>
      </c>
      <c r="F1261" s="1" t="s">
        <v>48</v>
      </c>
      <c r="G1261" s="2">
        <v>209.93</v>
      </c>
      <c r="H1261" s="1">
        <v>17</v>
      </c>
      <c r="I1261" s="1">
        <v>136</v>
      </c>
      <c r="J1261" s="1">
        <v>110</v>
      </c>
      <c r="K1261" s="1">
        <v>92</v>
      </c>
      <c r="L1261" s="1">
        <v>126</v>
      </c>
      <c r="M1261" s="1" t="s">
        <v>31</v>
      </c>
      <c r="N1261" s="1" t="s">
        <v>60</v>
      </c>
      <c r="O1261" t="s">
        <v>340</v>
      </c>
      <c r="P1261" s="2">
        <v>146.94999999999999</v>
      </c>
      <c r="Q1261" s="1" t="str">
        <f>IF(J551&gt;K551,"YES","NO")</f>
        <v>YES</v>
      </c>
      <c r="R1261" s="2">
        <f>IF(Q551="YES",G551*0.9,G551)</f>
        <v>188.93700000000001</v>
      </c>
      <c r="S1261" s="2">
        <f>J551*G551</f>
        <v>23092.3</v>
      </c>
      <c r="T1261" s="1">
        <f ca="1">TODAY()-DATE(MID(O551,7,4),MID(O551,4,2),LEFT(O551,2))</f>
        <v>138</v>
      </c>
      <c r="U1261" s="1" t="s">
        <v>34</v>
      </c>
      <c r="V1261" s="1" t="s">
        <v>34</v>
      </c>
      <c r="W1261" s="1" t="s">
        <v>34</v>
      </c>
      <c r="X1261" t="s">
        <v>2790</v>
      </c>
      <c r="Y1261" s="1">
        <v>5.5</v>
      </c>
    </row>
    <row r="1262" spans="1:25" x14ac:dyDescent="0.3">
      <c r="A1262" s="1" t="s">
        <v>2276</v>
      </c>
      <c r="B1262" s="1" t="s">
        <v>130</v>
      </c>
      <c r="C1262" s="1" t="s">
        <v>131</v>
      </c>
      <c r="D1262" s="1" t="s">
        <v>132</v>
      </c>
      <c r="E1262" s="1" t="s">
        <v>74</v>
      </c>
      <c r="F1262" s="1" t="s">
        <v>30</v>
      </c>
      <c r="G1262" s="2">
        <v>69.16</v>
      </c>
      <c r="H1262" s="1">
        <v>6</v>
      </c>
      <c r="I1262" s="1">
        <v>190</v>
      </c>
      <c r="J1262" s="1">
        <v>186</v>
      </c>
      <c r="K1262" s="1">
        <v>102</v>
      </c>
      <c r="L1262" s="1">
        <v>85</v>
      </c>
      <c r="M1262" s="1" t="s">
        <v>41</v>
      </c>
      <c r="N1262" s="1" t="s">
        <v>42</v>
      </c>
      <c r="O1262" t="s">
        <v>254</v>
      </c>
      <c r="P1262" s="2">
        <v>48.41</v>
      </c>
      <c r="Q1262" s="1" t="str">
        <f>IF(J293&gt;K293,"YES","NO")</f>
        <v>YES</v>
      </c>
      <c r="R1262" s="2">
        <f>IF(Q293="YES",G293*0.9,G293)</f>
        <v>62.244</v>
      </c>
      <c r="S1262" s="2">
        <f>J293*G293</f>
        <v>12863.76</v>
      </c>
      <c r="T1262" s="1">
        <f ca="1">TODAY()-DATE(MID(O293,7,4),MID(O293,4,2),LEFT(O293,2))</f>
        <v>145</v>
      </c>
      <c r="U1262" s="1" t="s">
        <v>34</v>
      </c>
      <c r="V1262" s="1" t="s">
        <v>34</v>
      </c>
      <c r="W1262" s="1" t="s">
        <v>34</v>
      </c>
      <c r="X1262" t="s">
        <v>2879</v>
      </c>
      <c r="Y1262" s="1">
        <v>6.5</v>
      </c>
    </row>
    <row r="1263" spans="1:25" x14ac:dyDescent="0.3">
      <c r="A1263" s="1" t="s">
        <v>2277</v>
      </c>
      <c r="B1263" s="1" t="s">
        <v>72</v>
      </c>
      <c r="C1263" s="1" t="s">
        <v>73</v>
      </c>
      <c r="D1263" s="1" t="s">
        <v>47</v>
      </c>
      <c r="E1263" s="1" t="s">
        <v>40</v>
      </c>
      <c r="F1263" s="1" t="s">
        <v>30</v>
      </c>
      <c r="G1263" s="2">
        <v>305.82</v>
      </c>
      <c r="H1263" s="1">
        <v>10</v>
      </c>
      <c r="I1263" s="1">
        <v>140</v>
      </c>
      <c r="J1263" s="1">
        <v>111</v>
      </c>
      <c r="K1263" s="1">
        <v>107</v>
      </c>
      <c r="L1263" s="1">
        <v>80</v>
      </c>
      <c r="M1263" s="1" t="s">
        <v>49</v>
      </c>
      <c r="N1263" s="1" t="s">
        <v>42</v>
      </c>
      <c r="O1263" t="s">
        <v>50</v>
      </c>
      <c r="P1263" s="2">
        <v>214.07</v>
      </c>
      <c r="Q1263" s="1" t="str">
        <f>IF(J781&gt;K781,"YES","NO")</f>
        <v>YES</v>
      </c>
      <c r="R1263" s="2">
        <f>IF(Q781="YES",G781*0.9,G781)</f>
        <v>275.238</v>
      </c>
      <c r="S1263" s="2">
        <f>J781*G781</f>
        <v>33946.019999999997</v>
      </c>
      <c r="T1263" s="1">
        <f ca="1">TODAY()-DATE(MID(O781,7,4),MID(O781,4,2),LEFT(O781,2))</f>
        <v>114</v>
      </c>
      <c r="U1263" s="1" t="s">
        <v>34</v>
      </c>
      <c r="V1263" s="1" t="s">
        <v>34</v>
      </c>
      <c r="W1263" s="1" t="s">
        <v>34</v>
      </c>
      <c r="X1263" t="s">
        <v>2858</v>
      </c>
      <c r="Y1263" s="1">
        <v>5.5</v>
      </c>
    </row>
    <row r="1264" spans="1:25" x14ac:dyDescent="0.3">
      <c r="A1264" s="1" t="s">
        <v>2278</v>
      </c>
      <c r="B1264" s="1" t="s">
        <v>262</v>
      </c>
      <c r="C1264" s="1" t="s">
        <v>263</v>
      </c>
      <c r="D1264" s="1" t="s">
        <v>104</v>
      </c>
      <c r="E1264" s="1" t="s">
        <v>74</v>
      </c>
      <c r="F1264" s="1" t="s">
        <v>30</v>
      </c>
      <c r="G1264" s="2">
        <v>144.44999999999999</v>
      </c>
      <c r="H1264" s="1">
        <v>14</v>
      </c>
      <c r="I1264" s="1">
        <v>271</v>
      </c>
      <c r="J1264" s="1">
        <v>254</v>
      </c>
      <c r="K1264" s="1">
        <v>94</v>
      </c>
      <c r="L1264" s="1">
        <v>76</v>
      </c>
      <c r="M1264" s="1" t="s">
        <v>31</v>
      </c>
      <c r="N1264" s="1" t="s">
        <v>42</v>
      </c>
      <c r="O1264" t="s">
        <v>105</v>
      </c>
      <c r="P1264" s="2">
        <v>101.11</v>
      </c>
      <c r="Q1264" s="1" t="str">
        <f>IF(J448&gt;K448,"YES","NO")</f>
        <v>YES</v>
      </c>
      <c r="R1264" s="2">
        <f>IF(Q448="YES",G448*0.9,G448)</f>
        <v>130.005</v>
      </c>
      <c r="S1264" s="2">
        <f>J448*G448</f>
        <v>36690.299999999996</v>
      </c>
      <c r="T1264" s="1">
        <f ca="1">TODAY()-DATE(MID(O448,7,4),MID(O448,4,2),LEFT(O448,2))</f>
        <v>144</v>
      </c>
      <c r="U1264" s="1" t="s">
        <v>34</v>
      </c>
      <c r="V1264" s="1" t="s">
        <v>34</v>
      </c>
      <c r="W1264" s="1" t="s">
        <v>34</v>
      </c>
      <c r="X1264" t="s">
        <v>2639</v>
      </c>
      <c r="Y1264" s="1">
        <v>9</v>
      </c>
    </row>
    <row r="1265" spans="1:25" x14ac:dyDescent="0.3">
      <c r="A1265" s="1" t="s">
        <v>2279</v>
      </c>
      <c r="B1265" s="1" t="s">
        <v>102</v>
      </c>
      <c r="C1265" s="1" t="s">
        <v>103</v>
      </c>
      <c r="D1265" s="1" t="s">
        <v>104</v>
      </c>
      <c r="E1265" s="1" t="s">
        <v>74</v>
      </c>
      <c r="F1265" s="1" t="s">
        <v>48</v>
      </c>
      <c r="G1265" s="2">
        <v>400.36</v>
      </c>
      <c r="H1265" s="1">
        <v>0</v>
      </c>
      <c r="I1265" s="1">
        <v>165</v>
      </c>
      <c r="J1265" s="1">
        <v>137</v>
      </c>
      <c r="K1265" s="1">
        <v>50</v>
      </c>
      <c r="L1265" s="1">
        <v>101</v>
      </c>
      <c r="M1265" s="1" t="s">
        <v>41</v>
      </c>
      <c r="N1265" s="1" t="s">
        <v>32</v>
      </c>
      <c r="O1265" t="s">
        <v>185</v>
      </c>
      <c r="P1265" s="2">
        <v>280.25</v>
      </c>
      <c r="Q1265" s="1" t="str">
        <f>IF(J179&gt;K179,"YES","NO")</f>
        <v>YES</v>
      </c>
      <c r="R1265" s="2">
        <f>IF(Q179="YES",G179*0.9,G179)</f>
        <v>360.32400000000001</v>
      </c>
      <c r="S1265" s="2">
        <f>J179*G179</f>
        <v>54849.32</v>
      </c>
      <c r="T1265" s="1">
        <f ca="1">TODAY()-DATE(MID(O179,7,4),MID(O179,4,2),LEFT(O179,2))</f>
        <v>104</v>
      </c>
      <c r="U1265" s="1" t="s">
        <v>34</v>
      </c>
      <c r="V1265" s="1" t="s">
        <v>34</v>
      </c>
      <c r="W1265" s="1" t="s">
        <v>34</v>
      </c>
      <c r="X1265" t="s">
        <v>2859</v>
      </c>
      <c r="Y1265" s="1">
        <v>9.5</v>
      </c>
    </row>
    <row r="1266" spans="1:25" x14ac:dyDescent="0.3">
      <c r="A1266" s="1" t="s">
        <v>2280</v>
      </c>
      <c r="B1266" s="1" t="s">
        <v>37</v>
      </c>
      <c r="C1266" s="1" t="s">
        <v>38</v>
      </c>
      <c r="D1266" s="1" t="s">
        <v>39</v>
      </c>
      <c r="E1266" s="1" t="s">
        <v>74</v>
      </c>
      <c r="F1266" s="1" t="s">
        <v>48</v>
      </c>
      <c r="G1266" s="2">
        <v>44.63</v>
      </c>
      <c r="H1266" s="1">
        <v>6</v>
      </c>
      <c r="I1266" s="1">
        <v>91</v>
      </c>
      <c r="J1266" s="1">
        <v>66</v>
      </c>
      <c r="K1266" s="1">
        <v>72</v>
      </c>
      <c r="L1266" s="1">
        <v>122</v>
      </c>
      <c r="M1266" s="1" t="s">
        <v>49</v>
      </c>
      <c r="N1266" s="1" t="s">
        <v>60</v>
      </c>
      <c r="O1266" t="s">
        <v>139</v>
      </c>
      <c r="P1266" s="2">
        <v>31.24</v>
      </c>
      <c r="Q1266" s="1" t="str">
        <f>IF(J372&gt;K372,"YES","NO")</f>
        <v>NO</v>
      </c>
      <c r="R1266" s="2">
        <f>IF(Q372="YES",G372*0.9,G372)</f>
        <v>44.63</v>
      </c>
      <c r="S1266" s="2">
        <f>J372*G372</f>
        <v>2945.5800000000004</v>
      </c>
      <c r="T1266" s="1">
        <f ca="1">TODAY()-DATE(MID(O372,7,4),MID(O372,4,2),LEFT(O372,2))</f>
        <v>75</v>
      </c>
      <c r="U1266" s="1" t="s">
        <v>34</v>
      </c>
      <c r="V1266" s="1" t="s">
        <v>34</v>
      </c>
      <c r="W1266" s="1" t="s">
        <v>34</v>
      </c>
      <c r="X1266" t="s">
        <v>2818</v>
      </c>
      <c r="Y1266" s="1">
        <v>6</v>
      </c>
    </row>
    <row r="1267" spans="1:25" x14ac:dyDescent="0.3">
      <c r="A1267" s="1" t="s">
        <v>2281</v>
      </c>
      <c r="B1267" s="1" t="s">
        <v>237</v>
      </c>
      <c r="C1267" s="1" t="s">
        <v>238</v>
      </c>
      <c r="D1267" s="1" t="s">
        <v>85</v>
      </c>
      <c r="E1267" s="1" t="s">
        <v>74</v>
      </c>
      <c r="F1267" s="1" t="s">
        <v>54</v>
      </c>
      <c r="G1267" s="2">
        <v>499.31</v>
      </c>
      <c r="H1267" s="1">
        <v>20</v>
      </c>
      <c r="I1267" s="1">
        <v>103</v>
      </c>
      <c r="J1267" s="1">
        <v>101</v>
      </c>
      <c r="K1267" s="1">
        <v>83</v>
      </c>
      <c r="L1267" s="1">
        <v>144</v>
      </c>
      <c r="M1267" s="1" t="s">
        <v>31</v>
      </c>
      <c r="N1267" s="1" t="s">
        <v>32</v>
      </c>
      <c r="O1267" t="s">
        <v>135</v>
      </c>
      <c r="P1267" s="2">
        <v>349.52</v>
      </c>
      <c r="Q1267" s="1" t="str">
        <f>IF(J773&gt;K773,"YES","NO")</f>
        <v>YES</v>
      </c>
      <c r="R1267" s="2">
        <f>IF(Q773="YES",G773*0.9,G773)</f>
        <v>449.37900000000002</v>
      </c>
      <c r="S1267" s="2">
        <f>J773*G773</f>
        <v>50430.31</v>
      </c>
      <c r="T1267" s="1">
        <f ca="1">TODAY()-DATE(MID(O773,7,4),MID(O773,4,2),LEFT(O773,2))</f>
        <v>71</v>
      </c>
      <c r="U1267" s="1" t="s">
        <v>34</v>
      </c>
      <c r="V1267" s="1" t="s">
        <v>34</v>
      </c>
      <c r="W1267" s="1" t="s">
        <v>34</v>
      </c>
      <c r="X1267" t="s">
        <v>2795</v>
      </c>
      <c r="Y1267" s="1">
        <v>6.5</v>
      </c>
    </row>
    <row r="1268" spans="1:25" x14ac:dyDescent="0.3">
      <c r="A1268" s="1" t="s">
        <v>2282</v>
      </c>
      <c r="B1268" s="1" t="s">
        <v>192</v>
      </c>
      <c r="C1268" s="1" t="s">
        <v>193</v>
      </c>
      <c r="D1268" s="1" t="s">
        <v>85</v>
      </c>
      <c r="E1268" s="1" t="s">
        <v>74</v>
      </c>
      <c r="F1268" s="1" t="s">
        <v>48</v>
      </c>
      <c r="G1268" s="2">
        <v>49.46</v>
      </c>
      <c r="H1268" s="1">
        <v>10</v>
      </c>
      <c r="I1268" s="1">
        <v>224</v>
      </c>
      <c r="J1268" s="1">
        <v>201</v>
      </c>
      <c r="K1268" s="1">
        <v>43</v>
      </c>
      <c r="L1268" s="1">
        <v>58</v>
      </c>
      <c r="M1268" s="1" t="s">
        <v>49</v>
      </c>
      <c r="N1268" s="1" t="s">
        <v>60</v>
      </c>
      <c r="O1268" t="s">
        <v>347</v>
      </c>
      <c r="P1268" s="2">
        <v>34.619999999999997</v>
      </c>
      <c r="Q1268" s="1" t="str">
        <f>IF(J641&gt;K641,"YES","NO")</f>
        <v>YES</v>
      </c>
      <c r="R1268" s="2">
        <f>IF(Q641="YES",G641*0.9,G641)</f>
        <v>44.514000000000003</v>
      </c>
      <c r="S1268" s="2">
        <f>J641*G641</f>
        <v>9941.4600000000009</v>
      </c>
      <c r="T1268" s="1">
        <f ca="1">TODAY()-DATE(MID(O641,7,4),MID(O641,4,2),LEFT(O641,2))</f>
        <v>79</v>
      </c>
      <c r="U1268" s="1" t="s">
        <v>34</v>
      </c>
      <c r="V1268" s="1" t="s">
        <v>34</v>
      </c>
      <c r="W1268" s="1" t="s">
        <v>34</v>
      </c>
      <c r="X1268" t="s">
        <v>2914</v>
      </c>
      <c r="Y1268" s="1">
        <v>5.5</v>
      </c>
    </row>
    <row r="1269" spans="1:25" x14ac:dyDescent="0.3">
      <c r="A1269" s="1" t="s">
        <v>2283</v>
      </c>
      <c r="B1269" s="1" t="s">
        <v>126</v>
      </c>
      <c r="C1269" s="1" t="s">
        <v>127</v>
      </c>
      <c r="D1269" s="1" t="s">
        <v>85</v>
      </c>
      <c r="E1269" s="1" t="s">
        <v>74</v>
      </c>
      <c r="F1269" s="1" t="s">
        <v>30</v>
      </c>
      <c r="G1269" s="2">
        <v>186.59</v>
      </c>
      <c r="H1269" s="1">
        <v>2</v>
      </c>
      <c r="I1269" s="1">
        <v>167</v>
      </c>
      <c r="J1269" s="1">
        <v>141</v>
      </c>
      <c r="K1269" s="1">
        <v>100</v>
      </c>
      <c r="L1269" s="1">
        <v>67</v>
      </c>
      <c r="M1269" s="1" t="s">
        <v>31</v>
      </c>
      <c r="N1269" s="1" t="s">
        <v>42</v>
      </c>
      <c r="O1269" t="s">
        <v>220</v>
      </c>
      <c r="P1269" s="2">
        <v>130.61000000000001</v>
      </c>
      <c r="Q1269" s="1" t="str">
        <f>IF(J539&gt;K539,"YES","NO")</f>
        <v>YES</v>
      </c>
      <c r="R1269" s="2">
        <f>IF(Q539="YES",G539*0.9,G539)</f>
        <v>167.93100000000001</v>
      </c>
      <c r="S1269" s="2">
        <f>J539*G539</f>
        <v>26309.19</v>
      </c>
      <c r="T1269" s="1">
        <f ca="1">TODAY()-DATE(MID(O539,7,4),MID(O539,4,2),LEFT(O539,2))</f>
        <v>106</v>
      </c>
      <c r="U1269" s="1" t="s">
        <v>34</v>
      </c>
      <c r="V1269" s="1" t="s">
        <v>34</v>
      </c>
      <c r="W1269" s="1" t="s">
        <v>34</v>
      </c>
      <c r="X1269" t="s">
        <v>2650</v>
      </c>
      <c r="Y1269" s="1">
        <v>9.5</v>
      </c>
    </row>
    <row r="1270" spans="1:25" x14ac:dyDescent="0.3">
      <c r="A1270" s="1" t="s">
        <v>2284</v>
      </c>
      <c r="B1270" s="1" t="s">
        <v>143</v>
      </c>
      <c r="C1270" s="1" t="s">
        <v>144</v>
      </c>
      <c r="D1270" s="1" t="s">
        <v>47</v>
      </c>
      <c r="E1270" s="1" t="s">
        <v>29</v>
      </c>
      <c r="F1270" s="1" t="s">
        <v>30</v>
      </c>
      <c r="G1270" s="2">
        <v>61.9</v>
      </c>
      <c r="H1270" s="1">
        <v>9</v>
      </c>
      <c r="I1270" s="1">
        <v>252</v>
      </c>
      <c r="J1270" s="1">
        <v>227</v>
      </c>
      <c r="K1270" s="1">
        <v>109</v>
      </c>
      <c r="L1270" s="1">
        <v>139</v>
      </c>
      <c r="M1270" s="1" t="s">
        <v>31</v>
      </c>
      <c r="N1270" s="1" t="s">
        <v>32</v>
      </c>
      <c r="O1270" t="s">
        <v>105</v>
      </c>
      <c r="P1270" s="2">
        <v>43.33</v>
      </c>
      <c r="Q1270" s="1" t="str">
        <f>IF(J354&gt;K354,"YES","NO")</f>
        <v>YES</v>
      </c>
      <c r="R1270" s="2">
        <f>IF(Q354="YES",G354*0.9,G354)</f>
        <v>55.71</v>
      </c>
      <c r="S1270" s="2">
        <f>J354*G354</f>
        <v>14051.3</v>
      </c>
      <c r="T1270" s="1">
        <f ca="1">TODAY()-DATE(MID(O354,7,4),MID(O354,4,2),LEFT(O354,2))</f>
        <v>144</v>
      </c>
      <c r="U1270" s="1" t="s">
        <v>34</v>
      </c>
      <c r="V1270" s="1" t="s">
        <v>34</v>
      </c>
      <c r="W1270" s="1" t="s">
        <v>34</v>
      </c>
      <c r="X1270" t="s">
        <v>2792</v>
      </c>
      <c r="Y1270" s="1">
        <v>7</v>
      </c>
    </row>
    <row r="1271" spans="1:25" x14ac:dyDescent="0.3">
      <c r="A1271" s="1" t="s">
        <v>2285</v>
      </c>
      <c r="B1271" s="1" t="s">
        <v>299</v>
      </c>
      <c r="C1271" s="1" t="s">
        <v>300</v>
      </c>
      <c r="D1271" s="1" t="s">
        <v>39</v>
      </c>
      <c r="E1271" s="1" t="s">
        <v>29</v>
      </c>
      <c r="F1271" s="1" t="s">
        <v>54</v>
      </c>
      <c r="G1271" s="2">
        <v>324.25</v>
      </c>
      <c r="H1271" s="1">
        <v>18</v>
      </c>
      <c r="I1271" s="1">
        <v>192</v>
      </c>
      <c r="J1271" s="1">
        <v>185</v>
      </c>
      <c r="K1271" s="1">
        <v>64</v>
      </c>
      <c r="L1271" s="1">
        <v>140</v>
      </c>
      <c r="M1271" s="1" t="s">
        <v>41</v>
      </c>
      <c r="N1271" s="1" t="s">
        <v>42</v>
      </c>
      <c r="O1271" t="s">
        <v>333</v>
      </c>
      <c r="P1271" s="2">
        <v>226.97</v>
      </c>
      <c r="Q1271" s="1" t="str">
        <f>IF(J229&gt;K229,"YES","NO")</f>
        <v>YES</v>
      </c>
      <c r="R1271" s="2">
        <f>IF(Q229="YES",G229*0.9,G229)</f>
        <v>291.82499999999999</v>
      </c>
      <c r="S1271" s="2">
        <f>J229*G229</f>
        <v>59986.25</v>
      </c>
      <c r="T1271" s="1">
        <f ca="1">TODAY()-DATE(MID(O229,7,4),MID(O229,4,2),LEFT(O229,2))</f>
        <v>109</v>
      </c>
      <c r="U1271" s="1" t="s">
        <v>34</v>
      </c>
      <c r="V1271" s="1" t="s">
        <v>34</v>
      </c>
      <c r="W1271" s="1" t="s">
        <v>34</v>
      </c>
      <c r="X1271" t="s">
        <v>2867</v>
      </c>
      <c r="Y1271" s="1">
        <v>9.5</v>
      </c>
    </row>
    <row r="1272" spans="1:25" x14ac:dyDescent="0.3">
      <c r="A1272" s="1" t="s">
        <v>2286</v>
      </c>
      <c r="B1272" s="1" t="s">
        <v>126</v>
      </c>
      <c r="C1272" s="1" t="s">
        <v>127</v>
      </c>
      <c r="D1272" s="1" t="s">
        <v>85</v>
      </c>
      <c r="E1272" s="1" t="s">
        <v>40</v>
      </c>
      <c r="F1272" s="1" t="s">
        <v>54</v>
      </c>
      <c r="G1272" s="2">
        <v>403.12</v>
      </c>
      <c r="H1272" s="1">
        <v>19</v>
      </c>
      <c r="I1272" s="1">
        <v>87</v>
      </c>
      <c r="J1272" s="1">
        <v>70</v>
      </c>
      <c r="K1272" s="1">
        <v>96</v>
      </c>
      <c r="L1272" s="1">
        <v>117</v>
      </c>
      <c r="M1272" s="1" t="s">
        <v>41</v>
      </c>
      <c r="N1272" s="1" t="s">
        <v>60</v>
      </c>
      <c r="O1272" t="s">
        <v>455</v>
      </c>
      <c r="P1272" s="2">
        <v>282.18</v>
      </c>
      <c r="Q1272" s="1" t="str">
        <f>IF(J307&gt;K307,"YES","NO")</f>
        <v>NO</v>
      </c>
      <c r="R1272" s="2">
        <f>IF(Q307="YES",G307*0.9,G307)</f>
        <v>403.12</v>
      </c>
      <c r="S1272" s="2">
        <f>J307*G307</f>
        <v>28218.400000000001</v>
      </c>
      <c r="T1272" s="1">
        <f ca="1">TODAY()-DATE(MID(O307,7,4),MID(O307,4,2),LEFT(O307,2))</f>
        <v>112</v>
      </c>
      <c r="U1272" s="1" t="s">
        <v>34</v>
      </c>
      <c r="V1272" s="1" t="s">
        <v>34</v>
      </c>
      <c r="W1272" s="1" t="s">
        <v>34</v>
      </c>
      <c r="X1272" t="s">
        <v>2642</v>
      </c>
      <c r="Y1272" s="1">
        <v>8.5</v>
      </c>
    </row>
    <row r="1273" spans="1:25" x14ac:dyDescent="0.3">
      <c r="A1273" s="1" t="s">
        <v>2287</v>
      </c>
      <c r="B1273" s="1" t="s">
        <v>192</v>
      </c>
      <c r="C1273" s="1" t="s">
        <v>193</v>
      </c>
      <c r="D1273" s="1" t="s">
        <v>85</v>
      </c>
      <c r="E1273" s="1" t="s">
        <v>74</v>
      </c>
      <c r="F1273" s="1" t="s">
        <v>54</v>
      </c>
      <c r="G1273" s="2">
        <v>393.07</v>
      </c>
      <c r="H1273" s="1">
        <v>22</v>
      </c>
      <c r="I1273" s="1">
        <v>227</v>
      </c>
      <c r="J1273" s="1">
        <v>223</v>
      </c>
      <c r="K1273" s="1">
        <v>84</v>
      </c>
      <c r="L1273" s="1">
        <v>139</v>
      </c>
      <c r="M1273" s="1" t="s">
        <v>41</v>
      </c>
      <c r="N1273" s="1" t="s">
        <v>32</v>
      </c>
      <c r="O1273" t="s">
        <v>264</v>
      </c>
      <c r="P1273" s="2">
        <v>275.14999999999998</v>
      </c>
      <c r="Q1273" s="1" t="str">
        <f>IF(J799&gt;K799,"YES","NO")</f>
        <v>YES</v>
      </c>
      <c r="R1273" s="2">
        <f>IF(Q799="YES",G799*0.9,G799)</f>
        <v>353.76299999999998</v>
      </c>
      <c r="S1273" s="2">
        <f>J799*G799</f>
        <v>87654.61</v>
      </c>
      <c r="T1273" s="1">
        <f ca="1">TODAY()-DATE(MID(O799,7,4),MID(O799,4,2),LEFT(O799,2))</f>
        <v>84</v>
      </c>
      <c r="U1273" s="1" t="s">
        <v>34</v>
      </c>
      <c r="V1273" s="1" t="s">
        <v>34</v>
      </c>
      <c r="W1273" s="1" t="s">
        <v>34</v>
      </c>
      <c r="X1273" t="s">
        <v>2578</v>
      </c>
      <c r="Y1273" s="1">
        <v>9.5</v>
      </c>
    </row>
    <row r="1274" spans="1:25" x14ac:dyDescent="0.3">
      <c r="A1274" s="1" t="s">
        <v>2288</v>
      </c>
      <c r="B1274" s="1" t="s">
        <v>63</v>
      </c>
      <c r="C1274" s="1" t="s">
        <v>64</v>
      </c>
      <c r="D1274" s="1" t="s">
        <v>28</v>
      </c>
      <c r="E1274" s="1" t="s">
        <v>29</v>
      </c>
      <c r="F1274" s="1" t="s">
        <v>48</v>
      </c>
      <c r="G1274" s="2">
        <v>172.66</v>
      </c>
      <c r="H1274" s="1">
        <v>16</v>
      </c>
      <c r="I1274" s="1">
        <v>170</v>
      </c>
      <c r="J1274" s="1">
        <v>142</v>
      </c>
      <c r="K1274" s="1">
        <v>82</v>
      </c>
      <c r="L1274" s="1">
        <v>123</v>
      </c>
      <c r="M1274" s="1" t="s">
        <v>41</v>
      </c>
      <c r="N1274" s="1" t="s">
        <v>32</v>
      </c>
      <c r="O1274" t="s">
        <v>121</v>
      </c>
      <c r="P1274" s="2">
        <v>120.86</v>
      </c>
      <c r="Q1274" s="1" t="str">
        <f>IF(J326&gt;K326,"YES","NO")</f>
        <v>YES</v>
      </c>
      <c r="R1274" s="2">
        <f>IF(Q326="YES",G326*0.9,G326)</f>
        <v>155.39400000000001</v>
      </c>
      <c r="S1274" s="2">
        <f>J326*G326</f>
        <v>24517.72</v>
      </c>
      <c r="T1274" s="1">
        <f ca="1">TODAY()-DATE(MID(O326,7,4),MID(O326,4,2),LEFT(O326,2))</f>
        <v>130</v>
      </c>
      <c r="U1274" s="1" t="s">
        <v>34</v>
      </c>
      <c r="V1274" s="1" t="s">
        <v>34</v>
      </c>
      <c r="W1274" s="1" t="s">
        <v>34</v>
      </c>
      <c r="X1274" t="s">
        <v>2802</v>
      </c>
      <c r="Y1274" s="1">
        <v>8</v>
      </c>
    </row>
    <row r="1275" spans="1:25" x14ac:dyDescent="0.3">
      <c r="A1275" s="1" t="s">
        <v>2289</v>
      </c>
      <c r="B1275" s="1" t="s">
        <v>111</v>
      </c>
      <c r="C1275" s="1" t="s">
        <v>112</v>
      </c>
      <c r="D1275" s="1" t="s">
        <v>97</v>
      </c>
      <c r="E1275" s="1" t="s">
        <v>29</v>
      </c>
      <c r="F1275" s="1" t="s">
        <v>54</v>
      </c>
      <c r="G1275" s="2">
        <v>411.22</v>
      </c>
      <c r="H1275" s="1">
        <v>2</v>
      </c>
      <c r="I1275" s="1">
        <v>172</v>
      </c>
      <c r="J1275" s="1">
        <v>160</v>
      </c>
      <c r="K1275" s="1">
        <v>90</v>
      </c>
      <c r="L1275" s="1">
        <v>96</v>
      </c>
      <c r="M1275" s="1" t="s">
        <v>41</v>
      </c>
      <c r="N1275" s="1" t="s">
        <v>60</v>
      </c>
      <c r="O1275" t="s">
        <v>35</v>
      </c>
      <c r="P1275" s="2">
        <v>287.85000000000002</v>
      </c>
      <c r="Q1275" s="1" t="str">
        <f>IF(J108&gt;K108,"YES","NO")</f>
        <v>YES</v>
      </c>
      <c r="R1275" s="2">
        <f>IF(Q108="YES",G108*0.9,G108)</f>
        <v>370.09800000000001</v>
      </c>
      <c r="S1275" s="2">
        <f>J108*G108</f>
        <v>65795.200000000012</v>
      </c>
      <c r="T1275" s="1">
        <f ca="1">TODAY()-DATE(MID(O108,7,4),MID(O108,4,2),LEFT(O108,2))</f>
        <v>85</v>
      </c>
      <c r="U1275" s="1" t="s">
        <v>34</v>
      </c>
      <c r="V1275" s="1" t="s">
        <v>34</v>
      </c>
      <c r="W1275" s="1" t="s">
        <v>34</v>
      </c>
      <c r="X1275" t="s">
        <v>2719</v>
      </c>
      <c r="Y1275" s="1">
        <v>9</v>
      </c>
    </row>
    <row r="1276" spans="1:25" x14ac:dyDescent="0.3">
      <c r="A1276" s="1" t="s">
        <v>2290</v>
      </c>
      <c r="B1276" s="1" t="s">
        <v>118</v>
      </c>
      <c r="C1276" s="1" t="s">
        <v>119</v>
      </c>
      <c r="D1276" s="1" t="s">
        <v>97</v>
      </c>
      <c r="E1276" s="1" t="s">
        <v>29</v>
      </c>
      <c r="F1276" s="1" t="s">
        <v>54</v>
      </c>
      <c r="G1276" s="2">
        <v>393.71</v>
      </c>
      <c r="H1276" s="1">
        <v>6</v>
      </c>
      <c r="I1276" s="1">
        <v>280</v>
      </c>
      <c r="J1276" s="1">
        <v>243</v>
      </c>
      <c r="K1276" s="1">
        <v>90</v>
      </c>
      <c r="L1276" s="1">
        <v>61</v>
      </c>
      <c r="M1276" s="1" t="s">
        <v>41</v>
      </c>
      <c r="N1276" s="1" t="s">
        <v>60</v>
      </c>
      <c r="O1276" t="s">
        <v>161</v>
      </c>
      <c r="P1276" s="2">
        <v>275.60000000000002</v>
      </c>
      <c r="Q1276" s="1" t="str">
        <f>IF(J99&gt;K99,"YES","NO")</f>
        <v>YES</v>
      </c>
      <c r="R1276" s="2">
        <f>IF(Q99="YES",G99*0.9,G99)</f>
        <v>354.339</v>
      </c>
      <c r="S1276" s="2">
        <f>J99*G99</f>
        <v>95671.53</v>
      </c>
      <c r="T1276" s="1">
        <f ca="1">TODAY()-DATE(MID(O99,7,4),MID(O99,4,2),LEFT(O99,2))</f>
        <v>69</v>
      </c>
      <c r="U1276" s="1" t="s">
        <v>34</v>
      </c>
      <c r="V1276" s="1" t="s">
        <v>34</v>
      </c>
      <c r="W1276" s="1" t="s">
        <v>34</v>
      </c>
      <c r="X1276" t="s">
        <v>2585</v>
      </c>
      <c r="Y1276" s="1">
        <v>9.5</v>
      </c>
    </row>
    <row r="1277" spans="1:25" x14ac:dyDescent="0.3">
      <c r="A1277" s="1" t="s">
        <v>2291</v>
      </c>
      <c r="B1277" s="1" t="s">
        <v>176</v>
      </c>
      <c r="C1277" s="1" t="s">
        <v>177</v>
      </c>
      <c r="D1277" s="1" t="s">
        <v>39</v>
      </c>
      <c r="E1277" s="1" t="s">
        <v>74</v>
      </c>
      <c r="F1277" s="1" t="s">
        <v>48</v>
      </c>
      <c r="G1277" s="2">
        <v>482.38</v>
      </c>
      <c r="H1277" s="1">
        <v>18</v>
      </c>
      <c r="I1277" s="1">
        <v>250</v>
      </c>
      <c r="J1277" s="1">
        <v>215</v>
      </c>
      <c r="K1277" s="1">
        <v>58</v>
      </c>
      <c r="L1277" s="1">
        <v>76</v>
      </c>
      <c r="M1277" s="1" t="s">
        <v>31</v>
      </c>
      <c r="N1277" s="1" t="s">
        <v>42</v>
      </c>
      <c r="O1277" t="s">
        <v>384</v>
      </c>
      <c r="P1277" s="2">
        <v>337.67</v>
      </c>
      <c r="Q1277" s="1" t="str">
        <f>IF(J435&gt;K435,"YES","NO")</f>
        <v>YES</v>
      </c>
      <c r="R1277" s="2">
        <f>IF(Q435="YES",G435*0.9,G435)</f>
        <v>434.142</v>
      </c>
      <c r="S1277" s="2">
        <f>J435*G435</f>
        <v>103711.7</v>
      </c>
      <c r="T1277" s="1">
        <f ca="1">TODAY()-DATE(MID(O435,7,4),MID(O435,4,2),LEFT(O435,2))</f>
        <v>147</v>
      </c>
      <c r="U1277" s="1" t="s">
        <v>34</v>
      </c>
      <c r="V1277" s="1" t="s">
        <v>34</v>
      </c>
      <c r="W1277" s="1" t="s">
        <v>34</v>
      </c>
      <c r="X1277" t="s">
        <v>2915</v>
      </c>
      <c r="Y1277" s="1">
        <v>7.5</v>
      </c>
    </row>
    <row r="1278" spans="1:25" x14ac:dyDescent="0.3">
      <c r="A1278" s="1" t="s">
        <v>2292</v>
      </c>
      <c r="B1278" s="1" t="s">
        <v>69</v>
      </c>
      <c r="C1278" s="1" t="s">
        <v>70</v>
      </c>
      <c r="D1278" s="1" t="s">
        <v>59</v>
      </c>
      <c r="E1278" s="1" t="s">
        <v>29</v>
      </c>
      <c r="F1278" s="1" t="s">
        <v>30</v>
      </c>
      <c r="G1278" s="2">
        <v>251.43</v>
      </c>
      <c r="H1278" s="1">
        <v>23</v>
      </c>
      <c r="I1278" s="1">
        <v>189</v>
      </c>
      <c r="J1278" s="1">
        <v>179</v>
      </c>
      <c r="K1278" s="1">
        <v>92</v>
      </c>
      <c r="L1278" s="1">
        <v>76</v>
      </c>
      <c r="M1278" s="1" t="s">
        <v>31</v>
      </c>
      <c r="N1278" s="1" t="s">
        <v>42</v>
      </c>
      <c r="O1278" t="s">
        <v>195</v>
      </c>
      <c r="P1278" s="2">
        <v>176</v>
      </c>
      <c r="Q1278" s="1" t="str">
        <f>IF(J159&gt;K159,"YES","NO")</f>
        <v>YES</v>
      </c>
      <c r="R1278" s="2">
        <f>IF(Q159="YES",G159*0.9,G159)</f>
        <v>226.28700000000001</v>
      </c>
      <c r="S1278" s="2">
        <f>J159*G159</f>
        <v>45005.97</v>
      </c>
      <c r="T1278" s="1">
        <f ca="1">TODAY()-DATE(MID(O159,7,4),MID(O159,4,2),LEFT(O159,2))</f>
        <v>63</v>
      </c>
      <c r="U1278" s="1" t="s">
        <v>34</v>
      </c>
      <c r="V1278" s="1" t="s">
        <v>34</v>
      </c>
      <c r="W1278" s="1" t="s">
        <v>34</v>
      </c>
      <c r="X1278" t="s">
        <v>2847</v>
      </c>
      <c r="Y1278" s="1">
        <v>9.5</v>
      </c>
    </row>
    <row r="1279" spans="1:25" x14ac:dyDescent="0.3">
      <c r="A1279" s="1" t="s">
        <v>2293</v>
      </c>
      <c r="B1279" s="1" t="s">
        <v>123</v>
      </c>
      <c r="C1279" s="1" t="s">
        <v>124</v>
      </c>
      <c r="D1279" s="1" t="s">
        <v>47</v>
      </c>
      <c r="E1279" s="1" t="s">
        <v>29</v>
      </c>
      <c r="F1279" s="1" t="s">
        <v>30</v>
      </c>
      <c r="G1279" s="2">
        <v>209.03</v>
      </c>
      <c r="H1279" s="1">
        <v>20</v>
      </c>
      <c r="I1279" s="1">
        <v>204</v>
      </c>
      <c r="J1279" s="1">
        <v>182</v>
      </c>
      <c r="K1279" s="1">
        <v>97</v>
      </c>
      <c r="L1279" s="1">
        <v>79</v>
      </c>
      <c r="M1279" s="1" t="s">
        <v>41</v>
      </c>
      <c r="N1279" s="1" t="s">
        <v>42</v>
      </c>
      <c r="O1279" t="s">
        <v>75</v>
      </c>
      <c r="P1279" s="2">
        <v>146.32</v>
      </c>
      <c r="Q1279" s="1" t="str">
        <f>IF(J191&gt;K191,"YES","NO")</f>
        <v>YES</v>
      </c>
      <c r="R1279" s="2">
        <f>IF(Q191="YES",G191*0.9,G191)</f>
        <v>188.12700000000001</v>
      </c>
      <c r="S1279" s="2">
        <f>J191*G191</f>
        <v>38043.46</v>
      </c>
      <c r="T1279" s="1">
        <f ca="1">TODAY()-DATE(MID(O191,7,4),MID(O191,4,2),LEFT(O191,2))</f>
        <v>123</v>
      </c>
      <c r="U1279" s="1" t="s">
        <v>34</v>
      </c>
      <c r="V1279" s="1" t="s">
        <v>34</v>
      </c>
      <c r="W1279" s="1" t="s">
        <v>34</v>
      </c>
      <c r="X1279" t="s">
        <v>2572</v>
      </c>
      <c r="Y1279" s="1">
        <v>5.5</v>
      </c>
    </row>
    <row r="1280" spans="1:25" x14ac:dyDescent="0.3">
      <c r="A1280" s="1" t="s">
        <v>2294</v>
      </c>
      <c r="B1280" s="1" t="s">
        <v>118</v>
      </c>
      <c r="C1280" s="1" t="s">
        <v>119</v>
      </c>
      <c r="D1280" s="1" t="s">
        <v>97</v>
      </c>
      <c r="E1280" s="1" t="s">
        <v>74</v>
      </c>
      <c r="F1280" s="1" t="s">
        <v>48</v>
      </c>
      <c r="G1280" s="2">
        <v>362.1</v>
      </c>
      <c r="H1280" s="1">
        <v>1</v>
      </c>
      <c r="I1280" s="1">
        <v>155</v>
      </c>
      <c r="J1280" s="1">
        <v>139</v>
      </c>
      <c r="K1280" s="1">
        <v>102</v>
      </c>
      <c r="L1280" s="1">
        <v>132</v>
      </c>
      <c r="M1280" s="1" t="s">
        <v>31</v>
      </c>
      <c r="N1280" s="1" t="s">
        <v>42</v>
      </c>
      <c r="O1280" t="s">
        <v>170</v>
      </c>
      <c r="P1280" s="2">
        <v>253.47</v>
      </c>
      <c r="Q1280" s="1" t="str">
        <f>IF(J177&gt;K177,"YES","NO")</f>
        <v>YES</v>
      </c>
      <c r="R1280" s="2">
        <f>IF(Q177="YES",G177*0.9,G177)</f>
        <v>325.89000000000004</v>
      </c>
      <c r="S1280" s="2">
        <f>J177*G177</f>
        <v>50331.9</v>
      </c>
      <c r="T1280" s="1">
        <f ca="1">TODAY()-DATE(MID(O177,7,4),MID(O177,4,2),LEFT(O177,2))</f>
        <v>95</v>
      </c>
      <c r="U1280" s="1" t="s">
        <v>34</v>
      </c>
      <c r="V1280" s="1" t="s">
        <v>34</v>
      </c>
      <c r="W1280" s="1" t="s">
        <v>34</v>
      </c>
      <c r="X1280" t="s">
        <v>2517</v>
      </c>
      <c r="Y1280" s="1">
        <v>8.5</v>
      </c>
    </row>
    <row r="1281" spans="1:25" x14ac:dyDescent="0.3">
      <c r="A1281" s="1" t="s">
        <v>2295</v>
      </c>
      <c r="B1281" s="1" t="s">
        <v>123</v>
      </c>
      <c r="C1281" s="1" t="s">
        <v>124</v>
      </c>
      <c r="D1281" s="1" t="s">
        <v>47</v>
      </c>
      <c r="E1281" s="1" t="s">
        <v>29</v>
      </c>
      <c r="F1281" s="1" t="s">
        <v>54</v>
      </c>
      <c r="G1281" s="2">
        <v>491.16</v>
      </c>
      <c r="H1281" s="1">
        <v>10</v>
      </c>
      <c r="I1281" s="1">
        <v>293</v>
      </c>
      <c r="J1281" s="1">
        <v>271</v>
      </c>
      <c r="K1281" s="1">
        <v>97</v>
      </c>
      <c r="L1281" s="1">
        <v>85</v>
      </c>
      <c r="M1281" s="1" t="s">
        <v>31</v>
      </c>
      <c r="N1281" s="1" t="s">
        <v>32</v>
      </c>
      <c r="O1281" t="s">
        <v>242</v>
      </c>
      <c r="P1281" s="2">
        <v>343.81</v>
      </c>
      <c r="Q1281" s="1" t="str">
        <f>IF(J673&gt;K673,"YES","NO")</f>
        <v>YES</v>
      </c>
      <c r="R1281" s="2">
        <f>IF(Q673="YES",G673*0.9,G673)</f>
        <v>442.04400000000004</v>
      </c>
      <c r="S1281" s="2">
        <f>J673*G673</f>
        <v>133104.36000000002</v>
      </c>
      <c r="T1281" s="1">
        <f ca="1">TODAY()-DATE(MID(O673,7,4),MID(O673,4,2),LEFT(O673,2))</f>
        <v>105</v>
      </c>
      <c r="U1281" s="1" t="s">
        <v>34</v>
      </c>
      <c r="V1281" s="1" t="s">
        <v>34</v>
      </c>
      <c r="W1281" s="1" t="s">
        <v>34</v>
      </c>
      <c r="X1281" t="s">
        <v>2823</v>
      </c>
      <c r="Y1281" s="1">
        <v>6.5</v>
      </c>
    </row>
    <row r="1282" spans="1:25" x14ac:dyDescent="0.3">
      <c r="A1282" s="1" t="s">
        <v>2296</v>
      </c>
      <c r="B1282" s="1" t="s">
        <v>189</v>
      </c>
      <c r="C1282" s="1" t="s">
        <v>190</v>
      </c>
      <c r="D1282" s="1" t="s">
        <v>59</v>
      </c>
      <c r="E1282" s="1" t="s">
        <v>40</v>
      </c>
      <c r="F1282" s="1" t="s">
        <v>54</v>
      </c>
      <c r="G1282" s="2">
        <v>194.59</v>
      </c>
      <c r="H1282" s="1">
        <v>15</v>
      </c>
      <c r="I1282" s="1">
        <v>273</v>
      </c>
      <c r="J1282" s="1">
        <v>268</v>
      </c>
      <c r="K1282" s="1">
        <v>87</v>
      </c>
      <c r="L1282" s="1">
        <v>52</v>
      </c>
      <c r="M1282" s="1" t="s">
        <v>41</v>
      </c>
      <c r="N1282" s="1" t="s">
        <v>60</v>
      </c>
      <c r="O1282" t="s">
        <v>195</v>
      </c>
      <c r="P1282" s="2">
        <v>136.21</v>
      </c>
      <c r="Q1282" s="1" t="str">
        <f>IF(J231&gt;K231,"YES","NO")</f>
        <v>YES</v>
      </c>
      <c r="R1282" s="2">
        <f>IF(Q231="YES",G231*0.9,G231)</f>
        <v>175.131</v>
      </c>
      <c r="S1282" s="2">
        <f>J231*G231</f>
        <v>52150.12</v>
      </c>
      <c r="T1282" s="1">
        <f ca="1">TODAY()-DATE(MID(O231,7,4),MID(O231,4,2),LEFT(O231,2))</f>
        <v>63</v>
      </c>
      <c r="U1282" s="1" t="s">
        <v>34</v>
      </c>
      <c r="V1282" s="1" t="s">
        <v>34</v>
      </c>
      <c r="W1282" s="1" t="s">
        <v>34</v>
      </c>
      <c r="X1282" t="s">
        <v>2570</v>
      </c>
      <c r="Y1282" s="1">
        <v>5.5</v>
      </c>
    </row>
    <row r="1283" spans="1:25" x14ac:dyDescent="0.3">
      <c r="A1283" s="1" t="s">
        <v>2297</v>
      </c>
      <c r="B1283" s="1" t="s">
        <v>126</v>
      </c>
      <c r="C1283" s="1" t="s">
        <v>127</v>
      </c>
      <c r="D1283" s="1" t="s">
        <v>85</v>
      </c>
      <c r="E1283" s="1" t="s">
        <v>74</v>
      </c>
      <c r="F1283" s="1" t="s">
        <v>30</v>
      </c>
      <c r="G1283" s="2">
        <v>409.05</v>
      </c>
      <c r="H1283" s="1">
        <v>16</v>
      </c>
      <c r="I1283" s="1">
        <v>134</v>
      </c>
      <c r="J1283" s="1">
        <v>116</v>
      </c>
      <c r="K1283" s="1">
        <v>48</v>
      </c>
      <c r="L1283" s="1">
        <v>101</v>
      </c>
      <c r="M1283" s="1" t="s">
        <v>41</v>
      </c>
      <c r="N1283" s="1" t="s">
        <v>32</v>
      </c>
      <c r="O1283" t="s">
        <v>361</v>
      </c>
      <c r="P1283" s="2">
        <v>286.33</v>
      </c>
      <c r="Q1283" s="1" t="str">
        <f>IF(J490&gt;K490,"YES","NO")</f>
        <v>YES</v>
      </c>
      <c r="R1283" s="2">
        <f>IF(Q490="YES",G490*0.9,G490)</f>
        <v>368.14500000000004</v>
      </c>
      <c r="S1283" s="2">
        <f>J490*G490</f>
        <v>47449.8</v>
      </c>
      <c r="T1283" s="1">
        <f ca="1">TODAY()-DATE(MID(O490,7,4),MID(O490,4,2),LEFT(O490,2))</f>
        <v>99</v>
      </c>
      <c r="U1283" s="1" t="s">
        <v>34</v>
      </c>
      <c r="V1283" s="1" t="s">
        <v>34</v>
      </c>
      <c r="W1283" s="1" t="s">
        <v>34</v>
      </c>
      <c r="X1283" t="s">
        <v>2596</v>
      </c>
      <c r="Y1283" s="1">
        <v>5</v>
      </c>
    </row>
    <row r="1284" spans="1:25" x14ac:dyDescent="0.3">
      <c r="A1284" s="1" t="s">
        <v>2298</v>
      </c>
      <c r="B1284" s="1" t="s">
        <v>172</v>
      </c>
      <c r="C1284" s="1" t="s">
        <v>173</v>
      </c>
      <c r="D1284" s="1" t="s">
        <v>132</v>
      </c>
      <c r="E1284" s="1" t="s">
        <v>74</v>
      </c>
      <c r="F1284" s="1" t="s">
        <v>54</v>
      </c>
      <c r="G1284" s="2">
        <v>213.81</v>
      </c>
      <c r="H1284" s="1">
        <v>0</v>
      </c>
      <c r="I1284" s="1">
        <v>214</v>
      </c>
      <c r="J1284" s="1">
        <v>190</v>
      </c>
      <c r="K1284" s="1">
        <v>82</v>
      </c>
      <c r="L1284" s="1">
        <v>120</v>
      </c>
      <c r="M1284" s="1" t="s">
        <v>41</v>
      </c>
      <c r="N1284" s="1" t="s">
        <v>32</v>
      </c>
      <c r="O1284" t="s">
        <v>257</v>
      </c>
      <c r="P1284" s="2">
        <v>149.66999999999999</v>
      </c>
      <c r="Q1284" s="1" t="str">
        <f>IF(J299&gt;K299,"YES","NO")</f>
        <v>YES</v>
      </c>
      <c r="R1284" s="2">
        <f>IF(Q299="YES",G299*0.9,G299)</f>
        <v>192.429</v>
      </c>
      <c r="S1284" s="2">
        <f>J299*G299</f>
        <v>40623.9</v>
      </c>
      <c r="T1284" s="1">
        <f ca="1">TODAY()-DATE(MID(O299,7,4),MID(O299,4,2),LEFT(O299,2))</f>
        <v>113</v>
      </c>
      <c r="U1284" s="1" t="s">
        <v>34</v>
      </c>
      <c r="V1284" s="1" t="s">
        <v>34</v>
      </c>
      <c r="W1284" s="1" t="s">
        <v>34</v>
      </c>
      <c r="X1284" t="s">
        <v>2664</v>
      </c>
      <c r="Y1284" s="1">
        <v>9.5</v>
      </c>
    </row>
    <row r="1285" spans="1:25" x14ac:dyDescent="0.3">
      <c r="A1285" s="1" t="s">
        <v>2299</v>
      </c>
      <c r="B1285" s="1" t="s">
        <v>192</v>
      </c>
      <c r="C1285" s="1" t="s">
        <v>193</v>
      </c>
      <c r="D1285" s="1" t="s">
        <v>85</v>
      </c>
      <c r="E1285" s="1" t="s">
        <v>29</v>
      </c>
      <c r="F1285" s="1" t="s">
        <v>30</v>
      </c>
      <c r="G1285" s="2">
        <v>440.41</v>
      </c>
      <c r="H1285" s="1">
        <v>25</v>
      </c>
      <c r="I1285" s="1">
        <v>259</v>
      </c>
      <c r="J1285" s="1">
        <v>247</v>
      </c>
      <c r="K1285" s="1">
        <v>47</v>
      </c>
      <c r="L1285" s="1">
        <v>71</v>
      </c>
      <c r="M1285" s="1" t="s">
        <v>49</v>
      </c>
      <c r="N1285" s="1" t="s">
        <v>32</v>
      </c>
      <c r="O1285" t="s">
        <v>153</v>
      </c>
      <c r="P1285" s="2">
        <v>308.29000000000002</v>
      </c>
      <c r="Q1285" s="1" t="str">
        <f>IF(J505&gt;K505,"YES","NO")</f>
        <v>YES</v>
      </c>
      <c r="R1285" s="2">
        <f>IF(Q505="YES",G505*0.9,G505)</f>
        <v>396.36900000000003</v>
      </c>
      <c r="S1285" s="2">
        <f>J505*G505</f>
        <v>108781.27</v>
      </c>
      <c r="T1285" s="1">
        <f ca="1">TODAY()-DATE(MID(O505,7,4),MID(O505,4,2),LEFT(O505,2))</f>
        <v>135</v>
      </c>
      <c r="U1285" s="1" t="s">
        <v>34</v>
      </c>
      <c r="V1285" s="1" t="s">
        <v>34</v>
      </c>
      <c r="W1285" s="1" t="s">
        <v>34</v>
      </c>
      <c r="X1285" t="s">
        <v>2534</v>
      </c>
      <c r="Y1285" s="1">
        <v>7.5</v>
      </c>
    </row>
    <row r="1286" spans="1:25" x14ac:dyDescent="0.3">
      <c r="A1286" s="1" t="s">
        <v>2300</v>
      </c>
      <c r="B1286" s="1" t="s">
        <v>262</v>
      </c>
      <c r="C1286" s="1" t="s">
        <v>263</v>
      </c>
      <c r="D1286" s="1" t="s">
        <v>104</v>
      </c>
      <c r="E1286" s="1" t="s">
        <v>40</v>
      </c>
      <c r="F1286" s="1" t="s">
        <v>54</v>
      </c>
      <c r="G1286" s="2">
        <v>399.76</v>
      </c>
      <c r="H1286" s="1">
        <v>14</v>
      </c>
      <c r="I1286" s="1">
        <v>290</v>
      </c>
      <c r="J1286" s="1">
        <v>253</v>
      </c>
      <c r="K1286" s="1">
        <v>86</v>
      </c>
      <c r="L1286" s="1">
        <v>150</v>
      </c>
      <c r="M1286" s="1" t="s">
        <v>41</v>
      </c>
      <c r="N1286" s="1" t="s">
        <v>60</v>
      </c>
      <c r="O1286" t="s">
        <v>88</v>
      </c>
      <c r="P1286" s="2">
        <v>279.83</v>
      </c>
      <c r="Q1286" s="1" t="str">
        <f>IF(J535&gt;K535,"YES","NO")</f>
        <v>YES</v>
      </c>
      <c r="R1286" s="2">
        <f>IF(Q535="YES",G535*0.9,G535)</f>
        <v>359.78399999999999</v>
      </c>
      <c r="S1286" s="2">
        <f>J535*G535</f>
        <v>101139.28</v>
      </c>
      <c r="T1286" s="1">
        <f ca="1">TODAY()-DATE(MID(O535,7,4),MID(O535,4,2),LEFT(O535,2))</f>
        <v>124</v>
      </c>
      <c r="U1286" s="1" t="s">
        <v>34</v>
      </c>
      <c r="V1286" s="1" t="s">
        <v>34</v>
      </c>
      <c r="W1286" s="1" t="s">
        <v>34</v>
      </c>
      <c r="X1286" t="s">
        <v>2906</v>
      </c>
      <c r="Y1286" s="1">
        <v>7.5</v>
      </c>
    </row>
    <row r="1287" spans="1:25" x14ac:dyDescent="0.3">
      <c r="A1287" s="1" t="s">
        <v>2301</v>
      </c>
      <c r="B1287" s="1" t="s">
        <v>197</v>
      </c>
      <c r="C1287" s="1" t="s">
        <v>198</v>
      </c>
      <c r="D1287" s="1" t="s">
        <v>104</v>
      </c>
      <c r="E1287" s="1" t="s">
        <v>74</v>
      </c>
      <c r="F1287" s="1" t="s">
        <v>54</v>
      </c>
      <c r="G1287" s="2">
        <v>69.930000000000007</v>
      </c>
      <c r="H1287" s="1">
        <v>10</v>
      </c>
      <c r="I1287" s="1">
        <v>133</v>
      </c>
      <c r="J1287" s="1">
        <v>104</v>
      </c>
      <c r="K1287" s="1">
        <v>96</v>
      </c>
      <c r="L1287" s="1">
        <v>145</v>
      </c>
      <c r="M1287" s="1" t="s">
        <v>49</v>
      </c>
      <c r="N1287" s="1" t="s">
        <v>42</v>
      </c>
      <c r="O1287" t="s">
        <v>199</v>
      </c>
      <c r="P1287" s="2">
        <v>48.95</v>
      </c>
      <c r="Q1287" s="1" t="str">
        <f>IF(J61&gt;K61,"YES","NO")</f>
        <v>YES</v>
      </c>
      <c r="R1287" s="2">
        <f>IF(Q61="YES",G61*0.9,G61)</f>
        <v>62.937000000000005</v>
      </c>
      <c r="S1287" s="2">
        <f>J61*G61</f>
        <v>7272.7200000000012</v>
      </c>
      <c r="T1287" s="1">
        <f ca="1">TODAY()-DATE(MID(O61,7,4),MID(O61,4,2),LEFT(O61,2))</f>
        <v>129</v>
      </c>
      <c r="U1287" s="1" t="s">
        <v>34</v>
      </c>
      <c r="V1287" s="1" t="s">
        <v>34</v>
      </c>
      <c r="W1287" s="1" t="s">
        <v>34</v>
      </c>
      <c r="X1287" t="s">
        <v>2855</v>
      </c>
      <c r="Y1287" s="1">
        <v>5.5</v>
      </c>
    </row>
    <row r="1288" spans="1:25" x14ac:dyDescent="0.3">
      <c r="A1288" s="1" t="s">
        <v>2302</v>
      </c>
      <c r="B1288" s="1" t="s">
        <v>143</v>
      </c>
      <c r="C1288" s="1" t="s">
        <v>144</v>
      </c>
      <c r="D1288" s="1" t="s">
        <v>47</v>
      </c>
      <c r="E1288" s="1" t="s">
        <v>74</v>
      </c>
      <c r="F1288" s="1" t="s">
        <v>54</v>
      </c>
      <c r="G1288" s="2">
        <v>320.38</v>
      </c>
      <c r="H1288" s="1">
        <v>5</v>
      </c>
      <c r="I1288" s="1">
        <v>283</v>
      </c>
      <c r="J1288" s="1">
        <v>251</v>
      </c>
      <c r="K1288" s="1">
        <v>94</v>
      </c>
      <c r="L1288" s="1">
        <v>107</v>
      </c>
      <c r="M1288" s="1" t="s">
        <v>41</v>
      </c>
      <c r="N1288" s="1" t="s">
        <v>42</v>
      </c>
      <c r="O1288" t="s">
        <v>150</v>
      </c>
      <c r="P1288" s="2">
        <v>224.27</v>
      </c>
      <c r="Q1288" s="1" t="str">
        <f>IF(J38&gt;K38,"YES","NO")</f>
        <v>YES</v>
      </c>
      <c r="R1288" s="2">
        <f>IF(Q38="YES",G38*0.9,G38)</f>
        <v>288.34199999999998</v>
      </c>
      <c r="S1288" s="2">
        <f>J38*G38</f>
        <v>80415.38</v>
      </c>
      <c r="T1288" s="1">
        <f ca="1">TODAY()-DATE(MID(O38,7,4),MID(O38,4,2),LEFT(O38,2))</f>
        <v>116</v>
      </c>
      <c r="U1288" s="1" t="s">
        <v>34</v>
      </c>
      <c r="V1288" s="1" t="s">
        <v>34</v>
      </c>
      <c r="W1288" s="1" t="s">
        <v>34</v>
      </c>
      <c r="X1288" t="s">
        <v>2860</v>
      </c>
      <c r="Y1288" s="1">
        <v>9</v>
      </c>
    </row>
    <row r="1289" spans="1:25" x14ac:dyDescent="0.3">
      <c r="A1289" s="1" t="s">
        <v>2303</v>
      </c>
      <c r="B1289" s="1" t="s">
        <v>192</v>
      </c>
      <c r="C1289" s="1" t="s">
        <v>193</v>
      </c>
      <c r="D1289" s="1" t="s">
        <v>85</v>
      </c>
      <c r="E1289" s="1" t="s">
        <v>29</v>
      </c>
      <c r="F1289" s="1" t="s">
        <v>54</v>
      </c>
      <c r="G1289" s="2">
        <v>134.26</v>
      </c>
      <c r="H1289" s="1">
        <v>0</v>
      </c>
      <c r="I1289" s="1">
        <v>99</v>
      </c>
      <c r="J1289" s="1">
        <v>82</v>
      </c>
      <c r="K1289" s="1">
        <v>92</v>
      </c>
      <c r="L1289" s="1">
        <v>93</v>
      </c>
      <c r="M1289" s="1" t="s">
        <v>49</v>
      </c>
      <c r="N1289" s="1" t="s">
        <v>42</v>
      </c>
      <c r="O1289" t="s">
        <v>289</v>
      </c>
      <c r="P1289" s="2">
        <v>93.98</v>
      </c>
      <c r="Q1289" s="1" t="str">
        <f>IF(J699&gt;K699,"YES","NO")</f>
        <v>NO</v>
      </c>
      <c r="R1289" s="2">
        <f>IF(Q699="YES",G699*0.9,G699)</f>
        <v>134.26</v>
      </c>
      <c r="S1289" s="2">
        <f>J699*G699</f>
        <v>11009.32</v>
      </c>
      <c r="T1289" s="1">
        <f ca="1">TODAY()-DATE(MID(O699,7,4),MID(O699,4,2),LEFT(O699,2))</f>
        <v>92</v>
      </c>
      <c r="U1289" s="1" t="s">
        <v>34</v>
      </c>
      <c r="V1289" s="1" t="s">
        <v>34</v>
      </c>
      <c r="W1289" s="1" t="s">
        <v>34</v>
      </c>
      <c r="X1289" t="s">
        <v>2743</v>
      </c>
      <c r="Y1289" s="1">
        <v>9.5</v>
      </c>
    </row>
    <row r="1290" spans="1:25" x14ac:dyDescent="0.3">
      <c r="A1290" s="1" t="s">
        <v>2304</v>
      </c>
      <c r="B1290" s="1" t="s">
        <v>166</v>
      </c>
      <c r="C1290" s="1" t="s">
        <v>167</v>
      </c>
      <c r="D1290" s="1" t="s">
        <v>59</v>
      </c>
      <c r="E1290" s="1" t="s">
        <v>40</v>
      </c>
      <c r="F1290" s="1" t="s">
        <v>30</v>
      </c>
      <c r="G1290" s="2">
        <v>125.13</v>
      </c>
      <c r="H1290" s="1">
        <v>21</v>
      </c>
      <c r="I1290" s="1">
        <v>233</v>
      </c>
      <c r="J1290" s="1">
        <v>215</v>
      </c>
      <c r="K1290" s="1">
        <v>102</v>
      </c>
      <c r="L1290" s="1">
        <v>138</v>
      </c>
      <c r="M1290" s="1" t="s">
        <v>41</v>
      </c>
      <c r="N1290" s="1" t="s">
        <v>32</v>
      </c>
      <c r="O1290" t="s">
        <v>75</v>
      </c>
      <c r="P1290" s="2">
        <v>87.59</v>
      </c>
      <c r="Q1290" s="1" t="str">
        <f>IF(J728&gt;K728,"YES","NO")</f>
        <v>YES</v>
      </c>
      <c r="R1290" s="2">
        <f>IF(Q728="YES",G728*0.9,G728)</f>
        <v>112.617</v>
      </c>
      <c r="S1290" s="2">
        <f>J728*G728</f>
        <v>26902.95</v>
      </c>
      <c r="T1290" s="1">
        <f ca="1">TODAY()-DATE(MID(O728,7,4),MID(O728,4,2),LEFT(O728,2))</f>
        <v>123</v>
      </c>
      <c r="U1290" s="1" t="s">
        <v>34</v>
      </c>
      <c r="V1290" s="1" t="s">
        <v>34</v>
      </c>
      <c r="W1290" s="1" t="s">
        <v>34</v>
      </c>
      <c r="X1290" t="s">
        <v>2803</v>
      </c>
      <c r="Y1290" s="1">
        <v>9</v>
      </c>
    </row>
    <row r="1291" spans="1:25" x14ac:dyDescent="0.3">
      <c r="A1291" s="1" t="s">
        <v>2305</v>
      </c>
      <c r="B1291" s="1" t="s">
        <v>172</v>
      </c>
      <c r="C1291" s="1" t="s">
        <v>173</v>
      </c>
      <c r="D1291" s="1" t="s">
        <v>132</v>
      </c>
      <c r="E1291" s="1" t="s">
        <v>40</v>
      </c>
      <c r="F1291" s="1" t="s">
        <v>30</v>
      </c>
      <c r="G1291" s="2">
        <v>269.70999999999998</v>
      </c>
      <c r="H1291" s="1">
        <v>15</v>
      </c>
      <c r="I1291" s="1">
        <v>143</v>
      </c>
      <c r="J1291" s="1">
        <v>139</v>
      </c>
      <c r="K1291" s="1">
        <v>89</v>
      </c>
      <c r="L1291" s="1">
        <v>65</v>
      </c>
      <c r="M1291" s="1" t="s">
        <v>31</v>
      </c>
      <c r="N1291" s="1" t="s">
        <v>60</v>
      </c>
      <c r="O1291" t="s">
        <v>153</v>
      </c>
      <c r="P1291" s="2">
        <v>188.8</v>
      </c>
      <c r="Q1291" s="1" t="str">
        <f>IF(J122&gt;K122,"YES","NO")</f>
        <v>YES</v>
      </c>
      <c r="R1291" s="2">
        <f>IF(Q122="YES",G122*0.9,G122)</f>
        <v>242.73899999999998</v>
      </c>
      <c r="S1291" s="2">
        <f>J122*G122</f>
        <v>37489.689999999995</v>
      </c>
      <c r="T1291" s="1">
        <f ca="1">TODAY()-DATE(MID(O122,7,4),MID(O122,4,2),LEFT(O122,2))</f>
        <v>135</v>
      </c>
      <c r="U1291" s="1" t="s">
        <v>34</v>
      </c>
      <c r="V1291" s="1" t="s">
        <v>34</v>
      </c>
      <c r="W1291" s="1" t="s">
        <v>34</v>
      </c>
      <c r="X1291" t="s">
        <v>2521</v>
      </c>
      <c r="Y1291" s="1">
        <v>6</v>
      </c>
    </row>
    <row r="1292" spans="1:25" x14ac:dyDescent="0.3">
      <c r="A1292" s="1" t="s">
        <v>2306</v>
      </c>
      <c r="B1292" s="1" t="s">
        <v>111</v>
      </c>
      <c r="C1292" s="1" t="s">
        <v>112</v>
      </c>
      <c r="D1292" s="1" t="s">
        <v>97</v>
      </c>
      <c r="E1292" s="1" t="s">
        <v>74</v>
      </c>
      <c r="F1292" s="1" t="s">
        <v>54</v>
      </c>
      <c r="G1292" s="2">
        <v>348.35</v>
      </c>
      <c r="H1292" s="1">
        <v>19</v>
      </c>
      <c r="I1292" s="1">
        <v>156</v>
      </c>
      <c r="J1292" s="1">
        <v>125</v>
      </c>
      <c r="K1292" s="1">
        <v>100</v>
      </c>
      <c r="L1292" s="1">
        <v>90</v>
      </c>
      <c r="M1292" s="1" t="s">
        <v>41</v>
      </c>
      <c r="N1292" s="1" t="s">
        <v>42</v>
      </c>
      <c r="O1292" t="s">
        <v>229</v>
      </c>
      <c r="P1292" s="2">
        <v>243.84</v>
      </c>
      <c r="Q1292" s="1" t="str">
        <f>IF(J192&gt;K192,"YES","NO")</f>
        <v>YES</v>
      </c>
      <c r="R1292" s="2">
        <f>IF(Q192="YES",G192*0.9,G192)</f>
        <v>313.51500000000004</v>
      </c>
      <c r="S1292" s="2">
        <f>J192*G192</f>
        <v>43543.75</v>
      </c>
      <c r="T1292" s="1">
        <f ca="1">TODAY()-DATE(MID(O192,7,4),MID(O192,4,2),LEFT(O192,2))</f>
        <v>128</v>
      </c>
      <c r="U1292" s="1" t="s">
        <v>34</v>
      </c>
      <c r="V1292" s="1" t="s">
        <v>34</v>
      </c>
      <c r="W1292" s="1" t="s">
        <v>34</v>
      </c>
      <c r="X1292" t="s">
        <v>2730</v>
      </c>
      <c r="Y1292" s="1">
        <v>6</v>
      </c>
    </row>
    <row r="1293" spans="1:25" x14ac:dyDescent="0.3">
      <c r="A1293" s="1" t="s">
        <v>2307</v>
      </c>
      <c r="B1293" s="1" t="s">
        <v>37</v>
      </c>
      <c r="C1293" s="1" t="s">
        <v>38</v>
      </c>
      <c r="D1293" s="1" t="s">
        <v>39</v>
      </c>
      <c r="E1293" s="1" t="s">
        <v>40</v>
      </c>
      <c r="F1293" s="1" t="s">
        <v>54</v>
      </c>
      <c r="G1293" s="2">
        <v>225.73</v>
      </c>
      <c r="H1293" s="1">
        <v>1</v>
      </c>
      <c r="I1293" s="1">
        <v>266</v>
      </c>
      <c r="J1293" s="1">
        <v>250</v>
      </c>
      <c r="K1293" s="1">
        <v>75</v>
      </c>
      <c r="L1293" s="1">
        <v>93</v>
      </c>
      <c r="M1293" s="1" t="s">
        <v>31</v>
      </c>
      <c r="N1293" s="1" t="s">
        <v>60</v>
      </c>
      <c r="O1293" t="s">
        <v>86</v>
      </c>
      <c r="P1293" s="2">
        <v>158.01</v>
      </c>
      <c r="Q1293" s="1" t="str">
        <f>IF(J313&gt;K313,"YES","NO")</f>
        <v>YES</v>
      </c>
      <c r="R1293" s="2">
        <f>IF(Q313="YES",G313*0.9,G313)</f>
        <v>203.15699999999998</v>
      </c>
      <c r="S1293" s="2">
        <f>J313*G313</f>
        <v>56432.5</v>
      </c>
      <c r="T1293" s="1">
        <f ca="1">TODAY()-DATE(MID(O313,7,4),MID(O313,4,2),LEFT(O313,2))</f>
        <v>121</v>
      </c>
      <c r="U1293" s="1" t="s">
        <v>34</v>
      </c>
      <c r="V1293" s="1" t="s">
        <v>34</v>
      </c>
      <c r="W1293" s="1" t="s">
        <v>34</v>
      </c>
      <c r="X1293" t="s">
        <v>2916</v>
      </c>
      <c r="Y1293" s="1">
        <v>6.5</v>
      </c>
    </row>
    <row r="1294" spans="1:25" x14ac:dyDescent="0.3">
      <c r="A1294" s="1" t="s">
        <v>2308</v>
      </c>
      <c r="B1294" s="1" t="s">
        <v>197</v>
      </c>
      <c r="C1294" s="1" t="s">
        <v>198</v>
      </c>
      <c r="D1294" s="1" t="s">
        <v>104</v>
      </c>
      <c r="E1294" s="1" t="s">
        <v>74</v>
      </c>
      <c r="F1294" s="1" t="s">
        <v>54</v>
      </c>
      <c r="G1294" s="2">
        <v>351.13</v>
      </c>
      <c r="H1294" s="1">
        <v>23</v>
      </c>
      <c r="I1294" s="1">
        <v>222</v>
      </c>
      <c r="J1294" s="1">
        <v>182</v>
      </c>
      <c r="K1294" s="1">
        <v>83</v>
      </c>
      <c r="L1294" s="1">
        <v>78</v>
      </c>
      <c r="M1294" s="1" t="s">
        <v>31</v>
      </c>
      <c r="N1294" s="1" t="s">
        <v>32</v>
      </c>
      <c r="O1294" t="s">
        <v>272</v>
      </c>
      <c r="P1294" s="2">
        <v>245.79</v>
      </c>
      <c r="Q1294" s="1" t="str">
        <f>IF(J764&gt;K764,"YES","NO")</f>
        <v>YES</v>
      </c>
      <c r="R1294" s="2">
        <f>IF(Q764="YES",G764*0.9,G764)</f>
        <v>316.017</v>
      </c>
      <c r="S1294" s="2">
        <f>J764*G764</f>
        <v>63905.659999999996</v>
      </c>
      <c r="T1294" s="1">
        <f ca="1">TODAY()-DATE(MID(O764,7,4),MID(O764,4,2),LEFT(O764,2))</f>
        <v>72</v>
      </c>
      <c r="U1294" s="1" t="s">
        <v>34</v>
      </c>
      <c r="V1294" s="1" t="s">
        <v>34</v>
      </c>
      <c r="W1294" s="1" t="s">
        <v>34</v>
      </c>
      <c r="X1294" t="s">
        <v>2553</v>
      </c>
      <c r="Y1294" s="1">
        <v>7</v>
      </c>
    </row>
    <row r="1295" spans="1:25" x14ac:dyDescent="0.3">
      <c r="A1295" s="1" t="s">
        <v>2309</v>
      </c>
      <c r="B1295" s="1" t="s">
        <v>72</v>
      </c>
      <c r="C1295" s="1" t="s">
        <v>73</v>
      </c>
      <c r="D1295" s="1" t="s">
        <v>47</v>
      </c>
      <c r="E1295" s="1" t="s">
        <v>29</v>
      </c>
      <c r="F1295" s="1" t="s">
        <v>30</v>
      </c>
      <c r="G1295" s="2">
        <v>340.62</v>
      </c>
      <c r="H1295" s="1">
        <v>24</v>
      </c>
      <c r="I1295" s="1">
        <v>88</v>
      </c>
      <c r="J1295" s="1">
        <v>59</v>
      </c>
      <c r="K1295" s="1">
        <v>77</v>
      </c>
      <c r="L1295" s="1">
        <v>50</v>
      </c>
      <c r="M1295" s="1" t="s">
        <v>49</v>
      </c>
      <c r="N1295" s="1" t="s">
        <v>60</v>
      </c>
      <c r="O1295" t="s">
        <v>229</v>
      </c>
      <c r="P1295" s="2">
        <v>238.43</v>
      </c>
      <c r="Q1295" s="1" t="str">
        <f>IF(J323&gt;K323,"YES","NO")</f>
        <v>NO</v>
      </c>
      <c r="R1295" s="2">
        <f>IF(Q323="YES",G323*0.9,G323)</f>
        <v>340.62</v>
      </c>
      <c r="S1295" s="2">
        <f>J323*G323</f>
        <v>20096.580000000002</v>
      </c>
      <c r="T1295" s="1">
        <f ca="1">TODAY()-DATE(MID(O323,7,4),MID(O323,4,2),LEFT(O323,2))</f>
        <v>128</v>
      </c>
      <c r="U1295" s="1" t="s">
        <v>34</v>
      </c>
      <c r="V1295" s="1" t="s">
        <v>34</v>
      </c>
      <c r="W1295" s="1" t="s">
        <v>34</v>
      </c>
      <c r="X1295" t="s">
        <v>2606</v>
      </c>
      <c r="Y1295" s="1">
        <v>6.5</v>
      </c>
    </row>
    <row r="1296" spans="1:25" x14ac:dyDescent="0.3">
      <c r="A1296" s="1" t="s">
        <v>2310</v>
      </c>
      <c r="B1296" s="1" t="s">
        <v>126</v>
      </c>
      <c r="C1296" s="1" t="s">
        <v>127</v>
      </c>
      <c r="D1296" s="1" t="s">
        <v>85</v>
      </c>
      <c r="E1296" s="1" t="s">
        <v>29</v>
      </c>
      <c r="F1296" s="1" t="s">
        <v>54</v>
      </c>
      <c r="G1296" s="2">
        <v>113.21</v>
      </c>
      <c r="H1296" s="1">
        <v>18</v>
      </c>
      <c r="I1296" s="1">
        <v>201</v>
      </c>
      <c r="J1296" s="1">
        <v>172</v>
      </c>
      <c r="K1296" s="1">
        <v>48</v>
      </c>
      <c r="L1296" s="1">
        <v>61</v>
      </c>
      <c r="M1296" s="1" t="s">
        <v>49</v>
      </c>
      <c r="N1296" s="1" t="s">
        <v>42</v>
      </c>
      <c r="O1296" t="s">
        <v>361</v>
      </c>
      <c r="P1296" s="2">
        <v>79.25</v>
      </c>
      <c r="Q1296" s="1" t="str">
        <f>IF(J247&gt;K247,"YES","NO")</f>
        <v>YES</v>
      </c>
      <c r="R1296" s="2">
        <f>IF(Q247="YES",G247*0.9,G247)</f>
        <v>101.889</v>
      </c>
      <c r="S1296" s="2">
        <f>J247*G247</f>
        <v>19472.12</v>
      </c>
      <c r="T1296" s="1">
        <f ca="1">TODAY()-DATE(MID(O247,7,4),MID(O247,4,2),LEFT(O247,2))</f>
        <v>99</v>
      </c>
      <c r="U1296" s="1" t="s">
        <v>34</v>
      </c>
      <c r="V1296" s="1" t="s">
        <v>34</v>
      </c>
      <c r="W1296" s="1" t="s">
        <v>34</v>
      </c>
      <c r="X1296" t="s">
        <v>2660</v>
      </c>
      <c r="Y1296" s="1">
        <v>8.5</v>
      </c>
    </row>
    <row r="1297" spans="1:25" x14ac:dyDescent="0.3">
      <c r="A1297" s="1" t="s">
        <v>2311</v>
      </c>
      <c r="B1297" s="1" t="s">
        <v>237</v>
      </c>
      <c r="C1297" s="1" t="s">
        <v>238</v>
      </c>
      <c r="D1297" s="1" t="s">
        <v>85</v>
      </c>
      <c r="E1297" s="1" t="s">
        <v>29</v>
      </c>
      <c r="F1297" s="1" t="s">
        <v>30</v>
      </c>
      <c r="G1297" s="2">
        <v>106.9</v>
      </c>
      <c r="H1297" s="1">
        <v>19</v>
      </c>
      <c r="I1297" s="1">
        <v>172</v>
      </c>
      <c r="J1297" s="1">
        <v>164</v>
      </c>
      <c r="K1297" s="1">
        <v>101</v>
      </c>
      <c r="L1297" s="1">
        <v>149</v>
      </c>
      <c r="M1297" s="1" t="s">
        <v>41</v>
      </c>
      <c r="N1297" s="1" t="s">
        <v>32</v>
      </c>
      <c r="O1297" t="s">
        <v>224</v>
      </c>
      <c r="P1297" s="2">
        <v>74.83</v>
      </c>
      <c r="Q1297" s="1" t="str">
        <f>IF(J88&gt;K88,"YES","NO")</f>
        <v>YES</v>
      </c>
      <c r="R1297" s="2">
        <f>IF(Q88="YES",G88*0.9,G88)</f>
        <v>96.210000000000008</v>
      </c>
      <c r="S1297" s="2">
        <f>J88*G88</f>
        <v>17531.600000000002</v>
      </c>
      <c r="T1297" s="1">
        <f ca="1">TODAY()-DATE(MID(O88,7,4),MID(O88,4,2),LEFT(O88,2))</f>
        <v>140</v>
      </c>
      <c r="U1297" s="1" t="s">
        <v>34</v>
      </c>
      <c r="V1297" s="1" t="s">
        <v>34</v>
      </c>
      <c r="W1297" s="1" t="s">
        <v>34</v>
      </c>
      <c r="X1297" t="s">
        <v>2618</v>
      </c>
      <c r="Y1297" s="1">
        <v>9</v>
      </c>
    </row>
    <row r="1298" spans="1:25" x14ac:dyDescent="0.3">
      <c r="A1298" s="1" t="s">
        <v>2312</v>
      </c>
      <c r="B1298" s="1" t="s">
        <v>72</v>
      </c>
      <c r="C1298" s="1" t="s">
        <v>73</v>
      </c>
      <c r="D1298" s="1" t="s">
        <v>47</v>
      </c>
      <c r="E1298" s="1" t="s">
        <v>29</v>
      </c>
      <c r="F1298" s="1" t="s">
        <v>54</v>
      </c>
      <c r="G1298" s="2">
        <v>277.91000000000003</v>
      </c>
      <c r="H1298" s="1">
        <v>17</v>
      </c>
      <c r="I1298" s="1">
        <v>132</v>
      </c>
      <c r="J1298" s="1">
        <v>122</v>
      </c>
      <c r="K1298" s="1">
        <v>44</v>
      </c>
      <c r="L1298" s="1">
        <v>132</v>
      </c>
      <c r="M1298" s="1" t="s">
        <v>41</v>
      </c>
      <c r="N1298" s="1" t="s">
        <v>32</v>
      </c>
      <c r="O1298" t="s">
        <v>116</v>
      </c>
      <c r="P1298" s="2">
        <v>194.54</v>
      </c>
      <c r="Q1298" s="1" t="str">
        <f>IF(J357&gt;K357,"YES","NO")</f>
        <v>YES</v>
      </c>
      <c r="R1298" s="2">
        <f>IF(Q357="YES",G357*0.9,G357)</f>
        <v>250.11900000000003</v>
      </c>
      <c r="S1298" s="2">
        <f>J357*G357</f>
        <v>33905.020000000004</v>
      </c>
      <c r="T1298" s="1">
        <f ca="1">TODAY()-DATE(MID(O357,7,4),MID(O357,4,2),LEFT(O357,2))</f>
        <v>87</v>
      </c>
      <c r="U1298" s="1" t="s">
        <v>34</v>
      </c>
      <c r="V1298" s="1" t="s">
        <v>34</v>
      </c>
      <c r="W1298" s="1" t="s">
        <v>34</v>
      </c>
      <c r="X1298" t="s">
        <v>2633</v>
      </c>
      <c r="Y1298" s="1">
        <v>8.5</v>
      </c>
    </row>
    <row r="1299" spans="1:25" x14ac:dyDescent="0.3">
      <c r="A1299" s="1" t="s">
        <v>2313</v>
      </c>
      <c r="B1299" s="1" t="s">
        <v>69</v>
      </c>
      <c r="C1299" s="1" t="s">
        <v>70</v>
      </c>
      <c r="D1299" s="1" t="s">
        <v>59</v>
      </c>
      <c r="E1299" s="1" t="s">
        <v>74</v>
      </c>
      <c r="F1299" s="1" t="s">
        <v>30</v>
      </c>
      <c r="G1299" s="2">
        <v>462.5</v>
      </c>
      <c r="H1299" s="1">
        <v>1</v>
      </c>
      <c r="I1299" s="1">
        <v>164</v>
      </c>
      <c r="J1299" s="1">
        <v>137</v>
      </c>
      <c r="K1299" s="1">
        <v>50</v>
      </c>
      <c r="L1299" s="1">
        <v>145</v>
      </c>
      <c r="M1299" s="1" t="s">
        <v>31</v>
      </c>
      <c r="N1299" s="1" t="s">
        <v>42</v>
      </c>
      <c r="O1299" t="s">
        <v>161</v>
      </c>
      <c r="P1299" s="2">
        <v>323.75</v>
      </c>
      <c r="Q1299" s="1" t="str">
        <f>IF(J661&gt;K661,"YES","NO")</f>
        <v>YES</v>
      </c>
      <c r="R1299" s="2">
        <f>IF(Q661="YES",G661*0.9,G661)</f>
        <v>416.25</v>
      </c>
      <c r="S1299" s="2">
        <f>J661*G661</f>
        <v>63362.5</v>
      </c>
      <c r="T1299" s="1">
        <f ca="1">TODAY()-DATE(MID(O661,7,4),MID(O661,4,2),LEFT(O661,2))</f>
        <v>69</v>
      </c>
      <c r="U1299" s="1" t="s">
        <v>34</v>
      </c>
      <c r="V1299" s="1" t="s">
        <v>34</v>
      </c>
      <c r="W1299" s="1" t="s">
        <v>34</v>
      </c>
      <c r="X1299" t="s">
        <v>2627</v>
      </c>
      <c r="Y1299" s="1">
        <v>5.5</v>
      </c>
    </row>
    <row r="1300" spans="1:25" x14ac:dyDescent="0.3">
      <c r="A1300" s="1" t="s">
        <v>2314</v>
      </c>
      <c r="B1300" s="1" t="s">
        <v>197</v>
      </c>
      <c r="C1300" s="1" t="s">
        <v>198</v>
      </c>
      <c r="D1300" s="1" t="s">
        <v>104</v>
      </c>
      <c r="E1300" s="1" t="s">
        <v>40</v>
      </c>
      <c r="F1300" s="1" t="s">
        <v>30</v>
      </c>
      <c r="G1300" s="2">
        <v>298.14</v>
      </c>
      <c r="H1300" s="1">
        <v>22</v>
      </c>
      <c r="I1300" s="1">
        <v>255</v>
      </c>
      <c r="J1300" s="1">
        <v>241</v>
      </c>
      <c r="K1300" s="1">
        <v>99</v>
      </c>
      <c r="L1300" s="1">
        <v>56</v>
      </c>
      <c r="M1300" s="1" t="s">
        <v>49</v>
      </c>
      <c r="N1300" s="1" t="s">
        <v>32</v>
      </c>
      <c r="O1300" t="s">
        <v>333</v>
      </c>
      <c r="P1300" s="2">
        <v>208.7</v>
      </c>
      <c r="Q1300" s="1" t="str">
        <f>IF(J450&gt;K450,"YES","NO")</f>
        <v>YES</v>
      </c>
      <c r="R1300" s="2">
        <f>IF(Q450="YES",G450*0.9,G450)</f>
        <v>268.32600000000002</v>
      </c>
      <c r="S1300" s="2">
        <f>J450*G450</f>
        <v>71851.739999999991</v>
      </c>
      <c r="T1300" s="1">
        <f ca="1">TODAY()-DATE(MID(O450,7,4),MID(O450,4,2),LEFT(O450,2))</f>
        <v>109</v>
      </c>
      <c r="U1300" s="1" t="s">
        <v>34</v>
      </c>
      <c r="V1300" s="1" t="s">
        <v>34</v>
      </c>
      <c r="W1300" s="1" t="s">
        <v>34</v>
      </c>
      <c r="X1300" t="s">
        <v>2645</v>
      </c>
      <c r="Y1300" s="1">
        <v>5</v>
      </c>
    </row>
    <row r="1301" spans="1:25" x14ac:dyDescent="0.3">
      <c r="A1301" s="1" t="s">
        <v>2315</v>
      </c>
      <c r="B1301" s="1" t="s">
        <v>176</v>
      </c>
      <c r="C1301" s="1" t="s">
        <v>177</v>
      </c>
      <c r="D1301" s="1" t="s">
        <v>39</v>
      </c>
      <c r="E1301" s="1" t="s">
        <v>29</v>
      </c>
      <c r="F1301" s="1" t="s">
        <v>48</v>
      </c>
      <c r="G1301" s="2">
        <v>94.24</v>
      </c>
      <c r="H1301" s="1">
        <v>15</v>
      </c>
      <c r="I1301" s="1">
        <v>172</v>
      </c>
      <c r="J1301" s="1">
        <v>162</v>
      </c>
      <c r="K1301" s="1">
        <v>59</v>
      </c>
      <c r="L1301" s="1">
        <v>141</v>
      </c>
      <c r="M1301" s="1" t="s">
        <v>31</v>
      </c>
      <c r="N1301" s="1" t="s">
        <v>42</v>
      </c>
      <c r="O1301" t="s">
        <v>247</v>
      </c>
      <c r="P1301" s="2">
        <v>65.97</v>
      </c>
      <c r="Q1301" s="1" t="str">
        <f>IF(J311&gt;K311,"YES","NO")</f>
        <v>YES</v>
      </c>
      <c r="R1301" s="2">
        <f>IF(Q311="YES",G311*0.9,G311)</f>
        <v>84.816000000000003</v>
      </c>
      <c r="S1301" s="2">
        <f>J311*G311</f>
        <v>15266.88</v>
      </c>
      <c r="T1301" s="1">
        <f ca="1">TODAY()-DATE(MID(O311,7,4),MID(O311,4,2),LEFT(O311,2))</f>
        <v>125</v>
      </c>
      <c r="U1301" s="1" t="s">
        <v>34</v>
      </c>
      <c r="V1301" s="1" t="s">
        <v>34</v>
      </c>
      <c r="W1301" s="1" t="s">
        <v>34</v>
      </c>
      <c r="X1301" t="s">
        <v>2760</v>
      </c>
      <c r="Y1301" s="1">
        <v>5.5</v>
      </c>
    </row>
    <row r="1302" spans="1:25" x14ac:dyDescent="0.3">
      <c r="A1302" s="1" t="s">
        <v>2316</v>
      </c>
      <c r="B1302" s="1" t="s">
        <v>72</v>
      </c>
      <c r="C1302" s="1" t="s">
        <v>73</v>
      </c>
      <c r="D1302" s="1" t="s">
        <v>47</v>
      </c>
      <c r="E1302" s="1" t="s">
        <v>29</v>
      </c>
      <c r="F1302" s="1" t="s">
        <v>30</v>
      </c>
      <c r="G1302" s="2">
        <v>224.49</v>
      </c>
      <c r="H1302" s="1">
        <v>19</v>
      </c>
      <c r="I1302" s="1">
        <v>292</v>
      </c>
      <c r="J1302" s="1">
        <v>284</v>
      </c>
      <c r="K1302" s="1">
        <v>94</v>
      </c>
      <c r="L1302" s="1">
        <v>51</v>
      </c>
      <c r="M1302" s="1" t="s">
        <v>31</v>
      </c>
      <c r="N1302" s="1" t="s">
        <v>60</v>
      </c>
      <c r="O1302" t="s">
        <v>260</v>
      </c>
      <c r="P1302" s="2">
        <v>157.13999999999999</v>
      </c>
      <c r="Q1302" s="1" t="str">
        <f>IF(J568&gt;K568,"YES","NO")</f>
        <v>YES</v>
      </c>
      <c r="R1302" s="2">
        <f>IF(Q568="YES",G568*0.9,G568)</f>
        <v>202.04100000000003</v>
      </c>
      <c r="S1302" s="2">
        <f>J568*G568</f>
        <v>63755.16</v>
      </c>
      <c r="T1302" s="1">
        <f ca="1">TODAY()-DATE(MID(O568,7,4),MID(O568,4,2),LEFT(O568,2))</f>
        <v>70</v>
      </c>
      <c r="U1302" s="1" t="s">
        <v>34</v>
      </c>
      <c r="V1302" s="1" t="s">
        <v>34</v>
      </c>
      <c r="W1302" s="1" t="s">
        <v>34</v>
      </c>
      <c r="X1302" t="s">
        <v>2824</v>
      </c>
      <c r="Y1302" s="1">
        <v>9</v>
      </c>
    </row>
    <row r="1303" spans="1:25" x14ac:dyDescent="0.3">
      <c r="A1303" s="1" t="s">
        <v>2317</v>
      </c>
      <c r="B1303" s="1" t="s">
        <v>72</v>
      </c>
      <c r="C1303" s="1" t="s">
        <v>73</v>
      </c>
      <c r="D1303" s="1" t="s">
        <v>47</v>
      </c>
      <c r="E1303" s="1" t="s">
        <v>40</v>
      </c>
      <c r="F1303" s="1" t="s">
        <v>54</v>
      </c>
      <c r="G1303" s="2">
        <v>228.65</v>
      </c>
      <c r="H1303" s="1">
        <v>6</v>
      </c>
      <c r="I1303" s="1">
        <v>127</v>
      </c>
      <c r="J1303" s="1">
        <v>103</v>
      </c>
      <c r="K1303" s="1">
        <v>75</v>
      </c>
      <c r="L1303" s="1">
        <v>73</v>
      </c>
      <c r="M1303" s="1" t="s">
        <v>49</v>
      </c>
      <c r="N1303" s="1" t="s">
        <v>32</v>
      </c>
      <c r="O1303" t="s">
        <v>133</v>
      </c>
      <c r="P1303" s="2">
        <v>160.06</v>
      </c>
      <c r="Q1303" s="1" t="str">
        <f>IF(J240&gt;K240,"YES","NO")</f>
        <v>YES</v>
      </c>
      <c r="R1303" s="2">
        <f>IF(Q240="YES",G240*0.9,G240)</f>
        <v>205.785</v>
      </c>
      <c r="S1303" s="2">
        <f>J240*G240</f>
        <v>23550.95</v>
      </c>
      <c r="T1303" s="1">
        <f ca="1">TODAY()-DATE(MID(O240,7,4),MID(O240,4,2),LEFT(O240,2))</f>
        <v>76</v>
      </c>
      <c r="U1303" s="1" t="s">
        <v>34</v>
      </c>
      <c r="V1303" s="1" t="s">
        <v>34</v>
      </c>
      <c r="W1303" s="1" t="s">
        <v>34</v>
      </c>
      <c r="X1303" t="s">
        <v>2571</v>
      </c>
      <c r="Y1303" s="1">
        <v>5</v>
      </c>
    </row>
    <row r="1304" spans="1:25" x14ac:dyDescent="0.3">
      <c r="A1304" s="1" t="s">
        <v>2318</v>
      </c>
      <c r="B1304" s="1" t="s">
        <v>63</v>
      </c>
      <c r="C1304" s="1" t="s">
        <v>64</v>
      </c>
      <c r="D1304" s="1" t="s">
        <v>28</v>
      </c>
      <c r="E1304" s="1" t="s">
        <v>29</v>
      </c>
      <c r="F1304" s="1" t="s">
        <v>48</v>
      </c>
      <c r="G1304" s="2">
        <v>411.88</v>
      </c>
      <c r="H1304" s="1">
        <v>14</v>
      </c>
      <c r="I1304" s="1">
        <v>282</v>
      </c>
      <c r="J1304" s="1">
        <v>257</v>
      </c>
      <c r="K1304" s="1">
        <v>45</v>
      </c>
      <c r="L1304" s="1">
        <v>107</v>
      </c>
      <c r="M1304" s="1" t="s">
        <v>49</v>
      </c>
      <c r="N1304" s="1" t="s">
        <v>42</v>
      </c>
      <c r="O1304" t="s">
        <v>81</v>
      </c>
      <c r="P1304" s="2">
        <v>288.32</v>
      </c>
      <c r="Q1304" s="1" t="str">
        <f>IF(J384&gt;K384,"YES","NO")</f>
        <v>YES</v>
      </c>
      <c r="R1304" s="2">
        <f>IF(Q384="YES",G384*0.9,G384)</f>
        <v>370.69200000000001</v>
      </c>
      <c r="S1304" s="2">
        <f>J384*G384</f>
        <v>105853.16</v>
      </c>
      <c r="T1304" s="1">
        <f ca="1">TODAY()-DATE(MID(O384,7,4),MID(O384,4,2),LEFT(O384,2))</f>
        <v>81</v>
      </c>
      <c r="U1304" s="1" t="s">
        <v>34</v>
      </c>
      <c r="V1304" s="1" t="s">
        <v>34</v>
      </c>
      <c r="W1304" s="1" t="s">
        <v>34</v>
      </c>
      <c r="X1304" t="s">
        <v>2664</v>
      </c>
      <c r="Y1304" s="1">
        <v>7</v>
      </c>
    </row>
    <row r="1305" spans="1:25" x14ac:dyDescent="0.3">
      <c r="A1305" s="1" t="s">
        <v>2319</v>
      </c>
      <c r="B1305" s="1" t="s">
        <v>118</v>
      </c>
      <c r="C1305" s="1" t="s">
        <v>119</v>
      </c>
      <c r="D1305" s="1" t="s">
        <v>97</v>
      </c>
      <c r="E1305" s="1" t="s">
        <v>74</v>
      </c>
      <c r="F1305" s="1" t="s">
        <v>54</v>
      </c>
      <c r="G1305" s="2">
        <v>161.66</v>
      </c>
      <c r="H1305" s="1">
        <v>7</v>
      </c>
      <c r="I1305" s="1">
        <v>158</v>
      </c>
      <c r="J1305" s="1">
        <v>136</v>
      </c>
      <c r="K1305" s="1">
        <v>45</v>
      </c>
      <c r="L1305" s="1">
        <v>125</v>
      </c>
      <c r="M1305" s="1" t="s">
        <v>41</v>
      </c>
      <c r="N1305" s="1" t="s">
        <v>60</v>
      </c>
      <c r="O1305" t="s">
        <v>116</v>
      </c>
      <c r="P1305" s="2">
        <v>113.16</v>
      </c>
      <c r="Q1305" s="1" t="str">
        <f>IF(J507&gt;K507,"YES","NO")</f>
        <v>YES</v>
      </c>
      <c r="R1305" s="2">
        <f>IF(Q507="YES",G507*0.9,G507)</f>
        <v>145.494</v>
      </c>
      <c r="S1305" s="2">
        <f>J507*G507</f>
        <v>21985.759999999998</v>
      </c>
      <c r="T1305" s="1">
        <f ca="1">TODAY()-DATE(MID(O507,7,4),MID(O507,4,2),LEFT(O507,2))</f>
        <v>87</v>
      </c>
      <c r="U1305" s="1" t="s">
        <v>34</v>
      </c>
      <c r="V1305" s="1" t="s">
        <v>34</v>
      </c>
      <c r="W1305" s="1" t="s">
        <v>34</v>
      </c>
      <c r="X1305" t="s">
        <v>2657</v>
      </c>
      <c r="Y1305" s="1">
        <v>8.5</v>
      </c>
    </row>
    <row r="1306" spans="1:25" x14ac:dyDescent="0.3">
      <c r="A1306" s="1" t="s">
        <v>2320</v>
      </c>
      <c r="B1306" s="1" t="s">
        <v>72</v>
      </c>
      <c r="C1306" s="1" t="s">
        <v>73</v>
      </c>
      <c r="D1306" s="1" t="s">
        <v>47</v>
      </c>
      <c r="E1306" s="1" t="s">
        <v>74</v>
      </c>
      <c r="F1306" s="1" t="s">
        <v>48</v>
      </c>
      <c r="G1306" s="2">
        <v>444.28</v>
      </c>
      <c r="H1306" s="1">
        <v>21</v>
      </c>
      <c r="I1306" s="1">
        <v>270</v>
      </c>
      <c r="J1306" s="1">
        <v>234</v>
      </c>
      <c r="K1306" s="1">
        <v>120</v>
      </c>
      <c r="L1306" s="1">
        <v>56</v>
      </c>
      <c r="M1306" s="1" t="s">
        <v>31</v>
      </c>
      <c r="N1306" s="1" t="s">
        <v>60</v>
      </c>
      <c r="O1306" t="s">
        <v>75</v>
      </c>
      <c r="P1306" s="2">
        <v>311</v>
      </c>
      <c r="Q1306" s="1" t="str">
        <f>IF(J10&gt;K10,"YES","NO")</f>
        <v>YES</v>
      </c>
      <c r="R1306" s="2">
        <f>IF(Q10="YES",G10*0.9,G10)</f>
        <v>399.85199999999998</v>
      </c>
      <c r="S1306" s="2">
        <f>J10*G10</f>
        <v>103961.51999999999</v>
      </c>
      <c r="T1306" s="1">
        <f ca="1">TODAY()-DATE(MID(O10,7,4),MID(O10,4,2),LEFT(O10,2))</f>
        <v>123</v>
      </c>
      <c r="U1306" s="1" t="s">
        <v>34</v>
      </c>
      <c r="V1306" s="1" t="s">
        <v>34</v>
      </c>
      <c r="W1306" s="1" t="s">
        <v>34</v>
      </c>
      <c r="X1306" t="s">
        <v>2629</v>
      </c>
      <c r="Y1306" s="1">
        <v>5</v>
      </c>
    </row>
    <row r="1307" spans="1:25" x14ac:dyDescent="0.3">
      <c r="A1307" s="1" t="s">
        <v>2321</v>
      </c>
      <c r="B1307" s="1" t="s">
        <v>123</v>
      </c>
      <c r="C1307" s="1" t="s">
        <v>124</v>
      </c>
      <c r="D1307" s="1" t="s">
        <v>47</v>
      </c>
      <c r="E1307" s="1" t="s">
        <v>29</v>
      </c>
      <c r="F1307" s="1" t="s">
        <v>30</v>
      </c>
      <c r="G1307" s="2">
        <v>492.45</v>
      </c>
      <c r="H1307" s="1">
        <v>3</v>
      </c>
      <c r="I1307" s="1">
        <v>289</v>
      </c>
      <c r="J1307" s="1">
        <v>256</v>
      </c>
      <c r="K1307" s="1">
        <v>118</v>
      </c>
      <c r="L1307" s="1">
        <v>73</v>
      </c>
      <c r="M1307" s="1" t="s">
        <v>41</v>
      </c>
      <c r="N1307" s="1" t="s">
        <v>60</v>
      </c>
      <c r="O1307" t="s">
        <v>145</v>
      </c>
      <c r="P1307" s="2">
        <v>344.71</v>
      </c>
      <c r="Q1307" s="1" t="str">
        <f>IF(J509&gt;K509,"YES","NO")</f>
        <v>YES</v>
      </c>
      <c r="R1307" s="2">
        <f>IF(Q509="YES",G509*0.9,G509)</f>
        <v>443.20499999999998</v>
      </c>
      <c r="S1307" s="2">
        <f>J509*G509</f>
        <v>126067.2</v>
      </c>
      <c r="T1307" s="1">
        <f ca="1">TODAY()-DATE(MID(O509,7,4),MID(O509,4,2),LEFT(O509,2))</f>
        <v>68</v>
      </c>
      <c r="U1307" s="1" t="s">
        <v>34</v>
      </c>
      <c r="V1307" s="1" t="s">
        <v>34</v>
      </c>
      <c r="W1307" s="1" t="s">
        <v>34</v>
      </c>
      <c r="X1307" t="s">
        <v>2725</v>
      </c>
      <c r="Y1307" s="1">
        <v>9.5</v>
      </c>
    </row>
    <row r="1308" spans="1:25" x14ac:dyDescent="0.3">
      <c r="A1308" s="1" t="s">
        <v>2322</v>
      </c>
      <c r="B1308" s="1" t="s">
        <v>176</v>
      </c>
      <c r="C1308" s="1" t="s">
        <v>177</v>
      </c>
      <c r="D1308" s="1" t="s">
        <v>39</v>
      </c>
      <c r="E1308" s="1" t="s">
        <v>29</v>
      </c>
      <c r="F1308" s="1" t="s">
        <v>54</v>
      </c>
      <c r="G1308" s="2">
        <v>462.24</v>
      </c>
      <c r="H1308" s="1">
        <v>0</v>
      </c>
      <c r="I1308" s="1">
        <v>114</v>
      </c>
      <c r="J1308" s="1">
        <v>86</v>
      </c>
      <c r="K1308" s="1">
        <v>59</v>
      </c>
      <c r="L1308" s="1">
        <v>79</v>
      </c>
      <c r="M1308" s="1" t="s">
        <v>41</v>
      </c>
      <c r="N1308" s="1" t="s">
        <v>60</v>
      </c>
      <c r="O1308" t="s">
        <v>390</v>
      </c>
      <c r="P1308" s="2">
        <v>323.57</v>
      </c>
      <c r="Q1308" s="1" t="str">
        <f>IF(J538&gt;K538,"YES","NO")</f>
        <v>YES</v>
      </c>
      <c r="R1308" s="2">
        <f>IF(Q538="YES",G538*0.9,G538)</f>
        <v>416.01600000000002</v>
      </c>
      <c r="S1308" s="2">
        <f>J538*G538</f>
        <v>39752.639999999999</v>
      </c>
      <c r="T1308" s="1">
        <f ca="1">TODAY()-DATE(MID(O538,7,4),MID(O538,4,2),LEFT(O538,2))</f>
        <v>120</v>
      </c>
      <c r="U1308" s="1" t="s">
        <v>34</v>
      </c>
      <c r="V1308" s="1" t="s">
        <v>34</v>
      </c>
      <c r="W1308" s="1" t="s">
        <v>34</v>
      </c>
      <c r="X1308" t="s">
        <v>2917</v>
      </c>
      <c r="Y1308" s="1">
        <v>9</v>
      </c>
    </row>
    <row r="1309" spans="1:25" x14ac:dyDescent="0.3">
      <c r="A1309" s="1" t="s">
        <v>2323</v>
      </c>
      <c r="B1309" s="1" t="s">
        <v>262</v>
      </c>
      <c r="C1309" s="1" t="s">
        <v>263</v>
      </c>
      <c r="D1309" s="1" t="s">
        <v>104</v>
      </c>
      <c r="E1309" s="1" t="s">
        <v>29</v>
      </c>
      <c r="F1309" s="1" t="s">
        <v>48</v>
      </c>
      <c r="G1309" s="2">
        <v>112.3</v>
      </c>
      <c r="H1309" s="1">
        <v>15</v>
      </c>
      <c r="I1309" s="1">
        <v>123</v>
      </c>
      <c r="J1309" s="1">
        <v>89</v>
      </c>
      <c r="K1309" s="1">
        <v>44</v>
      </c>
      <c r="L1309" s="1">
        <v>61</v>
      </c>
      <c r="M1309" s="1" t="s">
        <v>41</v>
      </c>
      <c r="N1309" s="1" t="s">
        <v>32</v>
      </c>
      <c r="O1309" t="s">
        <v>178</v>
      </c>
      <c r="P1309" s="2">
        <v>78.61</v>
      </c>
      <c r="Q1309" s="1" t="str">
        <f>IF(J735&gt;K735,"YES","NO")</f>
        <v>YES</v>
      </c>
      <c r="R1309" s="2">
        <f>IF(Q735="YES",G735*0.9,G735)</f>
        <v>101.07</v>
      </c>
      <c r="S1309" s="2">
        <f>J735*G735</f>
        <v>9994.6999999999989</v>
      </c>
      <c r="T1309" s="1">
        <f ca="1">TODAY()-DATE(MID(O735,7,4),MID(O735,4,2),LEFT(O735,2))</f>
        <v>90</v>
      </c>
      <c r="U1309" s="1" t="s">
        <v>34</v>
      </c>
      <c r="V1309" s="1" t="s">
        <v>34</v>
      </c>
      <c r="W1309" s="1" t="s">
        <v>34</v>
      </c>
      <c r="X1309" t="s">
        <v>2589</v>
      </c>
      <c r="Y1309" s="1">
        <v>7.5</v>
      </c>
    </row>
    <row r="1310" spans="1:25" x14ac:dyDescent="0.3">
      <c r="A1310" s="1" t="s">
        <v>2324</v>
      </c>
      <c r="B1310" s="1" t="s">
        <v>192</v>
      </c>
      <c r="C1310" s="1" t="s">
        <v>193</v>
      </c>
      <c r="D1310" s="1" t="s">
        <v>85</v>
      </c>
      <c r="E1310" s="1" t="s">
        <v>74</v>
      </c>
      <c r="F1310" s="1" t="s">
        <v>48</v>
      </c>
      <c r="G1310" s="2">
        <v>49.46</v>
      </c>
      <c r="H1310" s="1">
        <v>10</v>
      </c>
      <c r="I1310" s="1">
        <v>224</v>
      </c>
      <c r="J1310" s="1">
        <v>201</v>
      </c>
      <c r="K1310" s="1">
        <v>43</v>
      </c>
      <c r="L1310" s="1">
        <v>58</v>
      </c>
      <c r="M1310" s="1" t="s">
        <v>49</v>
      </c>
      <c r="N1310" s="1" t="s">
        <v>60</v>
      </c>
      <c r="O1310" t="s">
        <v>347</v>
      </c>
      <c r="P1310" s="2">
        <v>34.619999999999997</v>
      </c>
      <c r="Q1310" s="1" t="str">
        <f>IF(J641&gt;K641,"YES","NO")</f>
        <v>YES</v>
      </c>
      <c r="R1310" s="2">
        <f>IF(Q641="YES",G641*0.9,G641)</f>
        <v>44.514000000000003</v>
      </c>
      <c r="S1310" s="2">
        <f>J641*G641</f>
        <v>9941.4600000000009</v>
      </c>
      <c r="T1310" s="1">
        <f ca="1">TODAY()-DATE(MID(O641,7,4),MID(O641,4,2),LEFT(O641,2))</f>
        <v>79</v>
      </c>
      <c r="U1310" s="1" t="s">
        <v>34</v>
      </c>
      <c r="V1310" s="1" t="s">
        <v>34</v>
      </c>
      <c r="W1310" s="1" t="s">
        <v>34</v>
      </c>
      <c r="X1310" t="s">
        <v>2767</v>
      </c>
      <c r="Y1310" s="1">
        <v>5.5</v>
      </c>
    </row>
    <row r="1311" spans="1:25" x14ac:dyDescent="0.3">
      <c r="A1311" s="1" t="s">
        <v>2325</v>
      </c>
      <c r="B1311" s="1" t="s">
        <v>63</v>
      </c>
      <c r="C1311" s="1" t="s">
        <v>64</v>
      </c>
      <c r="D1311" s="1" t="s">
        <v>28</v>
      </c>
      <c r="E1311" s="1" t="s">
        <v>74</v>
      </c>
      <c r="F1311" s="1" t="s">
        <v>30</v>
      </c>
      <c r="G1311" s="2">
        <v>335.18</v>
      </c>
      <c r="H1311" s="1">
        <v>4</v>
      </c>
      <c r="I1311" s="1">
        <v>139</v>
      </c>
      <c r="J1311" s="1">
        <v>119</v>
      </c>
      <c r="K1311" s="1">
        <v>96</v>
      </c>
      <c r="L1311" s="1">
        <v>52</v>
      </c>
      <c r="M1311" s="1" t="s">
        <v>41</v>
      </c>
      <c r="N1311" s="1" t="s">
        <v>42</v>
      </c>
      <c r="O1311" t="s">
        <v>81</v>
      </c>
      <c r="P1311" s="2">
        <v>234.63</v>
      </c>
      <c r="Q1311" s="1" t="str">
        <f>IF(J566&gt;K566,"YES","NO")</f>
        <v>YES</v>
      </c>
      <c r="R1311" s="2">
        <f>IF(Q566="YES",G566*0.9,G566)</f>
        <v>301.66200000000003</v>
      </c>
      <c r="S1311" s="2">
        <f>J566*G566</f>
        <v>39886.42</v>
      </c>
      <c r="T1311" s="1">
        <f ca="1">TODAY()-DATE(MID(O566,7,4),MID(O566,4,2),LEFT(O566,2))</f>
        <v>81</v>
      </c>
      <c r="U1311" s="1" t="s">
        <v>34</v>
      </c>
      <c r="V1311" s="1" t="s">
        <v>34</v>
      </c>
      <c r="W1311" s="1" t="s">
        <v>34</v>
      </c>
      <c r="X1311" t="s">
        <v>2918</v>
      </c>
      <c r="Y1311" s="1">
        <v>8</v>
      </c>
    </row>
    <row r="1312" spans="1:25" x14ac:dyDescent="0.3">
      <c r="A1312" s="1" t="s">
        <v>2326</v>
      </c>
      <c r="B1312" s="1" t="s">
        <v>107</v>
      </c>
      <c r="C1312" s="1" t="s">
        <v>108</v>
      </c>
      <c r="D1312" s="1" t="s">
        <v>39</v>
      </c>
      <c r="E1312" s="1" t="s">
        <v>74</v>
      </c>
      <c r="F1312" s="1" t="s">
        <v>30</v>
      </c>
      <c r="G1312" s="2">
        <v>224.55</v>
      </c>
      <c r="H1312" s="1">
        <v>10</v>
      </c>
      <c r="I1312" s="1">
        <v>250</v>
      </c>
      <c r="J1312" s="1">
        <v>246</v>
      </c>
      <c r="K1312" s="1">
        <v>69</v>
      </c>
      <c r="L1312" s="1">
        <v>74</v>
      </c>
      <c r="M1312" s="1" t="s">
        <v>31</v>
      </c>
      <c r="N1312" s="1" t="s">
        <v>32</v>
      </c>
      <c r="O1312" t="s">
        <v>33</v>
      </c>
      <c r="P1312" s="2">
        <v>157.19</v>
      </c>
      <c r="Q1312" s="1" t="str">
        <f>IF(J303&gt;K303,"YES","NO")</f>
        <v>YES</v>
      </c>
      <c r="R1312" s="2">
        <f>IF(Q303="YES",G303*0.9,G303)</f>
        <v>202.09500000000003</v>
      </c>
      <c r="S1312" s="2">
        <f>J303*G303</f>
        <v>55239.3</v>
      </c>
      <c r="T1312" s="1">
        <f ca="1">TODAY()-DATE(MID(O303,7,4),MID(O303,4,2),LEFT(O303,2))</f>
        <v>141</v>
      </c>
      <c r="U1312" s="1" t="s">
        <v>34</v>
      </c>
      <c r="V1312" s="1" t="s">
        <v>34</v>
      </c>
      <c r="W1312" s="1" t="s">
        <v>34</v>
      </c>
      <c r="X1312" t="s">
        <v>2870</v>
      </c>
      <c r="Y1312" s="1">
        <v>6.5</v>
      </c>
    </row>
    <row r="1313" spans="1:25" x14ac:dyDescent="0.3">
      <c r="A1313" s="1" t="s">
        <v>2327</v>
      </c>
      <c r="B1313" s="1" t="s">
        <v>102</v>
      </c>
      <c r="C1313" s="1" t="s">
        <v>103</v>
      </c>
      <c r="D1313" s="1" t="s">
        <v>104</v>
      </c>
      <c r="E1313" s="1" t="s">
        <v>29</v>
      </c>
      <c r="F1313" s="1" t="s">
        <v>48</v>
      </c>
      <c r="G1313" s="2">
        <v>180.08</v>
      </c>
      <c r="H1313" s="1">
        <v>16</v>
      </c>
      <c r="I1313" s="1">
        <v>84</v>
      </c>
      <c r="J1313" s="1">
        <v>71</v>
      </c>
      <c r="K1313" s="1">
        <v>107</v>
      </c>
      <c r="L1313" s="1">
        <v>148</v>
      </c>
      <c r="M1313" s="1" t="s">
        <v>31</v>
      </c>
      <c r="N1313" s="1" t="s">
        <v>42</v>
      </c>
      <c r="O1313" t="s">
        <v>33</v>
      </c>
      <c r="P1313" s="2">
        <v>126.06</v>
      </c>
      <c r="Q1313" s="1" t="str">
        <f>IF(J553&gt;K553,"YES","NO")</f>
        <v>NO</v>
      </c>
      <c r="R1313" s="2">
        <f>IF(Q553="YES",G553*0.9,G553)</f>
        <v>180.08</v>
      </c>
      <c r="S1313" s="2">
        <f>J553*G553</f>
        <v>12785.68</v>
      </c>
      <c r="T1313" s="1">
        <f ca="1">TODAY()-DATE(MID(O553,7,4),MID(O553,4,2),LEFT(O553,2))</f>
        <v>141</v>
      </c>
      <c r="U1313" s="1" t="s">
        <v>34</v>
      </c>
      <c r="V1313" s="1" t="s">
        <v>34</v>
      </c>
      <c r="W1313" s="1" t="s">
        <v>34</v>
      </c>
      <c r="X1313" t="s">
        <v>2734</v>
      </c>
      <c r="Y1313" s="1">
        <v>6.5</v>
      </c>
    </row>
    <row r="1314" spans="1:25" x14ac:dyDescent="0.3">
      <c r="A1314" s="1" t="s">
        <v>2328</v>
      </c>
      <c r="B1314" s="1" t="s">
        <v>176</v>
      </c>
      <c r="C1314" s="1" t="s">
        <v>177</v>
      </c>
      <c r="D1314" s="1" t="s">
        <v>39</v>
      </c>
      <c r="E1314" s="1" t="s">
        <v>74</v>
      </c>
      <c r="F1314" s="1" t="s">
        <v>30</v>
      </c>
      <c r="G1314" s="2">
        <v>145.51</v>
      </c>
      <c r="H1314" s="1">
        <v>13</v>
      </c>
      <c r="I1314" s="1">
        <v>228</v>
      </c>
      <c r="J1314" s="1">
        <v>218</v>
      </c>
      <c r="K1314" s="1">
        <v>69</v>
      </c>
      <c r="L1314" s="1">
        <v>99</v>
      </c>
      <c r="M1314" s="1" t="s">
        <v>41</v>
      </c>
      <c r="N1314" s="1" t="s">
        <v>42</v>
      </c>
      <c r="O1314" t="s">
        <v>224</v>
      </c>
      <c r="P1314" s="2">
        <v>101.86</v>
      </c>
      <c r="Q1314" s="1" t="str">
        <f>IF(J620&gt;K620,"YES","NO")</f>
        <v>YES</v>
      </c>
      <c r="R1314" s="2">
        <f>IF(Q620="YES",G620*0.9,G620)</f>
        <v>130.959</v>
      </c>
      <c r="S1314" s="2">
        <f>J620*G620</f>
        <v>31721.179999999997</v>
      </c>
      <c r="T1314" s="1">
        <f ca="1">TODAY()-DATE(MID(O620,7,4),MID(O620,4,2),LEFT(O620,2))</f>
        <v>140</v>
      </c>
      <c r="U1314" s="1" t="s">
        <v>34</v>
      </c>
      <c r="V1314" s="1" t="s">
        <v>34</v>
      </c>
      <c r="W1314" s="1" t="s">
        <v>34</v>
      </c>
      <c r="X1314" t="s">
        <v>2719</v>
      </c>
      <c r="Y1314" s="1">
        <v>5</v>
      </c>
    </row>
    <row r="1315" spans="1:25" x14ac:dyDescent="0.3">
      <c r="A1315" s="1" t="s">
        <v>2329</v>
      </c>
      <c r="B1315" s="1" t="s">
        <v>118</v>
      </c>
      <c r="C1315" s="1" t="s">
        <v>119</v>
      </c>
      <c r="D1315" s="1" t="s">
        <v>97</v>
      </c>
      <c r="E1315" s="1" t="s">
        <v>74</v>
      </c>
      <c r="F1315" s="1" t="s">
        <v>54</v>
      </c>
      <c r="G1315" s="2">
        <v>95.07</v>
      </c>
      <c r="H1315" s="1">
        <v>2</v>
      </c>
      <c r="I1315" s="1">
        <v>172</v>
      </c>
      <c r="J1315" s="1">
        <v>153</v>
      </c>
      <c r="K1315" s="1">
        <v>74</v>
      </c>
      <c r="L1315" s="1">
        <v>138</v>
      </c>
      <c r="M1315" s="1" t="s">
        <v>31</v>
      </c>
      <c r="N1315" s="1" t="s">
        <v>60</v>
      </c>
      <c r="O1315" t="s">
        <v>180</v>
      </c>
      <c r="P1315" s="2">
        <v>66.55</v>
      </c>
      <c r="Q1315" s="1" t="str">
        <f>IF(J85&gt;K85,"YES","NO")</f>
        <v>YES</v>
      </c>
      <c r="R1315" s="2">
        <f>IF(Q85="YES",G85*0.9,G85)</f>
        <v>85.563000000000002</v>
      </c>
      <c r="S1315" s="2">
        <f>J85*G85</f>
        <v>14545.71</v>
      </c>
      <c r="T1315" s="1">
        <f ca="1">TODAY()-DATE(MID(O85,7,4),MID(O85,4,2),LEFT(O85,2))</f>
        <v>122</v>
      </c>
      <c r="U1315" s="1" t="s">
        <v>34</v>
      </c>
      <c r="V1315" s="1" t="s">
        <v>34</v>
      </c>
      <c r="W1315" s="1" t="s">
        <v>34</v>
      </c>
      <c r="X1315" t="s">
        <v>2672</v>
      </c>
      <c r="Y1315" s="1">
        <v>7.5</v>
      </c>
    </row>
    <row r="1316" spans="1:25" x14ac:dyDescent="0.3">
      <c r="A1316" s="1" t="s">
        <v>2330</v>
      </c>
      <c r="B1316" s="1" t="s">
        <v>52</v>
      </c>
      <c r="C1316" s="1" t="s">
        <v>53</v>
      </c>
      <c r="D1316" s="1" t="s">
        <v>47</v>
      </c>
      <c r="E1316" s="1" t="s">
        <v>74</v>
      </c>
      <c r="F1316" s="1" t="s">
        <v>48</v>
      </c>
      <c r="G1316" s="2">
        <v>392.33</v>
      </c>
      <c r="H1316" s="1">
        <v>18</v>
      </c>
      <c r="I1316" s="1">
        <v>242</v>
      </c>
      <c r="J1316" s="1">
        <v>226</v>
      </c>
      <c r="K1316" s="1">
        <v>100</v>
      </c>
      <c r="L1316" s="1">
        <v>149</v>
      </c>
      <c r="M1316" s="1" t="s">
        <v>31</v>
      </c>
      <c r="N1316" s="1" t="s">
        <v>42</v>
      </c>
      <c r="O1316" t="s">
        <v>205</v>
      </c>
      <c r="P1316" s="2">
        <v>274.63</v>
      </c>
      <c r="Q1316" s="1" t="str">
        <f>IF(J138&gt;K138,"YES","NO")</f>
        <v>YES</v>
      </c>
      <c r="R1316" s="2">
        <f>IF(Q138="YES",G138*0.9,G138)</f>
        <v>353.09699999999998</v>
      </c>
      <c r="S1316" s="2">
        <f>J138*G138</f>
        <v>88666.58</v>
      </c>
      <c r="T1316" s="1">
        <f ca="1">TODAY()-DATE(MID(O138,7,4),MID(O138,4,2),LEFT(O138,2))</f>
        <v>74</v>
      </c>
      <c r="U1316" s="1" t="s">
        <v>34</v>
      </c>
      <c r="V1316" s="1" t="s">
        <v>34</v>
      </c>
      <c r="W1316" s="1" t="s">
        <v>34</v>
      </c>
      <c r="X1316" t="s">
        <v>2872</v>
      </c>
      <c r="Y1316" s="1">
        <v>9</v>
      </c>
    </row>
    <row r="1317" spans="1:25" x14ac:dyDescent="0.3">
      <c r="A1317" s="1" t="s">
        <v>2331</v>
      </c>
      <c r="B1317" s="1" t="s">
        <v>77</v>
      </c>
      <c r="C1317" s="1" t="s">
        <v>78</v>
      </c>
      <c r="D1317" s="1" t="s">
        <v>47</v>
      </c>
      <c r="E1317" s="1" t="s">
        <v>40</v>
      </c>
      <c r="F1317" s="1" t="s">
        <v>54</v>
      </c>
      <c r="G1317" s="2">
        <v>323.18</v>
      </c>
      <c r="H1317" s="1">
        <v>1</v>
      </c>
      <c r="I1317" s="1">
        <v>236</v>
      </c>
      <c r="J1317" s="1">
        <v>201</v>
      </c>
      <c r="K1317" s="1">
        <v>57</v>
      </c>
      <c r="L1317" s="1">
        <v>147</v>
      </c>
      <c r="M1317" s="1" t="s">
        <v>41</v>
      </c>
      <c r="N1317" s="1" t="s">
        <v>42</v>
      </c>
      <c r="O1317" t="s">
        <v>145</v>
      </c>
      <c r="P1317" s="2">
        <v>226.23</v>
      </c>
      <c r="Q1317" s="1" t="str">
        <f>IF(J224&gt;K224,"YES","NO")</f>
        <v>YES</v>
      </c>
      <c r="R1317" s="2">
        <f>IF(Q224="YES",G224*0.9,G224)</f>
        <v>290.86200000000002</v>
      </c>
      <c r="S1317" s="2">
        <f>J224*G224</f>
        <v>64959.18</v>
      </c>
      <c r="T1317" s="1">
        <f ca="1">TODAY()-DATE(MID(O224,7,4),MID(O224,4,2),LEFT(O224,2))</f>
        <v>68</v>
      </c>
      <c r="U1317" s="1" t="s">
        <v>34</v>
      </c>
      <c r="V1317" s="1" t="s">
        <v>34</v>
      </c>
      <c r="W1317" s="1" t="s">
        <v>34</v>
      </c>
      <c r="X1317" t="s">
        <v>2585</v>
      </c>
      <c r="Y1317" s="1">
        <v>7</v>
      </c>
    </row>
    <row r="1318" spans="1:25" x14ac:dyDescent="0.3">
      <c r="A1318" s="1" t="s">
        <v>2332</v>
      </c>
      <c r="B1318" s="1" t="s">
        <v>123</v>
      </c>
      <c r="C1318" s="1" t="s">
        <v>124</v>
      </c>
      <c r="D1318" s="1" t="s">
        <v>47</v>
      </c>
      <c r="E1318" s="1" t="s">
        <v>29</v>
      </c>
      <c r="F1318" s="1" t="s">
        <v>48</v>
      </c>
      <c r="G1318" s="2">
        <v>394.34</v>
      </c>
      <c r="H1318" s="1">
        <v>16</v>
      </c>
      <c r="I1318" s="1">
        <v>104</v>
      </c>
      <c r="J1318" s="1">
        <v>77</v>
      </c>
      <c r="K1318" s="1">
        <v>80</v>
      </c>
      <c r="L1318" s="1">
        <v>108</v>
      </c>
      <c r="M1318" s="1" t="s">
        <v>49</v>
      </c>
      <c r="N1318" s="1" t="s">
        <v>60</v>
      </c>
      <c r="O1318" t="s">
        <v>113</v>
      </c>
      <c r="P1318" s="2">
        <v>276.04000000000002</v>
      </c>
      <c r="Q1318" s="1" t="str">
        <f>IF(J301&gt;K301,"YES","NO")</f>
        <v>NO</v>
      </c>
      <c r="R1318" s="2">
        <f>IF(Q301="YES",G301*0.9,G301)</f>
        <v>394.34</v>
      </c>
      <c r="S1318" s="2">
        <f>J301*G301</f>
        <v>30364.179999999997</v>
      </c>
      <c r="T1318" s="1">
        <f ca="1">TODAY()-DATE(MID(O301,7,4),MID(O301,4,2),LEFT(O301,2))</f>
        <v>82</v>
      </c>
      <c r="U1318" s="1" t="s">
        <v>34</v>
      </c>
      <c r="V1318" s="1" t="s">
        <v>34</v>
      </c>
      <c r="W1318" s="1" t="s">
        <v>34</v>
      </c>
      <c r="X1318" t="s">
        <v>2902</v>
      </c>
      <c r="Y1318" s="1">
        <v>5.5</v>
      </c>
    </row>
    <row r="1319" spans="1:25" x14ac:dyDescent="0.3">
      <c r="A1319" s="1" t="s">
        <v>2333</v>
      </c>
      <c r="B1319" s="1" t="s">
        <v>111</v>
      </c>
      <c r="C1319" s="1" t="s">
        <v>112</v>
      </c>
      <c r="D1319" s="1" t="s">
        <v>97</v>
      </c>
      <c r="E1319" s="1" t="s">
        <v>29</v>
      </c>
      <c r="F1319" s="1" t="s">
        <v>54</v>
      </c>
      <c r="G1319" s="2">
        <v>411.22</v>
      </c>
      <c r="H1319" s="1">
        <v>2</v>
      </c>
      <c r="I1319" s="1">
        <v>172</v>
      </c>
      <c r="J1319" s="1">
        <v>160</v>
      </c>
      <c r="K1319" s="1">
        <v>90</v>
      </c>
      <c r="L1319" s="1">
        <v>96</v>
      </c>
      <c r="M1319" s="1" t="s">
        <v>41</v>
      </c>
      <c r="N1319" s="1" t="s">
        <v>60</v>
      </c>
      <c r="O1319" t="s">
        <v>35</v>
      </c>
      <c r="P1319" s="2">
        <v>287.85000000000002</v>
      </c>
      <c r="Q1319" s="1" t="str">
        <f>IF(J108&gt;K108,"YES","NO")</f>
        <v>YES</v>
      </c>
      <c r="R1319" s="2">
        <f>IF(Q108="YES",G108*0.9,G108)</f>
        <v>370.09800000000001</v>
      </c>
      <c r="S1319" s="2">
        <f>J108*G108</f>
        <v>65795.200000000012</v>
      </c>
      <c r="T1319" s="1">
        <f ca="1">TODAY()-DATE(MID(O108,7,4),MID(O108,4,2),LEFT(O108,2))</f>
        <v>85</v>
      </c>
      <c r="U1319" s="1" t="s">
        <v>34</v>
      </c>
      <c r="V1319" s="1" t="s">
        <v>34</v>
      </c>
      <c r="W1319" s="1" t="s">
        <v>34</v>
      </c>
      <c r="X1319" t="s">
        <v>2522</v>
      </c>
      <c r="Y1319" s="1">
        <v>9</v>
      </c>
    </row>
    <row r="1320" spans="1:25" x14ac:dyDescent="0.3">
      <c r="A1320" s="1" t="s">
        <v>2334</v>
      </c>
      <c r="B1320" s="1" t="s">
        <v>143</v>
      </c>
      <c r="C1320" s="1" t="s">
        <v>144</v>
      </c>
      <c r="D1320" s="1" t="s">
        <v>47</v>
      </c>
      <c r="E1320" s="1" t="s">
        <v>74</v>
      </c>
      <c r="F1320" s="1" t="s">
        <v>54</v>
      </c>
      <c r="G1320" s="2">
        <v>320.38</v>
      </c>
      <c r="H1320" s="1">
        <v>5</v>
      </c>
      <c r="I1320" s="1">
        <v>283</v>
      </c>
      <c r="J1320" s="1">
        <v>251</v>
      </c>
      <c r="K1320" s="1">
        <v>94</v>
      </c>
      <c r="L1320" s="1">
        <v>107</v>
      </c>
      <c r="M1320" s="1" t="s">
        <v>41</v>
      </c>
      <c r="N1320" s="1" t="s">
        <v>42</v>
      </c>
      <c r="O1320" t="s">
        <v>150</v>
      </c>
      <c r="P1320" s="2">
        <v>224.27</v>
      </c>
      <c r="Q1320" s="1" t="str">
        <f>IF(J38&gt;K38,"YES","NO")</f>
        <v>YES</v>
      </c>
      <c r="R1320" s="2">
        <f>IF(Q38="YES",G38*0.9,G38)</f>
        <v>288.34199999999998</v>
      </c>
      <c r="S1320" s="2">
        <f>J38*G38</f>
        <v>80415.38</v>
      </c>
      <c r="T1320" s="1">
        <f ca="1">TODAY()-DATE(MID(O38,7,4),MID(O38,4,2),LEFT(O38,2))</f>
        <v>116</v>
      </c>
      <c r="U1320" s="1" t="s">
        <v>34</v>
      </c>
      <c r="V1320" s="1" t="s">
        <v>34</v>
      </c>
      <c r="W1320" s="1" t="s">
        <v>34</v>
      </c>
      <c r="X1320" t="s">
        <v>2832</v>
      </c>
      <c r="Y1320" s="1">
        <v>9</v>
      </c>
    </row>
    <row r="1321" spans="1:25" x14ac:dyDescent="0.3">
      <c r="A1321" s="1" t="s">
        <v>2335</v>
      </c>
      <c r="B1321" s="1" t="s">
        <v>69</v>
      </c>
      <c r="C1321" s="1" t="s">
        <v>70</v>
      </c>
      <c r="D1321" s="1" t="s">
        <v>59</v>
      </c>
      <c r="E1321" s="1" t="s">
        <v>40</v>
      </c>
      <c r="F1321" s="1" t="s">
        <v>54</v>
      </c>
      <c r="G1321" s="2">
        <v>452.83</v>
      </c>
      <c r="H1321" s="1">
        <v>2</v>
      </c>
      <c r="I1321" s="1">
        <v>103</v>
      </c>
      <c r="J1321" s="1">
        <v>103</v>
      </c>
      <c r="K1321" s="1">
        <v>62</v>
      </c>
      <c r="L1321" s="1">
        <v>135</v>
      </c>
      <c r="M1321" s="1" t="s">
        <v>31</v>
      </c>
      <c r="N1321" s="1" t="s">
        <v>32</v>
      </c>
      <c r="O1321" t="s">
        <v>361</v>
      </c>
      <c r="P1321" s="2">
        <v>316.98</v>
      </c>
      <c r="Q1321" s="1" t="str">
        <f>IF(J295&gt;K295,"YES","NO")</f>
        <v>YES</v>
      </c>
      <c r="R1321" s="2">
        <f>IF(Q295="YES",G295*0.9,G295)</f>
        <v>407.54699999999997</v>
      </c>
      <c r="S1321" s="2">
        <f>J295*G295</f>
        <v>46641.49</v>
      </c>
      <c r="T1321" s="1">
        <f ca="1">TODAY()-DATE(MID(O295,7,4),MID(O295,4,2),LEFT(O295,2))</f>
        <v>99</v>
      </c>
      <c r="U1321" s="1" t="s">
        <v>34</v>
      </c>
      <c r="V1321" s="1" t="s">
        <v>34</v>
      </c>
      <c r="W1321" s="1" t="s">
        <v>34</v>
      </c>
      <c r="X1321" t="s">
        <v>2809</v>
      </c>
      <c r="Y1321" s="1">
        <v>7.5</v>
      </c>
    </row>
    <row r="1322" spans="1:25" x14ac:dyDescent="0.3">
      <c r="A1322" s="1" t="s">
        <v>2336</v>
      </c>
      <c r="B1322" s="1" t="s">
        <v>262</v>
      </c>
      <c r="C1322" s="1" t="s">
        <v>263</v>
      </c>
      <c r="D1322" s="1" t="s">
        <v>104</v>
      </c>
      <c r="E1322" s="1" t="s">
        <v>40</v>
      </c>
      <c r="F1322" s="1" t="s">
        <v>54</v>
      </c>
      <c r="G1322" s="2">
        <v>192.33</v>
      </c>
      <c r="H1322" s="1">
        <v>7</v>
      </c>
      <c r="I1322" s="1">
        <v>96</v>
      </c>
      <c r="J1322" s="1">
        <v>88</v>
      </c>
      <c r="K1322" s="1">
        <v>98</v>
      </c>
      <c r="L1322" s="1">
        <v>138</v>
      </c>
      <c r="M1322" s="1" t="s">
        <v>31</v>
      </c>
      <c r="N1322" s="1" t="s">
        <v>42</v>
      </c>
      <c r="O1322" t="s">
        <v>280</v>
      </c>
      <c r="P1322" s="2">
        <v>134.63</v>
      </c>
      <c r="Q1322" s="1" t="str">
        <f>IF(J486&gt;K486,"YES","NO")</f>
        <v>NO</v>
      </c>
      <c r="R1322" s="2">
        <f>IF(Q486="YES",G486*0.9,G486)</f>
        <v>192.33</v>
      </c>
      <c r="S1322" s="2">
        <f>J486*G486</f>
        <v>16925.04</v>
      </c>
      <c r="T1322" s="1">
        <f ca="1">TODAY()-DATE(MID(O486,7,4),MID(O486,4,2),LEFT(O486,2))</f>
        <v>108</v>
      </c>
      <c r="U1322" s="1" t="s">
        <v>34</v>
      </c>
      <c r="V1322" s="1" t="s">
        <v>34</v>
      </c>
      <c r="W1322" s="1" t="s">
        <v>34</v>
      </c>
      <c r="X1322" t="s">
        <v>2585</v>
      </c>
      <c r="Y1322" s="1">
        <v>8</v>
      </c>
    </row>
    <row r="1323" spans="1:25" x14ac:dyDescent="0.3">
      <c r="A1323" s="1" t="s">
        <v>2337</v>
      </c>
      <c r="B1323" s="1" t="s">
        <v>111</v>
      </c>
      <c r="C1323" s="1" t="s">
        <v>112</v>
      </c>
      <c r="D1323" s="1" t="s">
        <v>97</v>
      </c>
      <c r="E1323" s="1" t="s">
        <v>74</v>
      </c>
      <c r="F1323" s="1" t="s">
        <v>48</v>
      </c>
      <c r="G1323" s="2">
        <v>201.72</v>
      </c>
      <c r="H1323" s="1">
        <v>15</v>
      </c>
      <c r="I1323" s="1">
        <v>148</v>
      </c>
      <c r="J1323" s="1">
        <v>117</v>
      </c>
      <c r="K1323" s="1">
        <v>83</v>
      </c>
      <c r="L1323" s="1">
        <v>132</v>
      </c>
      <c r="M1323" s="1" t="s">
        <v>31</v>
      </c>
      <c r="N1323" s="1" t="s">
        <v>60</v>
      </c>
      <c r="O1323" t="s">
        <v>159</v>
      </c>
      <c r="P1323" s="2">
        <v>141.19999999999999</v>
      </c>
      <c r="Q1323" s="1" t="str">
        <f>IF(J794&gt;K794,"YES","NO")</f>
        <v>YES</v>
      </c>
      <c r="R1323" s="2">
        <f>IF(Q794="YES",G794*0.9,G794)</f>
        <v>181.548</v>
      </c>
      <c r="S1323" s="2">
        <f>J794*G794</f>
        <v>23601.24</v>
      </c>
      <c r="T1323" s="1">
        <f ca="1">TODAY()-DATE(MID(O794,7,4),MID(O794,4,2),LEFT(O794,2))</f>
        <v>134</v>
      </c>
      <c r="U1323" s="1" t="s">
        <v>34</v>
      </c>
      <c r="V1323" s="1" t="s">
        <v>34</v>
      </c>
      <c r="W1323" s="1" t="s">
        <v>34</v>
      </c>
      <c r="X1323" t="s">
        <v>2758</v>
      </c>
      <c r="Y1323" s="1">
        <v>7</v>
      </c>
    </row>
    <row r="1324" spans="1:25" x14ac:dyDescent="0.3">
      <c r="A1324" s="1" t="s">
        <v>2338</v>
      </c>
      <c r="B1324" s="1" t="s">
        <v>69</v>
      </c>
      <c r="C1324" s="1" t="s">
        <v>70</v>
      </c>
      <c r="D1324" s="1" t="s">
        <v>59</v>
      </c>
      <c r="E1324" s="1" t="s">
        <v>40</v>
      </c>
      <c r="F1324" s="1" t="s">
        <v>30</v>
      </c>
      <c r="G1324" s="2">
        <v>63.52</v>
      </c>
      <c r="H1324" s="1">
        <v>20</v>
      </c>
      <c r="I1324" s="1">
        <v>123</v>
      </c>
      <c r="J1324" s="1">
        <v>94</v>
      </c>
      <c r="K1324" s="1">
        <v>118</v>
      </c>
      <c r="L1324" s="1">
        <v>86</v>
      </c>
      <c r="M1324" s="1" t="s">
        <v>41</v>
      </c>
      <c r="N1324" s="1" t="s">
        <v>32</v>
      </c>
      <c r="O1324" t="s">
        <v>88</v>
      </c>
      <c r="P1324" s="2">
        <v>44.46</v>
      </c>
      <c r="Q1324" s="1" t="str">
        <f>IF(J565&gt;K565,"YES","NO")</f>
        <v>NO</v>
      </c>
      <c r="R1324" s="2">
        <f>IF(Q565="YES",G565*0.9,G565)</f>
        <v>63.52</v>
      </c>
      <c r="S1324" s="2">
        <f>J565*G565</f>
        <v>5970.88</v>
      </c>
      <c r="T1324" s="1">
        <f ca="1">TODAY()-DATE(MID(O565,7,4),MID(O565,4,2),LEFT(O565,2))</f>
        <v>124</v>
      </c>
      <c r="U1324" s="1" t="s">
        <v>34</v>
      </c>
      <c r="V1324" s="1" t="s">
        <v>34</v>
      </c>
      <c r="W1324" s="1" t="s">
        <v>34</v>
      </c>
      <c r="X1324" t="s">
        <v>2543</v>
      </c>
      <c r="Y1324" s="1">
        <v>7.5</v>
      </c>
    </row>
    <row r="1325" spans="1:25" x14ac:dyDescent="0.3">
      <c r="A1325" s="1" t="s">
        <v>2339</v>
      </c>
      <c r="B1325" s="1" t="s">
        <v>262</v>
      </c>
      <c r="C1325" s="1" t="s">
        <v>263</v>
      </c>
      <c r="D1325" s="1" t="s">
        <v>104</v>
      </c>
      <c r="E1325" s="1" t="s">
        <v>40</v>
      </c>
      <c r="F1325" s="1" t="s">
        <v>48</v>
      </c>
      <c r="G1325" s="2">
        <v>181.59</v>
      </c>
      <c r="H1325" s="1">
        <v>21</v>
      </c>
      <c r="I1325" s="1">
        <v>204</v>
      </c>
      <c r="J1325" s="1">
        <v>177</v>
      </c>
      <c r="K1325" s="1">
        <v>111</v>
      </c>
      <c r="L1325" s="1">
        <v>133</v>
      </c>
      <c r="M1325" s="1" t="s">
        <v>41</v>
      </c>
      <c r="N1325" s="1" t="s">
        <v>32</v>
      </c>
      <c r="O1325" t="s">
        <v>161</v>
      </c>
      <c r="P1325" s="2">
        <v>127.11</v>
      </c>
      <c r="Q1325" s="1" t="str">
        <f>IF(J741&gt;K741,"YES","NO")</f>
        <v>YES</v>
      </c>
      <c r="R1325" s="2">
        <f>IF(Q741="YES",G741*0.9,G741)</f>
        <v>163.43100000000001</v>
      </c>
      <c r="S1325" s="2">
        <f>J741*G741</f>
        <v>32141.43</v>
      </c>
      <c r="T1325" s="1">
        <f ca="1">TODAY()-DATE(MID(O741,7,4),MID(O741,4,2),LEFT(O741,2))</f>
        <v>69</v>
      </c>
      <c r="U1325" s="1" t="s">
        <v>34</v>
      </c>
      <c r="V1325" s="1" t="s">
        <v>34</v>
      </c>
      <c r="W1325" s="1" t="s">
        <v>34</v>
      </c>
      <c r="X1325" t="s">
        <v>2687</v>
      </c>
      <c r="Y1325" s="1">
        <v>5.5</v>
      </c>
    </row>
    <row r="1326" spans="1:25" x14ac:dyDescent="0.3">
      <c r="A1326" s="1" t="s">
        <v>2340</v>
      </c>
      <c r="B1326" s="1" t="s">
        <v>37</v>
      </c>
      <c r="C1326" s="1" t="s">
        <v>38</v>
      </c>
      <c r="D1326" s="1" t="s">
        <v>39</v>
      </c>
      <c r="E1326" s="1" t="s">
        <v>29</v>
      </c>
      <c r="F1326" s="1" t="s">
        <v>30</v>
      </c>
      <c r="G1326" s="2">
        <v>305.81</v>
      </c>
      <c r="H1326" s="1">
        <v>16</v>
      </c>
      <c r="I1326" s="1">
        <v>286</v>
      </c>
      <c r="J1326" s="1">
        <v>249</v>
      </c>
      <c r="K1326" s="1">
        <v>68</v>
      </c>
      <c r="L1326" s="1">
        <v>110</v>
      </c>
      <c r="M1326" s="1" t="s">
        <v>41</v>
      </c>
      <c r="N1326" s="1" t="s">
        <v>32</v>
      </c>
      <c r="O1326" t="s">
        <v>75</v>
      </c>
      <c r="P1326" s="2">
        <v>214.07</v>
      </c>
      <c r="Q1326" s="1" t="str">
        <f>IF(J475&gt;K475,"YES","NO")</f>
        <v>YES</v>
      </c>
      <c r="R1326" s="2">
        <f>IF(Q475="YES",G475*0.9,G475)</f>
        <v>275.22899999999998</v>
      </c>
      <c r="S1326" s="2">
        <f>J475*G475</f>
        <v>76146.69</v>
      </c>
      <c r="T1326" s="1">
        <f ca="1">TODAY()-DATE(MID(O475,7,4),MID(O475,4,2),LEFT(O475,2))</f>
        <v>123</v>
      </c>
      <c r="U1326" s="1" t="s">
        <v>34</v>
      </c>
      <c r="V1326" s="1" t="s">
        <v>34</v>
      </c>
      <c r="W1326" s="1" t="s">
        <v>34</v>
      </c>
      <c r="X1326" t="s">
        <v>2919</v>
      </c>
      <c r="Y1326" s="1">
        <v>7.5</v>
      </c>
    </row>
    <row r="1327" spans="1:25" x14ac:dyDescent="0.3">
      <c r="A1327" s="1" t="s">
        <v>2341</v>
      </c>
      <c r="B1327" s="1" t="s">
        <v>83</v>
      </c>
      <c r="C1327" s="1" t="s">
        <v>84</v>
      </c>
      <c r="D1327" s="1" t="s">
        <v>85</v>
      </c>
      <c r="E1327" s="1" t="s">
        <v>74</v>
      </c>
      <c r="F1327" s="1" t="s">
        <v>54</v>
      </c>
      <c r="G1327" s="2">
        <v>399.68</v>
      </c>
      <c r="H1327" s="1">
        <v>9</v>
      </c>
      <c r="I1327" s="1">
        <v>174</v>
      </c>
      <c r="J1327" s="1">
        <v>145</v>
      </c>
      <c r="K1327" s="1">
        <v>53</v>
      </c>
      <c r="L1327" s="1">
        <v>80</v>
      </c>
      <c r="M1327" s="1" t="s">
        <v>49</v>
      </c>
      <c r="N1327" s="1" t="s">
        <v>42</v>
      </c>
      <c r="O1327" t="s">
        <v>340</v>
      </c>
      <c r="P1327" s="2">
        <v>279.77999999999997</v>
      </c>
      <c r="Q1327" s="1" t="str">
        <f>IF(J431&gt;K431,"YES","NO")</f>
        <v>YES</v>
      </c>
      <c r="R1327" s="2">
        <f>IF(Q431="YES",G431*0.9,G431)</f>
        <v>359.71199999999999</v>
      </c>
      <c r="S1327" s="2">
        <f>J431*G431</f>
        <v>57953.599999999999</v>
      </c>
      <c r="T1327" s="1">
        <f ca="1">TODAY()-DATE(MID(O431,7,4),MID(O431,4,2),LEFT(O431,2))</f>
        <v>138</v>
      </c>
      <c r="U1327" s="1" t="s">
        <v>34</v>
      </c>
      <c r="V1327" s="1" t="s">
        <v>34</v>
      </c>
      <c r="W1327" s="1" t="s">
        <v>34</v>
      </c>
      <c r="X1327" t="s">
        <v>2517</v>
      </c>
      <c r="Y1327" s="1">
        <v>5.5</v>
      </c>
    </row>
    <row r="1328" spans="1:25" x14ac:dyDescent="0.3">
      <c r="A1328" s="1" t="s">
        <v>2342</v>
      </c>
      <c r="B1328" s="1" t="s">
        <v>123</v>
      </c>
      <c r="C1328" s="1" t="s">
        <v>124</v>
      </c>
      <c r="D1328" s="1" t="s">
        <v>47</v>
      </c>
      <c r="E1328" s="1" t="s">
        <v>29</v>
      </c>
      <c r="F1328" s="1" t="s">
        <v>54</v>
      </c>
      <c r="G1328" s="2">
        <v>113.09</v>
      </c>
      <c r="H1328" s="1">
        <v>5</v>
      </c>
      <c r="I1328" s="1">
        <v>99</v>
      </c>
      <c r="J1328" s="1">
        <v>79</v>
      </c>
      <c r="K1328" s="1">
        <v>41</v>
      </c>
      <c r="L1328" s="1">
        <v>59</v>
      </c>
      <c r="M1328" s="1" t="s">
        <v>31</v>
      </c>
      <c r="N1328" s="1" t="s">
        <v>60</v>
      </c>
      <c r="O1328" t="s">
        <v>88</v>
      </c>
      <c r="P1328" s="2">
        <v>79.16</v>
      </c>
      <c r="Q1328" s="1" t="str">
        <f>IF(J399&gt;K399,"YES","NO")</f>
        <v>YES</v>
      </c>
      <c r="R1328" s="2">
        <f>IF(Q399="YES",G399*0.9,G399)</f>
        <v>101.78100000000001</v>
      </c>
      <c r="S1328" s="2">
        <f>J399*G399</f>
        <v>8934.11</v>
      </c>
      <c r="T1328" s="1">
        <f ca="1">TODAY()-DATE(MID(O399,7,4),MID(O399,4,2),LEFT(O399,2))</f>
        <v>124</v>
      </c>
      <c r="U1328" s="1" t="s">
        <v>34</v>
      </c>
      <c r="V1328" s="1" t="s">
        <v>34</v>
      </c>
      <c r="W1328" s="1" t="s">
        <v>34</v>
      </c>
      <c r="X1328" t="s">
        <v>2561</v>
      </c>
      <c r="Y1328" s="1">
        <v>9.5</v>
      </c>
    </row>
    <row r="1329" spans="1:25" x14ac:dyDescent="0.3">
      <c r="A1329" s="1" t="s">
        <v>2343</v>
      </c>
      <c r="B1329" s="1" t="s">
        <v>83</v>
      </c>
      <c r="C1329" s="1" t="s">
        <v>84</v>
      </c>
      <c r="D1329" s="1" t="s">
        <v>85</v>
      </c>
      <c r="E1329" s="1" t="s">
        <v>40</v>
      </c>
      <c r="F1329" s="1" t="s">
        <v>48</v>
      </c>
      <c r="G1329" s="2">
        <v>430.7</v>
      </c>
      <c r="H1329" s="1">
        <v>15</v>
      </c>
      <c r="I1329" s="1">
        <v>237</v>
      </c>
      <c r="J1329" s="1">
        <v>237</v>
      </c>
      <c r="K1329" s="1">
        <v>80</v>
      </c>
      <c r="L1329" s="1">
        <v>103</v>
      </c>
      <c r="M1329" s="1" t="s">
        <v>41</v>
      </c>
      <c r="N1329" s="1" t="s">
        <v>60</v>
      </c>
      <c r="O1329" t="s">
        <v>220</v>
      </c>
      <c r="P1329" s="2">
        <v>301.49</v>
      </c>
      <c r="Q1329" s="1" t="str">
        <f>IF(J230&gt;K230,"YES","NO")</f>
        <v>YES</v>
      </c>
      <c r="R1329" s="2">
        <f>IF(Q230="YES",G230*0.9,G230)</f>
        <v>387.63</v>
      </c>
      <c r="S1329" s="2">
        <f>J230*G230</f>
        <v>102075.9</v>
      </c>
      <c r="T1329" s="1">
        <f ca="1">TODAY()-DATE(MID(O230,7,4),MID(O230,4,2),LEFT(O230,2))</f>
        <v>106</v>
      </c>
      <c r="U1329" s="1" t="s">
        <v>34</v>
      </c>
      <c r="V1329" s="1" t="s">
        <v>34</v>
      </c>
      <c r="W1329" s="1" t="s">
        <v>34</v>
      </c>
      <c r="X1329" t="s">
        <v>2683</v>
      </c>
      <c r="Y1329" s="1">
        <v>5</v>
      </c>
    </row>
    <row r="1330" spans="1:25" x14ac:dyDescent="0.3">
      <c r="A1330" s="1" t="s">
        <v>2344</v>
      </c>
      <c r="B1330" s="1" t="s">
        <v>172</v>
      </c>
      <c r="C1330" s="1" t="s">
        <v>173</v>
      </c>
      <c r="D1330" s="1" t="s">
        <v>132</v>
      </c>
      <c r="E1330" s="1" t="s">
        <v>74</v>
      </c>
      <c r="F1330" s="1" t="s">
        <v>30</v>
      </c>
      <c r="G1330" s="2">
        <v>148.65</v>
      </c>
      <c r="H1330" s="1">
        <v>8</v>
      </c>
      <c r="I1330" s="1">
        <v>282</v>
      </c>
      <c r="J1330" s="1">
        <v>255</v>
      </c>
      <c r="K1330" s="1">
        <v>57</v>
      </c>
      <c r="L1330" s="1">
        <v>51</v>
      </c>
      <c r="M1330" s="1" t="s">
        <v>41</v>
      </c>
      <c r="N1330" s="1" t="s">
        <v>60</v>
      </c>
      <c r="O1330" t="s">
        <v>159</v>
      </c>
      <c r="P1330" s="2">
        <v>104.05</v>
      </c>
      <c r="Q1330" s="1" t="str">
        <f>IF(J442&gt;K442,"YES","NO")</f>
        <v>YES</v>
      </c>
      <c r="R1330" s="2">
        <f>IF(Q442="YES",G442*0.9,G442)</f>
        <v>133.785</v>
      </c>
      <c r="S1330" s="2">
        <f>J442*G442</f>
        <v>37905.75</v>
      </c>
      <c r="T1330" s="1">
        <f ca="1">TODAY()-DATE(MID(O442,7,4),MID(O442,4,2),LEFT(O442,2))</f>
        <v>134</v>
      </c>
      <c r="U1330" s="1" t="s">
        <v>34</v>
      </c>
      <c r="V1330" s="1" t="s">
        <v>34</v>
      </c>
      <c r="W1330" s="1" t="s">
        <v>34</v>
      </c>
      <c r="X1330" t="s">
        <v>2914</v>
      </c>
      <c r="Y1330" s="1">
        <v>6</v>
      </c>
    </row>
    <row r="1331" spans="1:25" x14ac:dyDescent="0.3">
      <c r="A1331" s="1" t="s">
        <v>2345</v>
      </c>
      <c r="B1331" s="1" t="s">
        <v>52</v>
      </c>
      <c r="C1331" s="1" t="s">
        <v>53</v>
      </c>
      <c r="D1331" s="1" t="s">
        <v>47</v>
      </c>
      <c r="E1331" s="1" t="s">
        <v>40</v>
      </c>
      <c r="F1331" s="1" t="s">
        <v>30</v>
      </c>
      <c r="G1331" s="2">
        <v>114.38</v>
      </c>
      <c r="H1331" s="1">
        <v>1</v>
      </c>
      <c r="I1331" s="1">
        <v>291</v>
      </c>
      <c r="J1331" s="1">
        <v>257</v>
      </c>
      <c r="K1331" s="1">
        <v>118</v>
      </c>
      <c r="L1331" s="1">
        <v>69</v>
      </c>
      <c r="M1331" s="1" t="s">
        <v>41</v>
      </c>
      <c r="N1331" s="1" t="s">
        <v>60</v>
      </c>
      <c r="O1331" t="s">
        <v>240</v>
      </c>
      <c r="P1331" s="2">
        <v>80.069999999999993</v>
      </c>
      <c r="Q1331" s="1" t="str">
        <f>IF(J145&gt;K145,"YES","NO")</f>
        <v>YES</v>
      </c>
      <c r="R1331" s="2">
        <f>IF(Q145="YES",G145*0.9,G145)</f>
        <v>102.94199999999999</v>
      </c>
      <c r="S1331" s="2">
        <f>J145*G145</f>
        <v>29395.66</v>
      </c>
      <c r="T1331" s="1">
        <f ca="1">TODAY()-DATE(MID(O145,7,4),MID(O145,4,2),LEFT(O145,2))</f>
        <v>111</v>
      </c>
      <c r="U1331" s="1" t="s">
        <v>34</v>
      </c>
      <c r="V1331" s="1" t="s">
        <v>34</v>
      </c>
      <c r="W1331" s="1" t="s">
        <v>34</v>
      </c>
      <c r="X1331" t="s">
        <v>2916</v>
      </c>
      <c r="Y1331" s="1">
        <v>7.5</v>
      </c>
    </row>
    <row r="1332" spans="1:25" x14ac:dyDescent="0.3">
      <c r="A1332" s="1" t="s">
        <v>2346</v>
      </c>
      <c r="B1332" s="1" t="s">
        <v>262</v>
      </c>
      <c r="C1332" s="1" t="s">
        <v>263</v>
      </c>
      <c r="D1332" s="1" t="s">
        <v>104</v>
      </c>
      <c r="E1332" s="1" t="s">
        <v>40</v>
      </c>
      <c r="F1332" s="1" t="s">
        <v>48</v>
      </c>
      <c r="G1332" s="2">
        <v>181.59</v>
      </c>
      <c r="H1332" s="1">
        <v>21</v>
      </c>
      <c r="I1332" s="1">
        <v>204</v>
      </c>
      <c r="J1332" s="1">
        <v>177</v>
      </c>
      <c r="K1332" s="1">
        <v>111</v>
      </c>
      <c r="L1332" s="1">
        <v>133</v>
      </c>
      <c r="M1332" s="1" t="s">
        <v>41</v>
      </c>
      <c r="N1332" s="1" t="s">
        <v>32</v>
      </c>
      <c r="O1332" t="s">
        <v>161</v>
      </c>
      <c r="P1332" s="2">
        <v>127.11</v>
      </c>
      <c r="Q1332" s="1" t="str">
        <f>IF(J741&gt;K741,"YES","NO")</f>
        <v>YES</v>
      </c>
      <c r="R1332" s="2">
        <f>IF(Q741="YES",G741*0.9,G741)</f>
        <v>163.43100000000001</v>
      </c>
      <c r="S1332" s="2">
        <f>J741*G741</f>
        <v>32141.43</v>
      </c>
      <c r="T1332" s="1">
        <f ca="1">TODAY()-DATE(MID(O741,7,4),MID(O741,4,2),LEFT(O741,2))</f>
        <v>69</v>
      </c>
      <c r="U1332" s="1" t="s">
        <v>34</v>
      </c>
      <c r="V1332" s="1" t="s">
        <v>34</v>
      </c>
      <c r="W1332" s="1" t="s">
        <v>34</v>
      </c>
      <c r="X1332" t="s">
        <v>2803</v>
      </c>
      <c r="Y1332" s="1">
        <v>5.5</v>
      </c>
    </row>
    <row r="1333" spans="1:25" x14ac:dyDescent="0.3">
      <c r="A1333" s="1" t="s">
        <v>2347</v>
      </c>
      <c r="B1333" s="1" t="s">
        <v>102</v>
      </c>
      <c r="C1333" s="1" t="s">
        <v>103</v>
      </c>
      <c r="D1333" s="1" t="s">
        <v>104</v>
      </c>
      <c r="E1333" s="1" t="s">
        <v>40</v>
      </c>
      <c r="F1333" s="1" t="s">
        <v>48</v>
      </c>
      <c r="G1333" s="2">
        <v>151.32</v>
      </c>
      <c r="H1333" s="1">
        <v>12</v>
      </c>
      <c r="I1333" s="1">
        <v>227</v>
      </c>
      <c r="J1333" s="1">
        <v>224</v>
      </c>
      <c r="K1333" s="1">
        <v>41</v>
      </c>
      <c r="L1333" s="1">
        <v>75</v>
      </c>
      <c r="M1333" s="1" t="s">
        <v>49</v>
      </c>
      <c r="N1333" s="1" t="s">
        <v>60</v>
      </c>
      <c r="O1333" t="s">
        <v>398</v>
      </c>
      <c r="P1333" s="2">
        <v>105.92</v>
      </c>
      <c r="Q1333" s="1" t="str">
        <f>IF(J729&gt;K729,"YES","NO")</f>
        <v>YES</v>
      </c>
      <c r="R1333" s="2">
        <f>IF(Q729="YES",G729*0.9,G729)</f>
        <v>136.18799999999999</v>
      </c>
      <c r="S1333" s="2">
        <f>J729*G729</f>
        <v>33895.68</v>
      </c>
      <c r="T1333" s="1">
        <f ca="1">TODAY()-DATE(MID(O729,7,4),MID(O729,4,2),LEFT(O729,2))</f>
        <v>86</v>
      </c>
      <c r="U1333" s="1" t="s">
        <v>34</v>
      </c>
      <c r="V1333" s="1" t="s">
        <v>34</v>
      </c>
      <c r="W1333" s="1" t="s">
        <v>34</v>
      </c>
      <c r="X1333" t="s">
        <v>2631</v>
      </c>
      <c r="Y1333" s="1">
        <v>9.5</v>
      </c>
    </row>
    <row r="1334" spans="1:25" x14ac:dyDescent="0.3">
      <c r="A1334" s="1" t="s">
        <v>2348</v>
      </c>
      <c r="B1334" s="1" t="s">
        <v>77</v>
      </c>
      <c r="C1334" s="1" t="s">
        <v>78</v>
      </c>
      <c r="D1334" s="1" t="s">
        <v>47</v>
      </c>
      <c r="E1334" s="1" t="s">
        <v>40</v>
      </c>
      <c r="F1334" s="1" t="s">
        <v>30</v>
      </c>
      <c r="G1334" s="2">
        <v>382.53</v>
      </c>
      <c r="H1334" s="1">
        <v>23</v>
      </c>
      <c r="I1334" s="1">
        <v>128</v>
      </c>
      <c r="J1334" s="1">
        <v>125</v>
      </c>
      <c r="K1334" s="1">
        <v>46</v>
      </c>
      <c r="L1334" s="1">
        <v>90</v>
      </c>
      <c r="M1334" s="1" t="s">
        <v>49</v>
      </c>
      <c r="N1334" s="1" t="s">
        <v>32</v>
      </c>
      <c r="O1334" t="s">
        <v>309</v>
      </c>
      <c r="P1334" s="2">
        <v>267.77</v>
      </c>
      <c r="Q1334" s="1" t="str">
        <f>IF(J369&gt;K369,"YES","NO")</f>
        <v>YES</v>
      </c>
      <c r="R1334" s="2">
        <f>IF(Q369="YES",G369*0.9,G369)</f>
        <v>344.27699999999999</v>
      </c>
      <c r="S1334" s="2">
        <f>J369*G369</f>
        <v>47816.25</v>
      </c>
      <c r="T1334" s="1">
        <f ca="1">TODAY()-DATE(MID(O369,7,4),MID(O369,4,2),LEFT(O369,2))</f>
        <v>67</v>
      </c>
      <c r="U1334" s="1" t="s">
        <v>34</v>
      </c>
      <c r="V1334" s="1" t="s">
        <v>34</v>
      </c>
      <c r="W1334" s="1" t="s">
        <v>34</v>
      </c>
      <c r="X1334" t="s">
        <v>2865</v>
      </c>
      <c r="Y1334" s="1">
        <v>9.5</v>
      </c>
    </row>
    <row r="1335" spans="1:25" x14ac:dyDescent="0.3">
      <c r="A1335" s="1" t="s">
        <v>2349</v>
      </c>
      <c r="B1335" s="1" t="s">
        <v>45</v>
      </c>
      <c r="C1335" s="1" t="s">
        <v>46</v>
      </c>
      <c r="D1335" s="1" t="s">
        <v>47</v>
      </c>
      <c r="E1335" s="1" t="s">
        <v>74</v>
      </c>
      <c r="F1335" s="1" t="s">
        <v>54</v>
      </c>
      <c r="G1335" s="2">
        <v>198.13</v>
      </c>
      <c r="H1335" s="1">
        <v>14</v>
      </c>
      <c r="I1335" s="1">
        <v>109</v>
      </c>
      <c r="J1335" s="1">
        <v>87</v>
      </c>
      <c r="K1335" s="1">
        <v>62</v>
      </c>
      <c r="L1335" s="1">
        <v>81</v>
      </c>
      <c r="M1335" s="1" t="s">
        <v>31</v>
      </c>
      <c r="N1335" s="1" t="s">
        <v>32</v>
      </c>
      <c r="O1335" t="s">
        <v>205</v>
      </c>
      <c r="P1335" s="2">
        <v>138.69</v>
      </c>
      <c r="Q1335" s="1" t="str">
        <f>IF(J546&gt;K546,"YES","NO")</f>
        <v>YES</v>
      </c>
      <c r="R1335" s="2">
        <f>IF(Q546="YES",G546*0.9,G546)</f>
        <v>178.31700000000001</v>
      </c>
      <c r="S1335" s="2">
        <f>J546*G546</f>
        <v>17237.310000000001</v>
      </c>
      <c r="T1335" s="1">
        <f ca="1">TODAY()-DATE(MID(O546,7,4),MID(O546,4,2),LEFT(O546,2))</f>
        <v>74</v>
      </c>
      <c r="U1335" s="1" t="s">
        <v>34</v>
      </c>
      <c r="V1335" s="1" t="s">
        <v>34</v>
      </c>
      <c r="W1335" s="1" t="s">
        <v>34</v>
      </c>
      <c r="X1335" t="s">
        <v>2757</v>
      </c>
      <c r="Y1335" s="1">
        <v>8</v>
      </c>
    </row>
    <row r="1336" spans="1:25" x14ac:dyDescent="0.3">
      <c r="A1336" s="1" t="s">
        <v>2350</v>
      </c>
      <c r="B1336" s="1" t="s">
        <v>102</v>
      </c>
      <c r="C1336" s="1" t="s">
        <v>103</v>
      </c>
      <c r="D1336" s="1" t="s">
        <v>104</v>
      </c>
      <c r="E1336" s="1" t="s">
        <v>74</v>
      </c>
      <c r="F1336" s="1" t="s">
        <v>48</v>
      </c>
      <c r="G1336" s="2">
        <v>46.6</v>
      </c>
      <c r="H1336" s="1">
        <v>25</v>
      </c>
      <c r="I1336" s="1">
        <v>99</v>
      </c>
      <c r="J1336" s="1">
        <v>65</v>
      </c>
      <c r="K1336" s="1">
        <v>46</v>
      </c>
      <c r="L1336" s="1">
        <v>129</v>
      </c>
      <c r="M1336" s="1" t="s">
        <v>31</v>
      </c>
      <c r="N1336" s="1" t="s">
        <v>42</v>
      </c>
      <c r="O1336" t="s">
        <v>207</v>
      </c>
      <c r="P1336" s="2">
        <v>32.619999999999997</v>
      </c>
      <c r="Q1336" s="1" t="str">
        <f>IF(J480&gt;K480,"YES","NO")</f>
        <v>YES</v>
      </c>
      <c r="R1336" s="2">
        <f>IF(Q480="YES",G480*0.9,G480)</f>
        <v>41.940000000000005</v>
      </c>
      <c r="S1336" s="2">
        <f>J480*G480</f>
        <v>3029</v>
      </c>
      <c r="T1336" s="1">
        <f ca="1">TODAY()-DATE(MID(O480,7,4),MID(O480,4,2),LEFT(O480,2))</f>
        <v>98</v>
      </c>
      <c r="U1336" s="1" t="s">
        <v>34</v>
      </c>
      <c r="V1336" s="1" t="s">
        <v>34</v>
      </c>
      <c r="W1336" s="1" t="s">
        <v>34</v>
      </c>
      <c r="X1336" t="s">
        <v>2687</v>
      </c>
      <c r="Y1336" s="1">
        <v>5</v>
      </c>
    </row>
    <row r="1337" spans="1:25" x14ac:dyDescent="0.3">
      <c r="A1337" s="1" t="s">
        <v>2351</v>
      </c>
      <c r="B1337" s="1" t="s">
        <v>262</v>
      </c>
      <c r="C1337" s="1" t="s">
        <v>263</v>
      </c>
      <c r="D1337" s="1" t="s">
        <v>104</v>
      </c>
      <c r="E1337" s="1" t="s">
        <v>74</v>
      </c>
      <c r="F1337" s="1" t="s">
        <v>54</v>
      </c>
      <c r="G1337" s="2">
        <v>83.68</v>
      </c>
      <c r="H1337" s="1">
        <v>25</v>
      </c>
      <c r="I1337" s="1">
        <v>290</v>
      </c>
      <c r="J1337" s="1">
        <v>252</v>
      </c>
      <c r="K1337" s="1">
        <v>52</v>
      </c>
      <c r="L1337" s="1">
        <v>82</v>
      </c>
      <c r="M1337" s="1" t="s">
        <v>31</v>
      </c>
      <c r="N1337" s="1" t="s">
        <v>42</v>
      </c>
      <c r="O1337" t="s">
        <v>161</v>
      </c>
      <c r="P1337" s="2">
        <v>58.58</v>
      </c>
      <c r="Q1337" s="1" t="str">
        <f>IF(J452&gt;K452,"YES","NO")</f>
        <v>YES</v>
      </c>
      <c r="R1337" s="2">
        <f>IF(Q452="YES",G452*0.9,G452)</f>
        <v>75.312000000000012</v>
      </c>
      <c r="S1337" s="2">
        <f>J452*G452</f>
        <v>21087.360000000001</v>
      </c>
      <c r="T1337" s="1">
        <f ca="1">TODAY()-DATE(MID(O452,7,4),MID(O452,4,2),LEFT(O452,2))</f>
        <v>69</v>
      </c>
      <c r="U1337" s="1" t="s">
        <v>34</v>
      </c>
      <c r="V1337" s="1" t="s">
        <v>34</v>
      </c>
      <c r="W1337" s="1" t="s">
        <v>34</v>
      </c>
      <c r="X1337" t="s">
        <v>2881</v>
      </c>
      <c r="Y1337" s="1">
        <v>6</v>
      </c>
    </row>
    <row r="1338" spans="1:25" x14ac:dyDescent="0.3">
      <c r="A1338" s="1" t="s">
        <v>2352</v>
      </c>
      <c r="B1338" s="1" t="s">
        <v>143</v>
      </c>
      <c r="C1338" s="1" t="s">
        <v>144</v>
      </c>
      <c r="D1338" s="1" t="s">
        <v>47</v>
      </c>
      <c r="E1338" s="1" t="s">
        <v>40</v>
      </c>
      <c r="F1338" s="1" t="s">
        <v>48</v>
      </c>
      <c r="G1338" s="2">
        <v>119.13</v>
      </c>
      <c r="H1338" s="1">
        <v>4</v>
      </c>
      <c r="I1338" s="1">
        <v>149</v>
      </c>
      <c r="J1338" s="1">
        <v>149</v>
      </c>
      <c r="K1338" s="1">
        <v>50</v>
      </c>
      <c r="L1338" s="1">
        <v>111</v>
      </c>
      <c r="M1338" s="1" t="s">
        <v>31</v>
      </c>
      <c r="N1338" s="1" t="s">
        <v>42</v>
      </c>
      <c r="O1338" t="s">
        <v>398</v>
      </c>
      <c r="P1338" s="2">
        <v>83.39</v>
      </c>
      <c r="Q1338" s="1" t="str">
        <f>IF(J722&gt;K722,"YES","NO")</f>
        <v>YES</v>
      </c>
      <c r="R1338" s="2">
        <f>IF(Q722="YES",G722*0.9,G722)</f>
        <v>107.217</v>
      </c>
      <c r="S1338" s="2">
        <f>J722*G722</f>
        <v>17750.37</v>
      </c>
      <c r="T1338" s="1">
        <f ca="1">TODAY()-DATE(MID(O722,7,4),MID(O722,4,2),LEFT(O722,2))</f>
        <v>86</v>
      </c>
      <c r="U1338" s="1" t="s">
        <v>34</v>
      </c>
      <c r="V1338" s="1" t="s">
        <v>34</v>
      </c>
      <c r="W1338" s="1" t="s">
        <v>34</v>
      </c>
      <c r="X1338" t="s">
        <v>2594</v>
      </c>
      <c r="Y1338" s="1">
        <v>6</v>
      </c>
    </row>
    <row r="1339" spans="1:25" x14ac:dyDescent="0.3">
      <c r="A1339" s="1" t="s">
        <v>2353</v>
      </c>
      <c r="B1339" s="1" t="s">
        <v>69</v>
      </c>
      <c r="C1339" s="1" t="s">
        <v>70</v>
      </c>
      <c r="D1339" s="1" t="s">
        <v>59</v>
      </c>
      <c r="E1339" s="1" t="s">
        <v>40</v>
      </c>
      <c r="F1339" s="1" t="s">
        <v>48</v>
      </c>
      <c r="G1339" s="2">
        <v>495.76</v>
      </c>
      <c r="H1339" s="1">
        <v>18</v>
      </c>
      <c r="I1339" s="1">
        <v>185</v>
      </c>
      <c r="J1339" s="1">
        <v>170</v>
      </c>
      <c r="K1339" s="1">
        <v>59</v>
      </c>
      <c r="L1339" s="1">
        <v>94</v>
      </c>
      <c r="M1339" s="1" t="s">
        <v>31</v>
      </c>
      <c r="N1339" s="1" t="s">
        <v>42</v>
      </c>
      <c r="O1339" t="s">
        <v>33</v>
      </c>
      <c r="P1339" s="2">
        <v>347.03</v>
      </c>
      <c r="Q1339" s="1" t="str">
        <f>IF(J9&gt;K9,"YES","NO")</f>
        <v>YES</v>
      </c>
      <c r="R1339" s="2">
        <f>IF(Q9="YES",G9*0.9,G9)</f>
        <v>446.18400000000003</v>
      </c>
      <c r="S1339" s="2">
        <f>J9*G9</f>
        <v>84279.2</v>
      </c>
      <c r="T1339" s="1">
        <f ca="1">TODAY()-DATE(MID(O9,7,4),MID(O9,4,2),LEFT(O9,2))</f>
        <v>141</v>
      </c>
      <c r="U1339" s="1" t="s">
        <v>34</v>
      </c>
      <c r="V1339" s="1" t="s">
        <v>34</v>
      </c>
      <c r="W1339" s="1" t="s">
        <v>34</v>
      </c>
      <c r="X1339" t="s">
        <v>2607</v>
      </c>
      <c r="Y1339" s="1">
        <v>9.5</v>
      </c>
    </row>
    <row r="1340" spans="1:25" x14ac:dyDescent="0.3">
      <c r="A1340" s="1" t="s">
        <v>2354</v>
      </c>
      <c r="B1340" s="1" t="s">
        <v>102</v>
      </c>
      <c r="C1340" s="1" t="s">
        <v>103</v>
      </c>
      <c r="D1340" s="1" t="s">
        <v>104</v>
      </c>
      <c r="E1340" s="1" t="s">
        <v>29</v>
      </c>
      <c r="F1340" s="1" t="s">
        <v>48</v>
      </c>
      <c r="G1340" s="2">
        <v>180.08</v>
      </c>
      <c r="H1340" s="1">
        <v>16</v>
      </c>
      <c r="I1340" s="1">
        <v>84</v>
      </c>
      <c r="J1340" s="1">
        <v>71</v>
      </c>
      <c r="K1340" s="1">
        <v>107</v>
      </c>
      <c r="L1340" s="1">
        <v>148</v>
      </c>
      <c r="M1340" s="1" t="s">
        <v>31</v>
      </c>
      <c r="N1340" s="1" t="s">
        <v>42</v>
      </c>
      <c r="O1340" t="s">
        <v>33</v>
      </c>
      <c r="P1340" s="2">
        <v>126.06</v>
      </c>
      <c r="Q1340" s="1" t="str">
        <f>IF(J553&gt;K553,"YES","NO")</f>
        <v>NO</v>
      </c>
      <c r="R1340" s="2">
        <f>IF(Q553="YES",G553*0.9,G553)</f>
        <v>180.08</v>
      </c>
      <c r="S1340" s="2">
        <f>J553*G553</f>
        <v>12785.68</v>
      </c>
      <c r="T1340" s="1">
        <f ca="1">TODAY()-DATE(MID(O553,7,4),MID(O553,4,2),LEFT(O553,2))</f>
        <v>141</v>
      </c>
      <c r="U1340" s="1" t="s">
        <v>34</v>
      </c>
      <c r="V1340" s="1" t="s">
        <v>34</v>
      </c>
      <c r="W1340" s="1" t="s">
        <v>34</v>
      </c>
      <c r="X1340" t="s">
        <v>2822</v>
      </c>
      <c r="Y1340" s="1">
        <v>6.5</v>
      </c>
    </row>
    <row r="1341" spans="1:25" x14ac:dyDescent="0.3">
      <c r="A1341" s="1" t="s">
        <v>2355</v>
      </c>
      <c r="B1341" s="1" t="s">
        <v>37</v>
      </c>
      <c r="C1341" s="1" t="s">
        <v>38</v>
      </c>
      <c r="D1341" s="1" t="s">
        <v>39</v>
      </c>
      <c r="E1341" s="1" t="s">
        <v>40</v>
      </c>
      <c r="F1341" s="1" t="s">
        <v>54</v>
      </c>
      <c r="G1341" s="2">
        <v>320.47000000000003</v>
      </c>
      <c r="H1341" s="1">
        <v>19</v>
      </c>
      <c r="I1341" s="1">
        <v>226</v>
      </c>
      <c r="J1341" s="1">
        <v>212</v>
      </c>
      <c r="K1341" s="1">
        <v>118</v>
      </c>
      <c r="L1341" s="1">
        <v>133</v>
      </c>
      <c r="M1341" s="1" t="s">
        <v>49</v>
      </c>
      <c r="N1341" s="1" t="s">
        <v>60</v>
      </c>
      <c r="O1341" t="s">
        <v>105</v>
      </c>
      <c r="P1341" s="2">
        <v>224.33</v>
      </c>
      <c r="Q1341" s="1" t="str">
        <f>IF(J171&gt;K171,"YES","NO")</f>
        <v>YES</v>
      </c>
      <c r="R1341" s="2">
        <f>IF(Q171="YES",G171*0.9,G171)</f>
        <v>288.42300000000006</v>
      </c>
      <c r="S1341" s="2">
        <f>J171*G171</f>
        <v>67939.64</v>
      </c>
      <c r="T1341" s="1">
        <f ca="1">TODAY()-DATE(MID(O171,7,4),MID(O171,4,2),LEFT(O171,2))</f>
        <v>144</v>
      </c>
      <c r="U1341" s="1" t="s">
        <v>34</v>
      </c>
      <c r="V1341" s="1" t="s">
        <v>34</v>
      </c>
      <c r="W1341" s="1" t="s">
        <v>34</v>
      </c>
      <c r="X1341" t="s">
        <v>2729</v>
      </c>
      <c r="Y1341" s="1">
        <v>5.5</v>
      </c>
    </row>
    <row r="1342" spans="1:25" x14ac:dyDescent="0.3">
      <c r="A1342" s="1" t="s">
        <v>2356</v>
      </c>
      <c r="B1342" s="1" t="s">
        <v>45</v>
      </c>
      <c r="C1342" s="1" t="s">
        <v>46</v>
      </c>
      <c r="D1342" s="1" t="s">
        <v>47</v>
      </c>
      <c r="E1342" s="1" t="s">
        <v>40</v>
      </c>
      <c r="F1342" s="1" t="s">
        <v>30</v>
      </c>
      <c r="G1342" s="2">
        <v>363.19</v>
      </c>
      <c r="H1342" s="1">
        <v>13</v>
      </c>
      <c r="I1342" s="1">
        <v>172</v>
      </c>
      <c r="J1342" s="1">
        <v>140</v>
      </c>
      <c r="K1342" s="1">
        <v>90</v>
      </c>
      <c r="L1342" s="1">
        <v>149</v>
      </c>
      <c r="M1342" s="1" t="s">
        <v>31</v>
      </c>
      <c r="N1342" s="1" t="s">
        <v>60</v>
      </c>
      <c r="O1342" t="s">
        <v>81</v>
      </c>
      <c r="P1342" s="2">
        <v>254.23</v>
      </c>
      <c r="Q1342" s="1" t="str">
        <f>IF(J775&gt;K775,"YES","NO")</f>
        <v>YES</v>
      </c>
      <c r="R1342" s="2">
        <f>IF(Q775="YES",G775*0.9,G775)</f>
        <v>326.87099999999998</v>
      </c>
      <c r="S1342" s="2">
        <f>J775*G775</f>
        <v>50846.6</v>
      </c>
      <c r="T1342" s="1">
        <f ca="1">TODAY()-DATE(MID(O775,7,4),MID(O775,4,2),LEFT(O775,2))</f>
        <v>81</v>
      </c>
      <c r="U1342" s="1" t="s">
        <v>34</v>
      </c>
      <c r="V1342" s="1" t="s">
        <v>34</v>
      </c>
      <c r="W1342" s="1" t="s">
        <v>34</v>
      </c>
      <c r="X1342" t="s">
        <v>2646</v>
      </c>
      <c r="Y1342" s="1">
        <v>7.5</v>
      </c>
    </row>
    <row r="1343" spans="1:25" x14ac:dyDescent="0.3">
      <c r="A1343" s="1" t="s">
        <v>2357</v>
      </c>
      <c r="B1343" s="1" t="s">
        <v>107</v>
      </c>
      <c r="C1343" s="1" t="s">
        <v>108</v>
      </c>
      <c r="D1343" s="1" t="s">
        <v>39</v>
      </c>
      <c r="E1343" s="1" t="s">
        <v>40</v>
      </c>
      <c r="F1343" s="1" t="s">
        <v>30</v>
      </c>
      <c r="G1343" s="2">
        <v>240.8</v>
      </c>
      <c r="H1343" s="1">
        <v>7</v>
      </c>
      <c r="I1343" s="1">
        <v>295</v>
      </c>
      <c r="J1343" s="1">
        <v>260</v>
      </c>
      <c r="K1343" s="1">
        <v>87</v>
      </c>
      <c r="L1343" s="1">
        <v>133</v>
      </c>
      <c r="M1343" s="1" t="s">
        <v>41</v>
      </c>
      <c r="N1343" s="1" t="s">
        <v>60</v>
      </c>
      <c r="O1343" t="s">
        <v>195</v>
      </c>
      <c r="P1343" s="2">
        <v>168.56</v>
      </c>
      <c r="Q1343" s="1" t="str">
        <f>IF(J190&gt;K190,"YES","NO")</f>
        <v>YES</v>
      </c>
      <c r="R1343" s="2">
        <f>IF(Q190="YES",G190*0.9,G190)</f>
        <v>216.72000000000003</v>
      </c>
      <c r="S1343" s="2">
        <f>J190*G190</f>
        <v>62608</v>
      </c>
      <c r="T1343" s="1">
        <f ca="1">TODAY()-DATE(MID(O190,7,4),MID(O190,4,2),LEFT(O190,2))</f>
        <v>63</v>
      </c>
      <c r="U1343" s="1" t="s">
        <v>34</v>
      </c>
      <c r="V1343" s="1" t="s">
        <v>34</v>
      </c>
      <c r="W1343" s="1" t="s">
        <v>34</v>
      </c>
      <c r="X1343" t="s">
        <v>2868</v>
      </c>
      <c r="Y1343" s="1">
        <v>5</v>
      </c>
    </row>
    <row r="1344" spans="1:25" x14ac:dyDescent="0.3">
      <c r="A1344" s="1" t="s">
        <v>2358</v>
      </c>
      <c r="B1344" s="1" t="s">
        <v>37</v>
      </c>
      <c r="C1344" s="1" t="s">
        <v>38</v>
      </c>
      <c r="D1344" s="1" t="s">
        <v>39</v>
      </c>
      <c r="E1344" s="1" t="s">
        <v>40</v>
      </c>
      <c r="F1344" s="1" t="s">
        <v>54</v>
      </c>
      <c r="G1344" s="2">
        <v>93.65</v>
      </c>
      <c r="H1344" s="1">
        <v>18</v>
      </c>
      <c r="I1344" s="1">
        <v>208</v>
      </c>
      <c r="J1344" s="1">
        <v>190</v>
      </c>
      <c r="K1344" s="1">
        <v>114</v>
      </c>
      <c r="L1344" s="1">
        <v>54</v>
      </c>
      <c r="M1344" s="1" t="s">
        <v>31</v>
      </c>
      <c r="N1344" s="1" t="s">
        <v>42</v>
      </c>
      <c r="O1344" t="s">
        <v>43</v>
      </c>
      <c r="P1344" s="2">
        <v>65.56</v>
      </c>
      <c r="Q1344" s="1" t="str">
        <f>IF(J103&gt;K103,"YES","NO")</f>
        <v>YES</v>
      </c>
      <c r="R1344" s="2">
        <f>IF(Q103="YES",G103*0.9,G103)</f>
        <v>84.285000000000011</v>
      </c>
      <c r="S1344" s="2">
        <f>J103*G103</f>
        <v>17793.5</v>
      </c>
      <c r="T1344" s="1">
        <f ca="1">TODAY()-DATE(MID(O103,7,4),MID(O103,4,2),LEFT(O103,2))</f>
        <v>117</v>
      </c>
      <c r="U1344" s="1" t="s">
        <v>34</v>
      </c>
      <c r="V1344" s="1" t="s">
        <v>34</v>
      </c>
      <c r="W1344" s="1" t="s">
        <v>34</v>
      </c>
      <c r="X1344" t="s">
        <v>2593</v>
      </c>
      <c r="Y1344" s="1">
        <v>6.5</v>
      </c>
    </row>
    <row r="1345" spans="1:25" x14ac:dyDescent="0.3">
      <c r="A1345" s="1" t="s">
        <v>2359</v>
      </c>
      <c r="B1345" s="1" t="s">
        <v>102</v>
      </c>
      <c r="C1345" s="1" t="s">
        <v>103</v>
      </c>
      <c r="D1345" s="1" t="s">
        <v>104</v>
      </c>
      <c r="E1345" s="1" t="s">
        <v>74</v>
      </c>
      <c r="F1345" s="1" t="s">
        <v>30</v>
      </c>
      <c r="G1345" s="2">
        <v>376.51</v>
      </c>
      <c r="H1345" s="1">
        <v>16</v>
      </c>
      <c r="I1345" s="1">
        <v>216</v>
      </c>
      <c r="J1345" s="1">
        <v>192</v>
      </c>
      <c r="K1345" s="1">
        <v>105</v>
      </c>
      <c r="L1345" s="1">
        <v>121</v>
      </c>
      <c r="M1345" s="1" t="s">
        <v>49</v>
      </c>
      <c r="N1345" s="1" t="s">
        <v>32</v>
      </c>
      <c r="O1345" t="s">
        <v>128</v>
      </c>
      <c r="P1345" s="2">
        <v>263.56</v>
      </c>
      <c r="Q1345" s="1" t="str">
        <f>IF(J164&gt;K164,"YES","NO")</f>
        <v>YES</v>
      </c>
      <c r="R1345" s="2">
        <f>IF(Q164="YES",G164*0.9,G164)</f>
        <v>338.85899999999998</v>
      </c>
      <c r="S1345" s="2">
        <f>J164*G164</f>
        <v>72289.919999999998</v>
      </c>
      <c r="T1345" s="1">
        <f ca="1">TODAY()-DATE(MID(O164,7,4),MID(O164,4,2),LEFT(O164,2))</f>
        <v>77</v>
      </c>
      <c r="U1345" s="1" t="s">
        <v>34</v>
      </c>
      <c r="V1345" s="1" t="s">
        <v>34</v>
      </c>
      <c r="W1345" s="1" t="s">
        <v>34</v>
      </c>
      <c r="X1345" t="s">
        <v>2863</v>
      </c>
      <c r="Y1345" s="1">
        <v>7</v>
      </c>
    </row>
    <row r="1346" spans="1:25" x14ac:dyDescent="0.3">
      <c r="A1346" s="1" t="s">
        <v>2360</v>
      </c>
      <c r="B1346" s="1" t="s">
        <v>262</v>
      </c>
      <c r="C1346" s="1" t="s">
        <v>263</v>
      </c>
      <c r="D1346" s="1" t="s">
        <v>104</v>
      </c>
      <c r="E1346" s="1" t="s">
        <v>40</v>
      </c>
      <c r="F1346" s="1" t="s">
        <v>30</v>
      </c>
      <c r="G1346" s="2">
        <v>132.77000000000001</v>
      </c>
      <c r="H1346" s="1">
        <v>8</v>
      </c>
      <c r="I1346" s="1">
        <v>218</v>
      </c>
      <c r="J1346" s="1">
        <v>183</v>
      </c>
      <c r="K1346" s="1">
        <v>86</v>
      </c>
      <c r="L1346" s="1">
        <v>75</v>
      </c>
      <c r="M1346" s="1" t="s">
        <v>41</v>
      </c>
      <c r="N1346" s="1" t="s">
        <v>60</v>
      </c>
      <c r="O1346" t="s">
        <v>178</v>
      </c>
      <c r="P1346" s="2">
        <v>92.94</v>
      </c>
      <c r="Q1346" s="1" t="str">
        <f>IF(J543&gt;K543,"YES","NO")</f>
        <v>YES</v>
      </c>
      <c r="R1346" s="2">
        <f>IF(Q543="YES",G543*0.9,G543)</f>
        <v>119.49300000000001</v>
      </c>
      <c r="S1346" s="2">
        <f>J543*G543</f>
        <v>24296.910000000003</v>
      </c>
      <c r="T1346" s="1">
        <f ca="1">TODAY()-DATE(MID(O543,7,4),MID(O543,4,2),LEFT(O543,2))</f>
        <v>90</v>
      </c>
      <c r="U1346" s="1" t="s">
        <v>34</v>
      </c>
      <c r="V1346" s="1" t="s">
        <v>34</v>
      </c>
      <c r="W1346" s="1" t="s">
        <v>34</v>
      </c>
      <c r="X1346" t="s">
        <v>2788</v>
      </c>
      <c r="Y1346" s="1">
        <v>6.5</v>
      </c>
    </row>
    <row r="1347" spans="1:25" x14ac:dyDescent="0.3">
      <c r="A1347" s="1" t="s">
        <v>2361</v>
      </c>
      <c r="B1347" s="1" t="s">
        <v>52</v>
      </c>
      <c r="C1347" s="1" t="s">
        <v>53</v>
      </c>
      <c r="D1347" s="1" t="s">
        <v>47</v>
      </c>
      <c r="E1347" s="1" t="s">
        <v>40</v>
      </c>
      <c r="F1347" s="1" t="s">
        <v>48</v>
      </c>
      <c r="G1347" s="2">
        <v>169.68</v>
      </c>
      <c r="H1347" s="1">
        <v>22</v>
      </c>
      <c r="I1347" s="1">
        <v>163</v>
      </c>
      <c r="J1347" s="1">
        <v>145</v>
      </c>
      <c r="K1347" s="1">
        <v>70</v>
      </c>
      <c r="L1347" s="1">
        <v>80</v>
      </c>
      <c r="M1347" s="1" t="s">
        <v>31</v>
      </c>
      <c r="N1347" s="1" t="s">
        <v>32</v>
      </c>
      <c r="O1347" t="s">
        <v>183</v>
      </c>
      <c r="P1347" s="2">
        <v>118.78</v>
      </c>
      <c r="Q1347" s="1" t="str">
        <f>IF(J55&gt;K55,"YES","NO")</f>
        <v>YES</v>
      </c>
      <c r="R1347" s="2">
        <f>IF(Q55="YES",G55*0.9,G55)</f>
        <v>152.71200000000002</v>
      </c>
      <c r="S1347" s="2">
        <f>J55*G55</f>
        <v>24603.600000000002</v>
      </c>
      <c r="T1347" s="1">
        <f ca="1">TODAY()-DATE(MID(O55,7,4),MID(O55,4,2),LEFT(O55,2))</f>
        <v>115</v>
      </c>
      <c r="U1347" s="1" t="s">
        <v>34</v>
      </c>
      <c r="V1347" s="1" t="s">
        <v>34</v>
      </c>
      <c r="W1347" s="1" t="s">
        <v>34</v>
      </c>
      <c r="X1347" t="s">
        <v>2638</v>
      </c>
      <c r="Y1347" s="1">
        <v>7.5</v>
      </c>
    </row>
    <row r="1348" spans="1:25" x14ac:dyDescent="0.3">
      <c r="A1348" s="1" t="s">
        <v>2362</v>
      </c>
      <c r="B1348" s="1" t="s">
        <v>83</v>
      </c>
      <c r="C1348" s="1" t="s">
        <v>84</v>
      </c>
      <c r="D1348" s="1" t="s">
        <v>85</v>
      </c>
      <c r="E1348" s="1" t="s">
        <v>74</v>
      </c>
      <c r="F1348" s="1" t="s">
        <v>30</v>
      </c>
      <c r="G1348" s="2">
        <v>241.04</v>
      </c>
      <c r="H1348" s="1">
        <v>11</v>
      </c>
      <c r="I1348" s="1">
        <v>250</v>
      </c>
      <c r="J1348" s="1">
        <v>216</v>
      </c>
      <c r="K1348" s="1">
        <v>111</v>
      </c>
      <c r="L1348" s="1">
        <v>129</v>
      </c>
      <c r="M1348" s="1" t="s">
        <v>49</v>
      </c>
      <c r="N1348" s="1" t="s">
        <v>42</v>
      </c>
      <c r="O1348" t="s">
        <v>100</v>
      </c>
      <c r="P1348" s="2">
        <v>168.73</v>
      </c>
      <c r="Q1348" s="1" t="str">
        <f>IF(J531&gt;K531,"YES","NO")</f>
        <v>YES</v>
      </c>
      <c r="R1348" s="2">
        <f>IF(Q531="YES",G531*0.9,G531)</f>
        <v>216.93600000000001</v>
      </c>
      <c r="S1348" s="2">
        <f>J531*G531</f>
        <v>52064.639999999999</v>
      </c>
      <c r="T1348" s="1">
        <f ca="1">TODAY()-DATE(MID(O531,7,4),MID(O531,4,2),LEFT(O531,2))</f>
        <v>137</v>
      </c>
      <c r="U1348" s="1" t="s">
        <v>34</v>
      </c>
      <c r="V1348" s="1" t="s">
        <v>34</v>
      </c>
      <c r="W1348" s="1" t="s">
        <v>34</v>
      </c>
      <c r="X1348" t="s">
        <v>2623</v>
      </c>
      <c r="Y1348" s="1">
        <v>5.5</v>
      </c>
    </row>
    <row r="1349" spans="1:25" x14ac:dyDescent="0.3">
      <c r="A1349" s="1" t="s">
        <v>2363</v>
      </c>
      <c r="B1349" s="1" t="s">
        <v>143</v>
      </c>
      <c r="C1349" s="1" t="s">
        <v>144</v>
      </c>
      <c r="D1349" s="1" t="s">
        <v>47</v>
      </c>
      <c r="E1349" s="1" t="s">
        <v>40</v>
      </c>
      <c r="F1349" s="1" t="s">
        <v>54</v>
      </c>
      <c r="G1349" s="2">
        <v>411.21</v>
      </c>
      <c r="H1349" s="1">
        <v>17</v>
      </c>
      <c r="I1349" s="1">
        <v>145</v>
      </c>
      <c r="J1349" s="1">
        <v>123</v>
      </c>
      <c r="K1349" s="1">
        <v>105</v>
      </c>
      <c r="L1349" s="1">
        <v>57</v>
      </c>
      <c r="M1349" s="1" t="s">
        <v>41</v>
      </c>
      <c r="N1349" s="1" t="s">
        <v>32</v>
      </c>
      <c r="O1349" t="s">
        <v>311</v>
      </c>
      <c r="P1349" s="2">
        <v>287.85000000000002</v>
      </c>
      <c r="Q1349" s="1" t="str">
        <f>IF(J577&gt;K577,"YES","NO")</f>
        <v>YES</v>
      </c>
      <c r="R1349" s="2">
        <f>IF(Q577="YES",G577*0.9,G577)</f>
        <v>370.089</v>
      </c>
      <c r="S1349" s="2">
        <f>J577*G577</f>
        <v>50578.829999999994</v>
      </c>
      <c r="T1349" s="1">
        <f ca="1">TODAY()-DATE(MID(O577,7,4),MID(O577,4,2),LEFT(O577,2))</f>
        <v>80</v>
      </c>
      <c r="U1349" s="1" t="s">
        <v>34</v>
      </c>
      <c r="V1349" s="1" t="s">
        <v>34</v>
      </c>
      <c r="W1349" s="1" t="s">
        <v>34</v>
      </c>
      <c r="X1349" t="s">
        <v>2806</v>
      </c>
      <c r="Y1349" s="1">
        <v>8.5</v>
      </c>
    </row>
    <row r="1350" spans="1:25" x14ac:dyDescent="0.3">
      <c r="A1350" s="1" t="s">
        <v>2364</v>
      </c>
      <c r="B1350" s="1" t="s">
        <v>166</v>
      </c>
      <c r="C1350" s="1" t="s">
        <v>167</v>
      </c>
      <c r="D1350" s="1" t="s">
        <v>59</v>
      </c>
      <c r="E1350" s="1" t="s">
        <v>40</v>
      </c>
      <c r="F1350" s="1" t="s">
        <v>30</v>
      </c>
      <c r="G1350" s="2">
        <v>82.55</v>
      </c>
      <c r="H1350" s="1">
        <v>21</v>
      </c>
      <c r="I1350" s="1">
        <v>148</v>
      </c>
      <c r="J1350" s="1">
        <v>109</v>
      </c>
      <c r="K1350" s="1">
        <v>48</v>
      </c>
      <c r="L1350" s="1">
        <v>122</v>
      </c>
      <c r="M1350" s="1" t="s">
        <v>41</v>
      </c>
      <c r="N1350" s="1" t="s">
        <v>42</v>
      </c>
      <c r="O1350" t="s">
        <v>183</v>
      </c>
      <c r="P1350" s="2">
        <v>57.78</v>
      </c>
      <c r="Q1350" s="1" t="str">
        <f>IF(J158&gt;K158,"YES","NO")</f>
        <v>YES</v>
      </c>
      <c r="R1350" s="2">
        <f>IF(Q158="YES",G158*0.9,G158)</f>
        <v>74.295000000000002</v>
      </c>
      <c r="S1350" s="2">
        <f>J158*G158</f>
        <v>8997.9499999999989</v>
      </c>
      <c r="T1350" s="1">
        <f ca="1">TODAY()-DATE(MID(O158,7,4),MID(O158,4,2),LEFT(O158,2))</f>
        <v>115</v>
      </c>
      <c r="U1350" s="1" t="s">
        <v>34</v>
      </c>
      <c r="V1350" s="1" t="s">
        <v>34</v>
      </c>
      <c r="W1350" s="1" t="s">
        <v>34</v>
      </c>
      <c r="X1350" t="s">
        <v>2541</v>
      </c>
      <c r="Y1350" s="1">
        <v>9</v>
      </c>
    </row>
    <row r="1351" spans="1:25" x14ac:dyDescent="0.3">
      <c r="A1351" s="1" t="s">
        <v>2365</v>
      </c>
      <c r="B1351" s="1" t="s">
        <v>83</v>
      </c>
      <c r="C1351" s="1" t="s">
        <v>84</v>
      </c>
      <c r="D1351" s="1" t="s">
        <v>85</v>
      </c>
      <c r="E1351" s="1" t="s">
        <v>74</v>
      </c>
      <c r="F1351" s="1" t="s">
        <v>48</v>
      </c>
      <c r="G1351" s="2">
        <v>85.91</v>
      </c>
      <c r="H1351" s="1">
        <v>4</v>
      </c>
      <c r="I1351" s="1">
        <v>252</v>
      </c>
      <c r="J1351" s="1">
        <v>227</v>
      </c>
      <c r="K1351" s="1">
        <v>51</v>
      </c>
      <c r="L1351" s="1">
        <v>64</v>
      </c>
      <c r="M1351" s="1" t="s">
        <v>41</v>
      </c>
      <c r="N1351" s="1" t="s">
        <v>60</v>
      </c>
      <c r="O1351" t="s">
        <v>336</v>
      </c>
      <c r="P1351" s="2">
        <v>60.14</v>
      </c>
      <c r="Q1351" s="1" t="str">
        <f>IF(J461&gt;K461,"YES","NO")</f>
        <v>YES</v>
      </c>
      <c r="R1351" s="2">
        <f>IF(Q461="YES",G461*0.9,G461)</f>
        <v>77.319000000000003</v>
      </c>
      <c r="S1351" s="2">
        <f>J461*G461</f>
        <v>19501.57</v>
      </c>
      <c r="T1351" s="1">
        <f ca="1">TODAY()-DATE(MID(O461,7,4),MID(O461,4,2),LEFT(O461,2))</f>
        <v>131</v>
      </c>
      <c r="U1351" s="1" t="s">
        <v>34</v>
      </c>
      <c r="V1351" s="1" t="s">
        <v>34</v>
      </c>
      <c r="W1351" s="1" t="s">
        <v>34</v>
      </c>
      <c r="X1351" t="s">
        <v>2616</v>
      </c>
      <c r="Y1351" s="1">
        <v>5.5</v>
      </c>
    </row>
    <row r="1352" spans="1:25" x14ac:dyDescent="0.3">
      <c r="A1352" s="1" t="s">
        <v>2366</v>
      </c>
      <c r="B1352" s="1" t="s">
        <v>72</v>
      </c>
      <c r="C1352" s="1" t="s">
        <v>73</v>
      </c>
      <c r="D1352" s="1" t="s">
        <v>47</v>
      </c>
      <c r="E1352" s="1" t="s">
        <v>29</v>
      </c>
      <c r="F1352" s="1" t="s">
        <v>54</v>
      </c>
      <c r="G1352" s="2">
        <v>277.91000000000003</v>
      </c>
      <c r="H1352" s="1">
        <v>17</v>
      </c>
      <c r="I1352" s="1">
        <v>132</v>
      </c>
      <c r="J1352" s="1">
        <v>122</v>
      </c>
      <c r="K1352" s="1">
        <v>44</v>
      </c>
      <c r="L1352" s="1">
        <v>132</v>
      </c>
      <c r="M1352" s="1" t="s">
        <v>41</v>
      </c>
      <c r="N1352" s="1" t="s">
        <v>32</v>
      </c>
      <c r="O1352" t="s">
        <v>116</v>
      </c>
      <c r="P1352" s="2">
        <v>194.54</v>
      </c>
      <c r="Q1352" s="1" t="str">
        <f>IF(J357&gt;K357,"YES","NO")</f>
        <v>YES</v>
      </c>
      <c r="R1352" s="2">
        <f>IF(Q357="YES",G357*0.9,G357)</f>
        <v>250.11900000000003</v>
      </c>
      <c r="S1352" s="2">
        <f>J357*G357</f>
        <v>33905.020000000004</v>
      </c>
      <c r="T1352" s="1">
        <f ca="1">TODAY()-DATE(MID(O357,7,4),MID(O357,4,2),LEFT(O357,2))</f>
        <v>87</v>
      </c>
      <c r="U1352" s="1" t="s">
        <v>34</v>
      </c>
      <c r="V1352" s="1" t="s">
        <v>34</v>
      </c>
      <c r="W1352" s="1" t="s">
        <v>34</v>
      </c>
      <c r="X1352" t="s">
        <v>2745</v>
      </c>
      <c r="Y1352" s="1">
        <v>8.5</v>
      </c>
    </row>
    <row r="1353" spans="1:25" x14ac:dyDescent="0.3">
      <c r="A1353" s="1" t="s">
        <v>2367</v>
      </c>
      <c r="B1353" s="1" t="s">
        <v>37</v>
      </c>
      <c r="C1353" s="1" t="s">
        <v>38</v>
      </c>
      <c r="D1353" s="1" t="s">
        <v>39</v>
      </c>
      <c r="E1353" s="1" t="s">
        <v>29</v>
      </c>
      <c r="F1353" s="1" t="s">
        <v>48</v>
      </c>
      <c r="G1353" s="2">
        <v>412.37</v>
      </c>
      <c r="H1353" s="1">
        <v>13</v>
      </c>
      <c r="I1353" s="1">
        <v>192</v>
      </c>
      <c r="J1353" s="1">
        <v>163</v>
      </c>
      <c r="K1353" s="1">
        <v>112</v>
      </c>
      <c r="L1353" s="1">
        <v>61</v>
      </c>
      <c r="M1353" s="1" t="s">
        <v>31</v>
      </c>
      <c r="N1353" s="1" t="s">
        <v>42</v>
      </c>
      <c r="O1353" t="s">
        <v>287</v>
      </c>
      <c r="P1353" s="2">
        <v>288.66000000000003</v>
      </c>
      <c r="Q1353" s="1" t="str">
        <f>IF(J362&gt;K362,"YES","NO")</f>
        <v>YES</v>
      </c>
      <c r="R1353" s="2">
        <f>IF(Q362="YES",G362*0.9,G362)</f>
        <v>371.13300000000004</v>
      </c>
      <c r="S1353" s="2">
        <f>J362*G362</f>
        <v>67216.31</v>
      </c>
      <c r="T1353" s="1">
        <f ca="1">TODAY()-DATE(MID(O362,7,4),MID(O362,4,2),LEFT(O362,2))</f>
        <v>143</v>
      </c>
      <c r="U1353" s="1" t="s">
        <v>34</v>
      </c>
      <c r="V1353" s="1" t="s">
        <v>34</v>
      </c>
      <c r="W1353" s="1" t="s">
        <v>34</v>
      </c>
      <c r="X1353" t="s">
        <v>2538</v>
      </c>
      <c r="Y1353" s="1">
        <v>6</v>
      </c>
    </row>
    <row r="1354" spans="1:25" x14ac:dyDescent="0.3">
      <c r="A1354" s="1" t="s">
        <v>2368</v>
      </c>
      <c r="B1354" s="1" t="s">
        <v>95</v>
      </c>
      <c r="C1354" s="1" t="s">
        <v>96</v>
      </c>
      <c r="D1354" s="1" t="s">
        <v>97</v>
      </c>
      <c r="E1354" s="1" t="s">
        <v>29</v>
      </c>
      <c r="F1354" s="1" t="s">
        <v>54</v>
      </c>
      <c r="G1354" s="2">
        <v>242.61</v>
      </c>
      <c r="H1354" s="1">
        <v>3</v>
      </c>
      <c r="I1354" s="1">
        <v>210</v>
      </c>
      <c r="J1354" s="1">
        <v>205</v>
      </c>
      <c r="K1354" s="1">
        <v>50</v>
      </c>
      <c r="L1354" s="1">
        <v>71</v>
      </c>
      <c r="M1354" s="1" t="s">
        <v>49</v>
      </c>
      <c r="N1354" s="1" t="s">
        <v>32</v>
      </c>
      <c r="O1354" t="s">
        <v>287</v>
      </c>
      <c r="P1354" s="2">
        <v>169.83</v>
      </c>
      <c r="Q1354" s="1" t="str">
        <f>IF(J690&gt;K690,"YES","NO")</f>
        <v>YES</v>
      </c>
      <c r="R1354" s="2">
        <f>IF(Q690="YES",G690*0.9,G690)</f>
        <v>218.34900000000002</v>
      </c>
      <c r="S1354" s="2">
        <f>J690*G690</f>
        <v>49735.05</v>
      </c>
      <c r="T1354" s="1">
        <f ca="1">TODAY()-DATE(MID(O690,7,4),MID(O690,4,2),LEFT(O690,2))</f>
        <v>143</v>
      </c>
      <c r="U1354" s="1" t="s">
        <v>34</v>
      </c>
      <c r="V1354" s="1" t="s">
        <v>34</v>
      </c>
      <c r="W1354" s="1" t="s">
        <v>34</v>
      </c>
      <c r="X1354" t="s">
        <v>2597</v>
      </c>
      <c r="Y1354" s="1">
        <v>5</v>
      </c>
    </row>
    <row r="1355" spans="1:25" x14ac:dyDescent="0.3">
      <c r="A1355" s="1" t="s">
        <v>2369</v>
      </c>
      <c r="B1355" s="1" t="s">
        <v>111</v>
      </c>
      <c r="C1355" s="1" t="s">
        <v>112</v>
      </c>
      <c r="D1355" s="1" t="s">
        <v>97</v>
      </c>
      <c r="E1355" s="1" t="s">
        <v>29</v>
      </c>
      <c r="F1355" s="1" t="s">
        <v>54</v>
      </c>
      <c r="G1355" s="2">
        <v>411.22</v>
      </c>
      <c r="H1355" s="1">
        <v>2</v>
      </c>
      <c r="I1355" s="1">
        <v>172</v>
      </c>
      <c r="J1355" s="1">
        <v>160</v>
      </c>
      <c r="K1355" s="1">
        <v>90</v>
      </c>
      <c r="L1355" s="1">
        <v>96</v>
      </c>
      <c r="M1355" s="1" t="s">
        <v>41</v>
      </c>
      <c r="N1355" s="1" t="s">
        <v>60</v>
      </c>
      <c r="O1355" t="s">
        <v>35</v>
      </c>
      <c r="P1355" s="2">
        <v>287.85000000000002</v>
      </c>
      <c r="Q1355" s="1" t="str">
        <f>IF(J108&gt;K108,"YES","NO")</f>
        <v>YES</v>
      </c>
      <c r="R1355" s="2">
        <f>IF(Q108="YES",G108*0.9,G108)</f>
        <v>370.09800000000001</v>
      </c>
      <c r="S1355" s="2">
        <f>J108*G108</f>
        <v>65795.200000000012</v>
      </c>
      <c r="T1355" s="1">
        <f ca="1">TODAY()-DATE(MID(O108,7,4),MID(O108,4,2),LEFT(O108,2))</f>
        <v>85</v>
      </c>
      <c r="U1355" s="1" t="s">
        <v>34</v>
      </c>
      <c r="V1355" s="1" t="s">
        <v>34</v>
      </c>
      <c r="W1355" s="1" t="s">
        <v>34</v>
      </c>
      <c r="X1355" t="s">
        <v>2916</v>
      </c>
      <c r="Y1355" s="1">
        <v>9</v>
      </c>
    </row>
    <row r="1356" spans="1:25" x14ac:dyDescent="0.3">
      <c r="A1356" s="1" t="s">
        <v>2370</v>
      </c>
      <c r="B1356" s="1" t="s">
        <v>102</v>
      </c>
      <c r="C1356" s="1" t="s">
        <v>103</v>
      </c>
      <c r="D1356" s="1" t="s">
        <v>104</v>
      </c>
      <c r="E1356" s="1" t="s">
        <v>74</v>
      </c>
      <c r="F1356" s="1" t="s">
        <v>54</v>
      </c>
      <c r="G1356" s="2">
        <v>79.16</v>
      </c>
      <c r="H1356" s="1">
        <v>0</v>
      </c>
      <c r="I1356" s="1">
        <v>82</v>
      </c>
      <c r="J1356" s="1">
        <v>57</v>
      </c>
      <c r="K1356" s="1">
        <v>87</v>
      </c>
      <c r="L1356" s="1">
        <v>122</v>
      </c>
      <c r="M1356" s="1" t="s">
        <v>31</v>
      </c>
      <c r="N1356" s="1" t="s">
        <v>32</v>
      </c>
      <c r="O1356" t="s">
        <v>128</v>
      </c>
      <c r="P1356" s="2">
        <v>55.41</v>
      </c>
      <c r="Q1356" s="1" t="str">
        <f>IF(J587&gt;K587,"YES","NO")</f>
        <v>NO</v>
      </c>
      <c r="R1356" s="2">
        <f>IF(Q587="YES",G587*0.9,G587)</f>
        <v>79.16</v>
      </c>
      <c r="S1356" s="2">
        <f>J587*G587</f>
        <v>4512.12</v>
      </c>
      <c r="T1356" s="1">
        <f ca="1">TODAY()-DATE(MID(O587,7,4),MID(O587,4,2),LEFT(O587,2))</f>
        <v>77</v>
      </c>
      <c r="U1356" s="1" t="s">
        <v>34</v>
      </c>
      <c r="V1356" s="1" t="s">
        <v>34</v>
      </c>
      <c r="W1356" s="1" t="s">
        <v>34</v>
      </c>
      <c r="X1356" t="s">
        <v>2765</v>
      </c>
      <c r="Y1356" s="1">
        <v>8.5</v>
      </c>
    </row>
    <row r="1357" spans="1:25" x14ac:dyDescent="0.3">
      <c r="A1357" s="1" t="s">
        <v>2371</v>
      </c>
      <c r="B1357" s="1" t="s">
        <v>176</v>
      </c>
      <c r="C1357" s="1" t="s">
        <v>177</v>
      </c>
      <c r="D1357" s="1" t="s">
        <v>39</v>
      </c>
      <c r="E1357" s="1" t="s">
        <v>29</v>
      </c>
      <c r="F1357" s="1" t="s">
        <v>54</v>
      </c>
      <c r="G1357" s="2">
        <v>462.24</v>
      </c>
      <c r="H1357" s="1">
        <v>0</v>
      </c>
      <c r="I1357" s="1">
        <v>114</v>
      </c>
      <c r="J1357" s="1">
        <v>86</v>
      </c>
      <c r="K1357" s="1">
        <v>59</v>
      </c>
      <c r="L1357" s="1">
        <v>79</v>
      </c>
      <c r="M1357" s="1" t="s">
        <v>41</v>
      </c>
      <c r="N1357" s="1" t="s">
        <v>60</v>
      </c>
      <c r="O1357" t="s">
        <v>390</v>
      </c>
      <c r="P1357" s="2">
        <v>323.57</v>
      </c>
      <c r="Q1357" s="1" t="str">
        <f>IF(J538&gt;K538,"YES","NO")</f>
        <v>YES</v>
      </c>
      <c r="R1357" s="2">
        <f>IF(Q538="YES",G538*0.9,G538)</f>
        <v>416.01600000000002</v>
      </c>
      <c r="S1357" s="2">
        <f>J538*G538</f>
        <v>39752.639999999999</v>
      </c>
      <c r="T1357" s="1">
        <f ca="1">TODAY()-DATE(MID(O538,7,4),MID(O538,4,2),LEFT(O538,2))</f>
        <v>120</v>
      </c>
      <c r="U1357" s="1" t="s">
        <v>34</v>
      </c>
      <c r="V1357" s="1" t="s">
        <v>34</v>
      </c>
      <c r="W1357" s="1" t="s">
        <v>34</v>
      </c>
      <c r="X1357" t="s">
        <v>2862</v>
      </c>
      <c r="Y1357" s="1">
        <v>9</v>
      </c>
    </row>
    <row r="1358" spans="1:25" x14ac:dyDescent="0.3">
      <c r="A1358" s="1" t="s">
        <v>2372</v>
      </c>
      <c r="B1358" s="1" t="s">
        <v>118</v>
      </c>
      <c r="C1358" s="1" t="s">
        <v>119</v>
      </c>
      <c r="D1358" s="1" t="s">
        <v>97</v>
      </c>
      <c r="E1358" s="1" t="s">
        <v>74</v>
      </c>
      <c r="F1358" s="1" t="s">
        <v>54</v>
      </c>
      <c r="G1358" s="2">
        <v>95.07</v>
      </c>
      <c r="H1358" s="1">
        <v>2</v>
      </c>
      <c r="I1358" s="1">
        <v>172</v>
      </c>
      <c r="J1358" s="1">
        <v>153</v>
      </c>
      <c r="K1358" s="1">
        <v>74</v>
      </c>
      <c r="L1358" s="1">
        <v>138</v>
      </c>
      <c r="M1358" s="1" t="s">
        <v>31</v>
      </c>
      <c r="N1358" s="1" t="s">
        <v>60</v>
      </c>
      <c r="O1358" t="s">
        <v>180</v>
      </c>
      <c r="P1358" s="2">
        <v>66.55</v>
      </c>
      <c r="Q1358" s="1" t="str">
        <f>IF(J85&gt;K85,"YES","NO")</f>
        <v>YES</v>
      </c>
      <c r="R1358" s="2">
        <f>IF(Q85="YES",G85*0.9,G85)</f>
        <v>85.563000000000002</v>
      </c>
      <c r="S1358" s="2">
        <f>J85*G85</f>
        <v>14545.71</v>
      </c>
      <c r="T1358" s="1">
        <f ca="1">TODAY()-DATE(MID(O85,7,4),MID(O85,4,2),LEFT(O85,2))</f>
        <v>122</v>
      </c>
      <c r="U1358" s="1" t="s">
        <v>34</v>
      </c>
      <c r="V1358" s="1" t="s">
        <v>34</v>
      </c>
      <c r="W1358" s="1" t="s">
        <v>34</v>
      </c>
      <c r="X1358" t="s">
        <v>2527</v>
      </c>
      <c r="Y1358" s="1">
        <v>7.5</v>
      </c>
    </row>
    <row r="1359" spans="1:25" x14ac:dyDescent="0.3">
      <c r="A1359" s="1" t="s">
        <v>2373</v>
      </c>
      <c r="B1359" s="1" t="s">
        <v>118</v>
      </c>
      <c r="C1359" s="1" t="s">
        <v>119</v>
      </c>
      <c r="D1359" s="1" t="s">
        <v>97</v>
      </c>
      <c r="E1359" s="1" t="s">
        <v>40</v>
      </c>
      <c r="F1359" s="1" t="s">
        <v>48</v>
      </c>
      <c r="G1359" s="2">
        <v>399.95</v>
      </c>
      <c r="H1359" s="1">
        <v>0</v>
      </c>
      <c r="I1359" s="1">
        <v>233</v>
      </c>
      <c r="J1359" s="1">
        <v>205</v>
      </c>
      <c r="K1359" s="1">
        <v>42</v>
      </c>
      <c r="L1359" s="1">
        <v>97</v>
      </c>
      <c r="M1359" s="1" t="s">
        <v>31</v>
      </c>
      <c r="N1359" s="1" t="s">
        <v>60</v>
      </c>
      <c r="O1359" t="s">
        <v>361</v>
      </c>
      <c r="P1359" s="2">
        <v>279.95999999999998</v>
      </c>
      <c r="Q1359" s="1" t="str">
        <f>IF(J662&gt;K662,"YES","NO")</f>
        <v>YES</v>
      </c>
      <c r="R1359" s="2">
        <f>IF(Q662="YES",G662*0.9,G662)</f>
        <v>359.95499999999998</v>
      </c>
      <c r="S1359" s="2">
        <f>J662*G662</f>
        <v>81989.75</v>
      </c>
      <c r="T1359" s="1">
        <f ca="1">TODAY()-DATE(MID(O662,7,4),MID(O662,4,2),LEFT(O662,2))</f>
        <v>99</v>
      </c>
      <c r="U1359" s="1" t="s">
        <v>34</v>
      </c>
      <c r="V1359" s="1" t="s">
        <v>34</v>
      </c>
      <c r="W1359" s="1" t="s">
        <v>34</v>
      </c>
      <c r="X1359" t="s">
        <v>2713</v>
      </c>
      <c r="Y1359" s="1">
        <v>6</v>
      </c>
    </row>
    <row r="1360" spans="1:25" x14ac:dyDescent="0.3">
      <c r="A1360" s="1" t="s">
        <v>2374</v>
      </c>
      <c r="B1360" s="1" t="s">
        <v>172</v>
      </c>
      <c r="C1360" s="1" t="s">
        <v>173</v>
      </c>
      <c r="D1360" s="1" t="s">
        <v>132</v>
      </c>
      <c r="E1360" s="1" t="s">
        <v>74</v>
      </c>
      <c r="F1360" s="1" t="s">
        <v>54</v>
      </c>
      <c r="G1360" s="2">
        <v>213.81</v>
      </c>
      <c r="H1360" s="1">
        <v>0</v>
      </c>
      <c r="I1360" s="1">
        <v>214</v>
      </c>
      <c r="J1360" s="1">
        <v>190</v>
      </c>
      <c r="K1360" s="1">
        <v>82</v>
      </c>
      <c r="L1360" s="1">
        <v>120</v>
      </c>
      <c r="M1360" s="1" t="s">
        <v>41</v>
      </c>
      <c r="N1360" s="1" t="s">
        <v>32</v>
      </c>
      <c r="O1360" t="s">
        <v>257</v>
      </c>
      <c r="P1360" s="2">
        <v>149.66999999999999</v>
      </c>
      <c r="Q1360" s="1" t="str">
        <f>IF(J299&gt;K299,"YES","NO")</f>
        <v>YES</v>
      </c>
      <c r="R1360" s="2">
        <f>IF(Q299="YES",G299*0.9,G299)</f>
        <v>192.429</v>
      </c>
      <c r="S1360" s="2">
        <f>J299*G299</f>
        <v>40623.9</v>
      </c>
      <c r="T1360" s="1">
        <f ca="1">TODAY()-DATE(MID(O299,7,4),MID(O299,4,2),LEFT(O299,2))</f>
        <v>113</v>
      </c>
      <c r="U1360" s="1" t="s">
        <v>34</v>
      </c>
      <c r="V1360" s="1" t="s">
        <v>34</v>
      </c>
      <c r="W1360" s="1" t="s">
        <v>34</v>
      </c>
      <c r="X1360" t="s">
        <v>2564</v>
      </c>
      <c r="Y1360" s="1">
        <v>9.5</v>
      </c>
    </row>
    <row r="1361" spans="1:25" x14ac:dyDescent="0.3">
      <c r="A1361" s="1" t="s">
        <v>2375</v>
      </c>
      <c r="B1361" s="1" t="s">
        <v>130</v>
      </c>
      <c r="C1361" s="1" t="s">
        <v>131</v>
      </c>
      <c r="D1361" s="1" t="s">
        <v>132</v>
      </c>
      <c r="E1361" s="1" t="s">
        <v>40</v>
      </c>
      <c r="F1361" s="1" t="s">
        <v>48</v>
      </c>
      <c r="G1361" s="2">
        <v>157.84</v>
      </c>
      <c r="H1361" s="1">
        <v>19</v>
      </c>
      <c r="I1361" s="1">
        <v>105</v>
      </c>
      <c r="J1361" s="1">
        <v>90</v>
      </c>
      <c r="K1361" s="1">
        <v>108</v>
      </c>
      <c r="L1361" s="1">
        <v>142</v>
      </c>
      <c r="M1361" s="1" t="s">
        <v>41</v>
      </c>
      <c r="N1361" s="1" t="s">
        <v>32</v>
      </c>
      <c r="O1361" t="s">
        <v>287</v>
      </c>
      <c r="P1361" s="2">
        <v>110.49</v>
      </c>
      <c r="Q1361" s="1" t="str">
        <f>IF(J737&gt;K737,"YES","NO")</f>
        <v>NO</v>
      </c>
      <c r="R1361" s="2">
        <f>IF(Q737="YES",G737*0.9,G737)</f>
        <v>157.84</v>
      </c>
      <c r="S1361" s="2">
        <f>J737*G737</f>
        <v>14205.6</v>
      </c>
      <c r="T1361" s="1">
        <f ca="1">TODAY()-DATE(MID(O737,7,4),MID(O737,4,2),LEFT(O737,2))</f>
        <v>143</v>
      </c>
      <c r="U1361" s="1" t="s">
        <v>34</v>
      </c>
      <c r="V1361" s="1" t="s">
        <v>34</v>
      </c>
      <c r="W1361" s="1" t="s">
        <v>34</v>
      </c>
      <c r="X1361" t="s">
        <v>2612</v>
      </c>
      <c r="Y1361" s="1">
        <v>8.5</v>
      </c>
    </row>
    <row r="1362" spans="1:25" x14ac:dyDescent="0.3">
      <c r="A1362" s="1" t="s">
        <v>2376</v>
      </c>
      <c r="B1362" s="1" t="s">
        <v>189</v>
      </c>
      <c r="C1362" s="1" t="s">
        <v>190</v>
      </c>
      <c r="D1362" s="1" t="s">
        <v>59</v>
      </c>
      <c r="E1362" s="1" t="s">
        <v>29</v>
      </c>
      <c r="F1362" s="1" t="s">
        <v>48</v>
      </c>
      <c r="G1362" s="2">
        <v>475.03</v>
      </c>
      <c r="H1362" s="1">
        <v>7</v>
      </c>
      <c r="I1362" s="1">
        <v>170</v>
      </c>
      <c r="J1362" s="1">
        <v>151</v>
      </c>
      <c r="K1362" s="1">
        <v>70</v>
      </c>
      <c r="L1362" s="1">
        <v>95</v>
      </c>
      <c r="M1362" s="1" t="s">
        <v>49</v>
      </c>
      <c r="N1362" s="1" t="s">
        <v>32</v>
      </c>
      <c r="O1362" t="s">
        <v>153</v>
      </c>
      <c r="P1362" s="2">
        <v>332.52</v>
      </c>
      <c r="Q1362" s="1" t="str">
        <f>IF(J724&gt;K724,"YES","NO")</f>
        <v>YES</v>
      </c>
      <c r="R1362" s="2">
        <f>IF(Q724="YES",G724*0.9,G724)</f>
        <v>427.52699999999999</v>
      </c>
      <c r="S1362" s="2">
        <f>J724*G724</f>
        <v>71729.53</v>
      </c>
      <c r="T1362" s="1">
        <f ca="1">TODAY()-DATE(MID(O724,7,4),MID(O724,4,2),LEFT(O724,2))</f>
        <v>135</v>
      </c>
      <c r="U1362" s="1" t="s">
        <v>34</v>
      </c>
      <c r="V1362" s="1" t="s">
        <v>34</v>
      </c>
      <c r="W1362" s="1" t="s">
        <v>34</v>
      </c>
      <c r="X1362" t="s">
        <v>2627</v>
      </c>
      <c r="Y1362" s="1">
        <v>7</v>
      </c>
    </row>
    <row r="1363" spans="1:25" x14ac:dyDescent="0.3">
      <c r="A1363" s="1" t="s">
        <v>2377</v>
      </c>
      <c r="B1363" s="1" t="s">
        <v>95</v>
      </c>
      <c r="C1363" s="1" t="s">
        <v>96</v>
      </c>
      <c r="D1363" s="1" t="s">
        <v>97</v>
      </c>
      <c r="E1363" s="1" t="s">
        <v>40</v>
      </c>
      <c r="F1363" s="1" t="s">
        <v>48</v>
      </c>
      <c r="G1363" s="2">
        <v>299.36</v>
      </c>
      <c r="H1363" s="1">
        <v>10</v>
      </c>
      <c r="I1363" s="1">
        <v>293</v>
      </c>
      <c r="J1363" s="1">
        <v>275</v>
      </c>
      <c r="K1363" s="1">
        <v>113</v>
      </c>
      <c r="L1363" s="1">
        <v>120</v>
      </c>
      <c r="M1363" s="1" t="s">
        <v>41</v>
      </c>
      <c r="N1363" s="1" t="s">
        <v>60</v>
      </c>
      <c r="O1363" t="s">
        <v>395</v>
      </c>
      <c r="P1363" s="2">
        <v>209.55</v>
      </c>
      <c r="Q1363" s="1" t="str">
        <f>IF(J416&gt;K416,"YES","NO")</f>
        <v>YES</v>
      </c>
      <c r="R1363" s="2">
        <f>IF(Q416="YES",G416*0.9,G416)</f>
        <v>269.42400000000004</v>
      </c>
      <c r="S1363" s="2">
        <f>J416*G416</f>
        <v>82324</v>
      </c>
      <c r="T1363" s="1">
        <f ca="1">TODAY()-DATE(MID(O416,7,4),MID(O416,4,2),LEFT(O416,2))</f>
        <v>101</v>
      </c>
      <c r="U1363" s="1" t="s">
        <v>34</v>
      </c>
      <c r="V1363" s="1" t="s">
        <v>34</v>
      </c>
      <c r="W1363" s="1" t="s">
        <v>34</v>
      </c>
      <c r="X1363" t="s">
        <v>2556</v>
      </c>
      <c r="Y1363" s="1">
        <v>8</v>
      </c>
    </row>
    <row r="1364" spans="1:25" x14ac:dyDescent="0.3">
      <c r="A1364" s="1" t="s">
        <v>2378</v>
      </c>
      <c r="B1364" s="1" t="s">
        <v>143</v>
      </c>
      <c r="C1364" s="1" t="s">
        <v>144</v>
      </c>
      <c r="D1364" s="1" t="s">
        <v>47</v>
      </c>
      <c r="E1364" s="1" t="s">
        <v>74</v>
      </c>
      <c r="F1364" s="1" t="s">
        <v>30</v>
      </c>
      <c r="G1364" s="2">
        <v>215.32</v>
      </c>
      <c r="H1364" s="1">
        <v>3</v>
      </c>
      <c r="I1364" s="1">
        <v>198</v>
      </c>
      <c r="J1364" s="1">
        <v>170</v>
      </c>
      <c r="K1364" s="1">
        <v>42</v>
      </c>
      <c r="L1364" s="1">
        <v>91</v>
      </c>
      <c r="M1364" s="1" t="s">
        <v>49</v>
      </c>
      <c r="N1364" s="1" t="s">
        <v>42</v>
      </c>
      <c r="O1364" t="s">
        <v>203</v>
      </c>
      <c r="P1364" s="2">
        <v>150.72</v>
      </c>
      <c r="Q1364" s="1" t="str">
        <f>IF(J555&gt;K555,"YES","NO")</f>
        <v>YES</v>
      </c>
      <c r="R1364" s="2">
        <f>IF(Q555="YES",G555*0.9,G555)</f>
        <v>193.78800000000001</v>
      </c>
      <c r="S1364" s="2">
        <f>J555*G555</f>
        <v>36604.400000000001</v>
      </c>
      <c r="T1364" s="1">
        <f ca="1">TODAY()-DATE(MID(O555,7,4),MID(O555,4,2),LEFT(O555,2))</f>
        <v>102</v>
      </c>
      <c r="U1364" s="1" t="s">
        <v>34</v>
      </c>
      <c r="V1364" s="1" t="s">
        <v>34</v>
      </c>
      <c r="W1364" s="1" t="s">
        <v>34</v>
      </c>
      <c r="X1364" t="s">
        <v>2870</v>
      </c>
      <c r="Y1364" s="1">
        <v>7.5</v>
      </c>
    </row>
    <row r="1365" spans="1:25" x14ac:dyDescent="0.3">
      <c r="A1365" s="1" t="s">
        <v>2379</v>
      </c>
      <c r="B1365" s="1" t="s">
        <v>197</v>
      </c>
      <c r="C1365" s="1" t="s">
        <v>198</v>
      </c>
      <c r="D1365" s="1" t="s">
        <v>104</v>
      </c>
      <c r="E1365" s="1" t="s">
        <v>74</v>
      </c>
      <c r="F1365" s="1" t="s">
        <v>48</v>
      </c>
      <c r="G1365" s="2">
        <v>236.67</v>
      </c>
      <c r="H1365" s="1">
        <v>21</v>
      </c>
      <c r="I1365" s="1">
        <v>186</v>
      </c>
      <c r="J1365" s="1">
        <v>162</v>
      </c>
      <c r="K1365" s="1">
        <v>72</v>
      </c>
      <c r="L1365" s="1">
        <v>51</v>
      </c>
      <c r="M1365" s="1" t="s">
        <v>31</v>
      </c>
      <c r="N1365" s="1" t="s">
        <v>42</v>
      </c>
      <c r="O1365" t="s">
        <v>153</v>
      </c>
      <c r="P1365" s="2">
        <v>165.67</v>
      </c>
      <c r="Q1365" s="1" t="str">
        <f>IF(J386&gt;K386,"YES","NO")</f>
        <v>YES</v>
      </c>
      <c r="R1365" s="2">
        <f>IF(Q386="YES",G386*0.9,G386)</f>
        <v>213.00299999999999</v>
      </c>
      <c r="S1365" s="2">
        <f>J386*G386</f>
        <v>38340.54</v>
      </c>
      <c r="T1365" s="1">
        <f ca="1">TODAY()-DATE(MID(O386,7,4),MID(O386,4,2),LEFT(O386,2))</f>
        <v>135</v>
      </c>
      <c r="U1365" s="1" t="s">
        <v>34</v>
      </c>
      <c r="V1365" s="1" t="s">
        <v>34</v>
      </c>
      <c r="W1365" s="1" t="s">
        <v>34</v>
      </c>
      <c r="X1365" t="s">
        <v>2612</v>
      </c>
      <c r="Y1365" s="1">
        <v>8</v>
      </c>
    </row>
    <row r="1366" spans="1:25" x14ac:dyDescent="0.3">
      <c r="A1366" s="1" t="s">
        <v>2380</v>
      </c>
      <c r="B1366" s="1" t="s">
        <v>45</v>
      </c>
      <c r="C1366" s="1" t="s">
        <v>46</v>
      </c>
      <c r="D1366" s="1" t="s">
        <v>47</v>
      </c>
      <c r="E1366" s="1" t="s">
        <v>29</v>
      </c>
      <c r="F1366" s="1" t="s">
        <v>48</v>
      </c>
      <c r="G1366" s="2">
        <v>220.07</v>
      </c>
      <c r="H1366" s="1">
        <v>21</v>
      </c>
      <c r="I1366" s="1">
        <v>293</v>
      </c>
      <c r="J1366" s="1">
        <v>264</v>
      </c>
      <c r="K1366" s="1">
        <v>118</v>
      </c>
      <c r="L1366" s="1">
        <v>65</v>
      </c>
      <c r="M1366" s="1" t="s">
        <v>31</v>
      </c>
      <c r="N1366" s="1" t="s">
        <v>32</v>
      </c>
      <c r="O1366" t="s">
        <v>390</v>
      </c>
      <c r="P1366" s="2">
        <v>154.05000000000001</v>
      </c>
      <c r="Q1366" s="1" t="str">
        <f>IF(J770&gt;K770,"YES","NO")</f>
        <v>YES</v>
      </c>
      <c r="R1366" s="2">
        <f>IF(Q770="YES",G770*0.9,G770)</f>
        <v>198.06299999999999</v>
      </c>
      <c r="S1366" s="2">
        <f>J770*G770</f>
        <v>58098.479999999996</v>
      </c>
      <c r="T1366" s="1">
        <f ca="1">TODAY()-DATE(MID(O770,7,4),MID(O770,4,2),LEFT(O770,2))</f>
        <v>120</v>
      </c>
      <c r="U1366" s="1" t="s">
        <v>34</v>
      </c>
      <c r="V1366" s="1" t="s">
        <v>34</v>
      </c>
      <c r="W1366" s="1" t="s">
        <v>34</v>
      </c>
      <c r="X1366" t="s">
        <v>2920</v>
      </c>
      <c r="Y1366" s="1">
        <v>5</v>
      </c>
    </row>
    <row r="1367" spans="1:25" x14ac:dyDescent="0.3">
      <c r="A1367" s="1" t="s">
        <v>2381</v>
      </c>
      <c r="B1367" s="1" t="s">
        <v>26</v>
      </c>
      <c r="C1367" s="1" t="s">
        <v>27</v>
      </c>
      <c r="D1367" s="1" t="s">
        <v>28</v>
      </c>
      <c r="E1367" s="1" t="s">
        <v>40</v>
      </c>
      <c r="F1367" s="1" t="s">
        <v>48</v>
      </c>
      <c r="G1367" s="2">
        <v>303.88</v>
      </c>
      <c r="H1367" s="1">
        <v>4</v>
      </c>
      <c r="I1367" s="1">
        <v>272</v>
      </c>
      <c r="J1367" s="1">
        <v>246</v>
      </c>
      <c r="K1367" s="1">
        <v>105</v>
      </c>
      <c r="L1367" s="1">
        <v>69</v>
      </c>
      <c r="M1367" s="1" t="s">
        <v>41</v>
      </c>
      <c r="N1367" s="1" t="s">
        <v>32</v>
      </c>
      <c r="O1367" t="s">
        <v>178</v>
      </c>
      <c r="P1367" s="2">
        <v>212.72</v>
      </c>
      <c r="Q1367" s="1" t="str">
        <f>IF(J222&gt;K222,"YES","NO")</f>
        <v>YES</v>
      </c>
      <c r="R1367" s="2">
        <f>IF(Q222="YES",G222*0.9,G222)</f>
        <v>273.49200000000002</v>
      </c>
      <c r="S1367" s="2">
        <f>J222*G222</f>
        <v>74754.48</v>
      </c>
      <c r="T1367" s="1">
        <f ca="1">TODAY()-DATE(MID(O222,7,4),MID(O222,4,2),LEFT(O222,2))</f>
        <v>90</v>
      </c>
      <c r="U1367" s="1" t="s">
        <v>34</v>
      </c>
      <c r="V1367" s="1" t="s">
        <v>34</v>
      </c>
      <c r="W1367" s="1" t="s">
        <v>34</v>
      </c>
      <c r="X1367" t="s">
        <v>2784</v>
      </c>
      <c r="Y1367" s="1">
        <v>6</v>
      </c>
    </row>
    <row r="1368" spans="1:25" x14ac:dyDescent="0.3">
      <c r="A1368" s="1" t="s">
        <v>2382</v>
      </c>
      <c r="B1368" s="1" t="s">
        <v>57</v>
      </c>
      <c r="C1368" s="1" t="s">
        <v>58</v>
      </c>
      <c r="D1368" s="1" t="s">
        <v>59</v>
      </c>
      <c r="E1368" s="1" t="s">
        <v>29</v>
      </c>
      <c r="F1368" s="1" t="s">
        <v>30</v>
      </c>
      <c r="G1368" s="2">
        <v>270.02999999999997</v>
      </c>
      <c r="H1368" s="1">
        <v>17</v>
      </c>
      <c r="I1368" s="1">
        <v>129</v>
      </c>
      <c r="J1368" s="1">
        <v>118</v>
      </c>
      <c r="K1368" s="1">
        <v>67</v>
      </c>
      <c r="L1368" s="1">
        <v>56</v>
      </c>
      <c r="M1368" s="1" t="s">
        <v>49</v>
      </c>
      <c r="N1368" s="1" t="s">
        <v>60</v>
      </c>
      <c r="O1368" t="s">
        <v>254</v>
      </c>
      <c r="P1368" s="2">
        <v>189.02</v>
      </c>
      <c r="Q1368" s="1" t="str">
        <f>IF(J338&gt;K338,"YES","NO")</f>
        <v>YES</v>
      </c>
      <c r="R1368" s="2">
        <f>IF(Q338="YES",G338*0.9,G338)</f>
        <v>243.02699999999999</v>
      </c>
      <c r="S1368" s="2">
        <f>J338*G338</f>
        <v>31863.539999999997</v>
      </c>
      <c r="T1368" s="1">
        <f ca="1">TODAY()-DATE(MID(O338,7,4),MID(O338,4,2),LEFT(O338,2))</f>
        <v>145</v>
      </c>
      <c r="U1368" s="1" t="s">
        <v>34</v>
      </c>
      <c r="V1368" s="1" t="s">
        <v>34</v>
      </c>
      <c r="W1368" s="1" t="s">
        <v>34</v>
      </c>
      <c r="X1368" t="s">
        <v>2723</v>
      </c>
      <c r="Y1368" s="1">
        <v>9</v>
      </c>
    </row>
    <row r="1369" spans="1:25" x14ac:dyDescent="0.3">
      <c r="A1369" s="1" t="s">
        <v>2383</v>
      </c>
      <c r="B1369" s="1" t="s">
        <v>37</v>
      </c>
      <c r="C1369" s="1" t="s">
        <v>38</v>
      </c>
      <c r="D1369" s="1" t="s">
        <v>39</v>
      </c>
      <c r="E1369" s="1" t="s">
        <v>74</v>
      </c>
      <c r="F1369" s="1" t="s">
        <v>30</v>
      </c>
      <c r="G1369" s="2">
        <v>112.12</v>
      </c>
      <c r="H1369" s="1">
        <v>4</v>
      </c>
      <c r="I1369" s="1">
        <v>244</v>
      </c>
      <c r="J1369" s="1">
        <v>225</v>
      </c>
      <c r="K1369" s="1">
        <v>43</v>
      </c>
      <c r="L1369" s="1">
        <v>133</v>
      </c>
      <c r="M1369" s="1" t="s">
        <v>49</v>
      </c>
      <c r="N1369" s="1" t="s">
        <v>60</v>
      </c>
      <c r="O1369" t="s">
        <v>203</v>
      </c>
      <c r="P1369" s="2">
        <v>78.48</v>
      </c>
      <c r="Q1369" s="1" t="str">
        <f>IF(J571&gt;K571,"YES","NO")</f>
        <v>YES</v>
      </c>
      <c r="R1369" s="2">
        <f>IF(Q571="YES",G571*0.9,G571)</f>
        <v>100.908</v>
      </c>
      <c r="S1369" s="2">
        <f>J571*G571</f>
        <v>25227</v>
      </c>
      <c r="T1369" s="1">
        <f ca="1">TODAY()-DATE(MID(O571,7,4),MID(O571,4,2),LEFT(O571,2))</f>
        <v>102</v>
      </c>
      <c r="U1369" s="1" t="s">
        <v>34</v>
      </c>
      <c r="V1369" s="1" t="s">
        <v>34</v>
      </c>
      <c r="W1369" s="1" t="s">
        <v>34</v>
      </c>
      <c r="X1369" t="s">
        <v>2588</v>
      </c>
      <c r="Y1369" s="1">
        <v>5.5</v>
      </c>
    </row>
    <row r="1370" spans="1:25" x14ac:dyDescent="0.3">
      <c r="A1370" s="1" t="s">
        <v>2384</v>
      </c>
      <c r="B1370" s="1" t="s">
        <v>123</v>
      </c>
      <c r="C1370" s="1" t="s">
        <v>124</v>
      </c>
      <c r="D1370" s="1" t="s">
        <v>47</v>
      </c>
      <c r="E1370" s="1" t="s">
        <v>29</v>
      </c>
      <c r="F1370" s="1" t="s">
        <v>30</v>
      </c>
      <c r="G1370" s="2">
        <v>418.2</v>
      </c>
      <c r="H1370" s="1">
        <v>0</v>
      </c>
      <c r="I1370" s="1">
        <v>193</v>
      </c>
      <c r="J1370" s="1">
        <v>156</v>
      </c>
      <c r="K1370" s="1">
        <v>49</v>
      </c>
      <c r="L1370" s="1">
        <v>111</v>
      </c>
      <c r="M1370" s="1" t="s">
        <v>41</v>
      </c>
      <c r="N1370" s="1" t="s">
        <v>60</v>
      </c>
      <c r="O1370" t="s">
        <v>55</v>
      </c>
      <c r="P1370" s="2">
        <v>292.74</v>
      </c>
      <c r="Q1370" s="1" t="str">
        <f>IF(J493&gt;K493,"YES","NO")</f>
        <v>YES</v>
      </c>
      <c r="R1370" s="2">
        <f>IF(Q493="YES",G493*0.9,G493)</f>
        <v>376.38</v>
      </c>
      <c r="S1370" s="2">
        <f>J493*G493</f>
        <v>65239.199999999997</v>
      </c>
      <c r="T1370" s="1">
        <f ca="1">TODAY()-DATE(MID(O493,7,4),MID(O493,4,2),LEFT(O493,2))</f>
        <v>91</v>
      </c>
      <c r="U1370" s="1" t="s">
        <v>34</v>
      </c>
      <c r="V1370" s="1" t="s">
        <v>34</v>
      </c>
      <c r="W1370" s="1" t="s">
        <v>34</v>
      </c>
      <c r="X1370" t="s">
        <v>2557</v>
      </c>
      <c r="Y1370" s="1">
        <v>6.5</v>
      </c>
    </row>
    <row r="1371" spans="1:25" x14ac:dyDescent="0.3">
      <c r="A1371" s="1" t="s">
        <v>2385</v>
      </c>
      <c r="B1371" s="1" t="s">
        <v>72</v>
      </c>
      <c r="C1371" s="1" t="s">
        <v>73</v>
      </c>
      <c r="D1371" s="1" t="s">
        <v>47</v>
      </c>
      <c r="E1371" s="1" t="s">
        <v>29</v>
      </c>
      <c r="F1371" s="1" t="s">
        <v>30</v>
      </c>
      <c r="G1371" s="2">
        <v>146.37</v>
      </c>
      <c r="H1371" s="1">
        <v>9</v>
      </c>
      <c r="I1371" s="1">
        <v>138</v>
      </c>
      <c r="J1371" s="1">
        <v>137</v>
      </c>
      <c r="K1371" s="1">
        <v>85</v>
      </c>
      <c r="L1371" s="1">
        <v>112</v>
      </c>
      <c r="M1371" s="1" t="s">
        <v>49</v>
      </c>
      <c r="N1371" s="1" t="s">
        <v>60</v>
      </c>
      <c r="O1371" t="s">
        <v>377</v>
      </c>
      <c r="P1371" s="2">
        <v>102.46</v>
      </c>
      <c r="Q1371" s="1" t="str">
        <f>IF(J614&gt;K614,"YES","NO")</f>
        <v>YES</v>
      </c>
      <c r="R1371" s="2">
        <f>IF(Q614="YES",G614*0.9,G614)</f>
        <v>131.733</v>
      </c>
      <c r="S1371" s="2">
        <f>J614*G614</f>
        <v>20052.690000000002</v>
      </c>
      <c r="T1371" s="1">
        <f ca="1">TODAY()-DATE(MID(O614,7,4),MID(O614,4,2),LEFT(O614,2))</f>
        <v>65</v>
      </c>
      <c r="U1371" s="1" t="s">
        <v>34</v>
      </c>
      <c r="V1371" s="1" t="s">
        <v>34</v>
      </c>
      <c r="W1371" s="1" t="s">
        <v>34</v>
      </c>
      <c r="X1371" t="s">
        <v>2863</v>
      </c>
      <c r="Y1371" s="1">
        <v>7</v>
      </c>
    </row>
    <row r="1372" spans="1:25" x14ac:dyDescent="0.3">
      <c r="A1372" s="1" t="s">
        <v>2386</v>
      </c>
      <c r="B1372" s="1" t="s">
        <v>126</v>
      </c>
      <c r="C1372" s="1" t="s">
        <v>127</v>
      </c>
      <c r="D1372" s="1" t="s">
        <v>85</v>
      </c>
      <c r="E1372" s="1" t="s">
        <v>40</v>
      </c>
      <c r="F1372" s="1" t="s">
        <v>30</v>
      </c>
      <c r="G1372" s="2">
        <v>63.21</v>
      </c>
      <c r="H1372" s="1">
        <v>10</v>
      </c>
      <c r="I1372" s="1">
        <v>266</v>
      </c>
      <c r="J1372" s="1">
        <v>257</v>
      </c>
      <c r="K1372" s="1">
        <v>50</v>
      </c>
      <c r="L1372" s="1">
        <v>81</v>
      </c>
      <c r="M1372" s="1" t="s">
        <v>41</v>
      </c>
      <c r="N1372" s="1" t="s">
        <v>32</v>
      </c>
      <c r="O1372" t="s">
        <v>113</v>
      </c>
      <c r="P1372" s="2">
        <v>44.25</v>
      </c>
      <c r="Q1372" s="1" t="str">
        <f>IF(J532&gt;K532,"YES","NO")</f>
        <v>YES</v>
      </c>
      <c r="R1372" s="2">
        <f>IF(Q532="YES",G532*0.9,G532)</f>
        <v>56.889000000000003</v>
      </c>
      <c r="S1372" s="2">
        <f>J532*G532</f>
        <v>16244.97</v>
      </c>
      <c r="T1372" s="1">
        <f ca="1">TODAY()-DATE(MID(O532,7,4),MID(O532,4,2),LEFT(O532,2))</f>
        <v>82</v>
      </c>
      <c r="U1372" s="1" t="s">
        <v>34</v>
      </c>
      <c r="V1372" s="1" t="s">
        <v>34</v>
      </c>
      <c r="W1372" s="1" t="s">
        <v>34</v>
      </c>
      <c r="X1372" t="s">
        <v>2819</v>
      </c>
      <c r="Y1372" s="1">
        <v>6</v>
      </c>
    </row>
    <row r="1373" spans="1:25" x14ac:dyDescent="0.3">
      <c r="A1373" s="1" t="s">
        <v>2387</v>
      </c>
      <c r="B1373" s="1" t="s">
        <v>176</v>
      </c>
      <c r="C1373" s="1" t="s">
        <v>177</v>
      </c>
      <c r="D1373" s="1" t="s">
        <v>39</v>
      </c>
      <c r="E1373" s="1" t="s">
        <v>74</v>
      </c>
      <c r="F1373" s="1" t="s">
        <v>54</v>
      </c>
      <c r="G1373" s="2">
        <v>463.19</v>
      </c>
      <c r="H1373" s="1">
        <v>1</v>
      </c>
      <c r="I1373" s="1">
        <v>199</v>
      </c>
      <c r="J1373" s="1">
        <v>172</v>
      </c>
      <c r="K1373" s="1">
        <v>69</v>
      </c>
      <c r="L1373" s="1">
        <v>69</v>
      </c>
      <c r="M1373" s="1" t="s">
        <v>49</v>
      </c>
      <c r="N1373" s="1" t="s">
        <v>60</v>
      </c>
      <c r="O1373" t="s">
        <v>128</v>
      </c>
      <c r="P1373" s="2">
        <v>324.23</v>
      </c>
      <c r="Q1373" s="1" t="str">
        <f>IF(J748&gt;K748,"YES","NO")</f>
        <v>YES</v>
      </c>
      <c r="R1373" s="2">
        <f>IF(Q748="YES",G748*0.9,G748)</f>
        <v>416.87099999999998</v>
      </c>
      <c r="S1373" s="2">
        <f>J748*G748</f>
        <v>79668.679999999993</v>
      </c>
      <c r="T1373" s="1">
        <f ca="1">TODAY()-DATE(MID(O748,7,4),MID(O748,4,2),LEFT(O748,2))</f>
        <v>77</v>
      </c>
      <c r="U1373" s="1" t="s">
        <v>34</v>
      </c>
      <c r="V1373" s="1" t="s">
        <v>34</v>
      </c>
      <c r="W1373" s="1" t="s">
        <v>34</v>
      </c>
      <c r="X1373" t="s">
        <v>2557</v>
      </c>
      <c r="Y1373" s="1">
        <v>9</v>
      </c>
    </row>
    <row r="1374" spans="1:25" x14ac:dyDescent="0.3">
      <c r="A1374" s="1" t="s">
        <v>2388</v>
      </c>
      <c r="B1374" s="1" t="s">
        <v>192</v>
      </c>
      <c r="C1374" s="1" t="s">
        <v>193</v>
      </c>
      <c r="D1374" s="1" t="s">
        <v>85</v>
      </c>
      <c r="E1374" s="1" t="s">
        <v>40</v>
      </c>
      <c r="F1374" s="1" t="s">
        <v>48</v>
      </c>
      <c r="G1374" s="2">
        <v>185.89</v>
      </c>
      <c r="H1374" s="1">
        <v>25</v>
      </c>
      <c r="I1374" s="1">
        <v>171</v>
      </c>
      <c r="J1374" s="1">
        <v>145</v>
      </c>
      <c r="K1374" s="1">
        <v>109</v>
      </c>
      <c r="L1374" s="1">
        <v>119</v>
      </c>
      <c r="M1374" s="1" t="s">
        <v>49</v>
      </c>
      <c r="N1374" s="1" t="s">
        <v>42</v>
      </c>
      <c r="O1374" t="s">
        <v>207</v>
      </c>
      <c r="P1374" s="2">
        <v>130.12</v>
      </c>
      <c r="Q1374" s="1" t="str">
        <f>IF(J516&gt;K516,"YES","NO")</f>
        <v>YES</v>
      </c>
      <c r="R1374" s="2">
        <f>IF(Q516="YES",G516*0.9,G516)</f>
        <v>167.30099999999999</v>
      </c>
      <c r="S1374" s="2">
        <f>J516*G516</f>
        <v>26954.05</v>
      </c>
      <c r="T1374" s="1">
        <f ca="1">TODAY()-DATE(MID(O516,7,4),MID(O516,4,2),LEFT(O516,2))</f>
        <v>98</v>
      </c>
      <c r="U1374" s="1" t="s">
        <v>34</v>
      </c>
      <c r="V1374" s="1" t="s">
        <v>34</v>
      </c>
      <c r="W1374" s="1" t="s">
        <v>34</v>
      </c>
      <c r="X1374" t="s">
        <v>2778</v>
      </c>
      <c r="Y1374" s="1">
        <v>8</v>
      </c>
    </row>
    <row r="1375" spans="1:25" x14ac:dyDescent="0.3">
      <c r="A1375" s="1" t="s">
        <v>2389</v>
      </c>
      <c r="B1375" s="1" t="s">
        <v>197</v>
      </c>
      <c r="C1375" s="1" t="s">
        <v>198</v>
      </c>
      <c r="D1375" s="1" t="s">
        <v>104</v>
      </c>
      <c r="E1375" s="1" t="s">
        <v>40</v>
      </c>
      <c r="F1375" s="1" t="s">
        <v>54</v>
      </c>
      <c r="G1375" s="2">
        <v>496.17</v>
      </c>
      <c r="H1375" s="1">
        <v>5</v>
      </c>
      <c r="I1375" s="1">
        <v>287</v>
      </c>
      <c r="J1375" s="1">
        <v>261</v>
      </c>
      <c r="K1375" s="1">
        <v>61</v>
      </c>
      <c r="L1375" s="1">
        <v>102</v>
      </c>
      <c r="M1375" s="1" t="s">
        <v>41</v>
      </c>
      <c r="N1375" s="1" t="s">
        <v>42</v>
      </c>
      <c r="O1375" t="s">
        <v>289</v>
      </c>
      <c r="P1375" s="2">
        <v>347.32</v>
      </c>
      <c r="Q1375" s="1" t="str">
        <f>IF(J719&gt;K719,"YES","NO")</f>
        <v>YES</v>
      </c>
      <c r="R1375" s="2">
        <f>IF(Q719="YES",G719*0.9,G719)</f>
        <v>446.553</v>
      </c>
      <c r="S1375" s="2">
        <f>J719*G719</f>
        <v>129500.37000000001</v>
      </c>
      <c r="T1375" s="1">
        <f ca="1">TODAY()-DATE(MID(O719,7,4),MID(O719,4,2),LEFT(O719,2))</f>
        <v>92</v>
      </c>
      <c r="U1375" s="1" t="s">
        <v>34</v>
      </c>
      <c r="V1375" s="1" t="s">
        <v>34</v>
      </c>
      <c r="W1375" s="1" t="s">
        <v>34</v>
      </c>
      <c r="X1375" t="s">
        <v>2705</v>
      </c>
      <c r="Y1375" s="1">
        <v>9.5</v>
      </c>
    </row>
    <row r="1376" spans="1:25" x14ac:dyDescent="0.3">
      <c r="A1376" s="1" t="s">
        <v>2390</v>
      </c>
      <c r="B1376" s="1" t="s">
        <v>69</v>
      </c>
      <c r="C1376" s="1" t="s">
        <v>70</v>
      </c>
      <c r="D1376" s="1" t="s">
        <v>59</v>
      </c>
      <c r="E1376" s="1" t="s">
        <v>74</v>
      </c>
      <c r="F1376" s="1" t="s">
        <v>30</v>
      </c>
      <c r="G1376" s="2">
        <v>188.59</v>
      </c>
      <c r="H1376" s="1">
        <v>24</v>
      </c>
      <c r="I1376" s="1">
        <v>255</v>
      </c>
      <c r="J1376" s="1">
        <v>255</v>
      </c>
      <c r="K1376" s="1">
        <v>111</v>
      </c>
      <c r="L1376" s="1">
        <v>93</v>
      </c>
      <c r="M1376" s="1" t="s">
        <v>49</v>
      </c>
      <c r="N1376" s="1" t="s">
        <v>42</v>
      </c>
      <c r="O1376" t="s">
        <v>137</v>
      </c>
      <c r="P1376" s="2">
        <v>132.01</v>
      </c>
      <c r="Q1376" s="1" t="str">
        <f>IF(J97&gt;K97,"YES","NO")</f>
        <v>YES</v>
      </c>
      <c r="R1376" s="2">
        <f>IF(Q97="YES",G97*0.9,G97)</f>
        <v>169.73099999999999</v>
      </c>
      <c r="S1376" s="2">
        <f>J97*G97</f>
        <v>48090.450000000004</v>
      </c>
      <c r="T1376" s="1">
        <f ca="1">TODAY()-DATE(MID(O97,7,4),MID(O97,4,2),LEFT(O97,2))</f>
        <v>107</v>
      </c>
      <c r="U1376" s="1" t="s">
        <v>34</v>
      </c>
      <c r="V1376" s="1" t="s">
        <v>34</v>
      </c>
      <c r="W1376" s="1" t="s">
        <v>34</v>
      </c>
      <c r="X1376" t="s">
        <v>2732</v>
      </c>
      <c r="Y1376" s="1">
        <v>8.5</v>
      </c>
    </row>
    <row r="1377" spans="1:25" x14ac:dyDescent="0.3">
      <c r="A1377" s="1" t="s">
        <v>2391</v>
      </c>
      <c r="B1377" s="1" t="s">
        <v>45</v>
      </c>
      <c r="C1377" s="1" t="s">
        <v>46</v>
      </c>
      <c r="D1377" s="1" t="s">
        <v>47</v>
      </c>
      <c r="E1377" s="1" t="s">
        <v>74</v>
      </c>
      <c r="F1377" s="1" t="s">
        <v>54</v>
      </c>
      <c r="G1377" s="2">
        <v>412</v>
      </c>
      <c r="H1377" s="1">
        <v>4</v>
      </c>
      <c r="I1377" s="1">
        <v>212</v>
      </c>
      <c r="J1377" s="1">
        <v>180</v>
      </c>
      <c r="K1377" s="1">
        <v>71</v>
      </c>
      <c r="L1377" s="1">
        <v>110</v>
      </c>
      <c r="M1377" s="1" t="s">
        <v>49</v>
      </c>
      <c r="N1377" s="1" t="s">
        <v>60</v>
      </c>
      <c r="O1377" t="s">
        <v>55</v>
      </c>
      <c r="P1377" s="2">
        <v>288.39999999999998</v>
      </c>
      <c r="Q1377" s="1" t="str">
        <f>IF(J374&gt;K374,"YES","NO")</f>
        <v>YES</v>
      </c>
      <c r="R1377" s="2">
        <f>IF(Q374="YES",G374*0.9,G374)</f>
        <v>370.8</v>
      </c>
      <c r="S1377" s="2">
        <f>J374*G374</f>
        <v>74160</v>
      </c>
      <c r="T1377" s="1">
        <f ca="1">TODAY()-DATE(MID(O374,7,4),MID(O374,4,2),LEFT(O374,2))</f>
        <v>91</v>
      </c>
      <c r="U1377" s="1" t="s">
        <v>34</v>
      </c>
      <c r="V1377" s="1" t="s">
        <v>34</v>
      </c>
      <c r="W1377" s="1" t="s">
        <v>34</v>
      </c>
      <c r="X1377" t="s">
        <v>2834</v>
      </c>
      <c r="Y1377" s="1">
        <v>7</v>
      </c>
    </row>
    <row r="1378" spans="1:25" x14ac:dyDescent="0.3">
      <c r="A1378" s="1" t="s">
        <v>2392</v>
      </c>
      <c r="B1378" s="1" t="s">
        <v>37</v>
      </c>
      <c r="C1378" s="1" t="s">
        <v>38</v>
      </c>
      <c r="D1378" s="1" t="s">
        <v>39</v>
      </c>
      <c r="E1378" s="1" t="s">
        <v>29</v>
      </c>
      <c r="F1378" s="1" t="s">
        <v>48</v>
      </c>
      <c r="G1378" s="2">
        <v>373.9</v>
      </c>
      <c r="H1378" s="1">
        <v>22</v>
      </c>
      <c r="I1378" s="1">
        <v>168</v>
      </c>
      <c r="J1378" s="1">
        <v>148</v>
      </c>
      <c r="K1378" s="1">
        <v>95</v>
      </c>
      <c r="L1378" s="1">
        <v>61</v>
      </c>
      <c r="M1378" s="1" t="s">
        <v>31</v>
      </c>
      <c r="N1378" s="1" t="s">
        <v>32</v>
      </c>
      <c r="O1378" t="s">
        <v>284</v>
      </c>
      <c r="P1378" s="2">
        <v>261.73</v>
      </c>
      <c r="Q1378" s="1" t="str">
        <f>IF(J121&gt;K121,"YES","NO")</f>
        <v>YES</v>
      </c>
      <c r="R1378" s="2">
        <f>IF(Q121="YES",G121*0.9,G121)</f>
        <v>336.51</v>
      </c>
      <c r="S1378" s="2">
        <f>J121*G121</f>
        <v>55337.2</v>
      </c>
      <c r="T1378" s="1">
        <f ca="1">TODAY()-DATE(MID(O121,7,4),MID(O121,4,2),LEFT(O121,2))</f>
        <v>119</v>
      </c>
      <c r="U1378" s="1" t="s">
        <v>34</v>
      </c>
      <c r="V1378" s="1" t="s">
        <v>34</v>
      </c>
      <c r="W1378" s="1" t="s">
        <v>34</v>
      </c>
      <c r="X1378" t="s">
        <v>2519</v>
      </c>
      <c r="Y1378" s="1">
        <v>5.5</v>
      </c>
    </row>
    <row r="1379" spans="1:25" x14ac:dyDescent="0.3">
      <c r="A1379" s="1" t="s">
        <v>2393</v>
      </c>
      <c r="B1379" s="1" t="s">
        <v>37</v>
      </c>
      <c r="C1379" s="1" t="s">
        <v>38</v>
      </c>
      <c r="D1379" s="1" t="s">
        <v>39</v>
      </c>
      <c r="E1379" s="1" t="s">
        <v>40</v>
      </c>
      <c r="F1379" s="1" t="s">
        <v>54</v>
      </c>
      <c r="G1379" s="2">
        <v>353.91</v>
      </c>
      <c r="H1379" s="1">
        <v>16</v>
      </c>
      <c r="I1379" s="1">
        <v>144</v>
      </c>
      <c r="J1379" s="1">
        <v>138</v>
      </c>
      <c r="K1379" s="1">
        <v>100</v>
      </c>
      <c r="L1379" s="1">
        <v>119</v>
      </c>
      <c r="M1379" s="1" t="s">
        <v>49</v>
      </c>
      <c r="N1379" s="1" t="s">
        <v>42</v>
      </c>
      <c r="O1379" t="s">
        <v>302</v>
      </c>
      <c r="P1379" s="2">
        <v>247.74</v>
      </c>
      <c r="Q1379" s="1" t="str">
        <f>IF(J680&gt;K680,"YES","NO")</f>
        <v>YES</v>
      </c>
      <c r="R1379" s="2">
        <f>IF(Q680="YES",G680*0.9,G680)</f>
        <v>318.51900000000001</v>
      </c>
      <c r="S1379" s="2">
        <f>J680*G680</f>
        <v>48839.58</v>
      </c>
      <c r="T1379" s="1">
        <f ca="1">TODAY()-DATE(MID(O680,7,4),MID(O680,4,2),LEFT(O680,2))</f>
        <v>133</v>
      </c>
      <c r="U1379" s="1" t="s">
        <v>34</v>
      </c>
      <c r="V1379" s="1" t="s">
        <v>34</v>
      </c>
      <c r="W1379" s="1" t="s">
        <v>34</v>
      </c>
      <c r="X1379" t="s">
        <v>2796</v>
      </c>
      <c r="Y1379" s="1">
        <v>5</v>
      </c>
    </row>
    <row r="1380" spans="1:25" x14ac:dyDescent="0.3">
      <c r="A1380" s="1" t="s">
        <v>2394</v>
      </c>
      <c r="B1380" s="1" t="s">
        <v>111</v>
      </c>
      <c r="C1380" s="1" t="s">
        <v>112</v>
      </c>
      <c r="D1380" s="1" t="s">
        <v>97</v>
      </c>
      <c r="E1380" s="1" t="s">
        <v>74</v>
      </c>
      <c r="F1380" s="1" t="s">
        <v>54</v>
      </c>
      <c r="G1380" s="2">
        <v>348.35</v>
      </c>
      <c r="H1380" s="1">
        <v>19</v>
      </c>
      <c r="I1380" s="1">
        <v>156</v>
      </c>
      <c r="J1380" s="1">
        <v>125</v>
      </c>
      <c r="K1380" s="1">
        <v>100</v>
      </c>
      <c r="L1380" s="1">
        <v>90</v>
      </c>
      <c r="M1380" s="1" t="s">
        <v>41</v>
      </c>
      <c r="N1380" s="1" t="s">
        <v>42</v>
      </c>
      <c r="O1380" t="s">
        <v>229</v>
      </c>
      <c r="P1380" s="2">
        <v>243.84</v>
      </c>
      <c r="Q1380" s="1" t="str">
        <f>IF(J192&gt;K192,"YES","NO")</f>
        <v>YES</v>
      </c>
      <c r="R1380" s="2">
        <f>IF(Q192="YES",G192*0.9,G192)</f>
        <v>313.51500000000004</v>
      </c>
      <c r="S1380" s="2">
        <f>J192*G192</f>
        <v>43543.75</v>
      </c>
      <c r="T1380" s="1">
        <f ca="1">TODAY()-DATE(MID(O192,7,4),MID(O192,4,2),LEFT(O192,2))</f>
        <v>128</v>
      </c>
      <c r="U1380" s="1" t="s">
        <v>34</v>
      </c>
      <c r="V1380" s="1" t="s">
        <v>34</v>
      </c>
      <c r="W1380" s="1" t="s">
        <v>34</v>
      </c>
      <c r="X1380" t="s">
        <v>2864</v>
      </c>
      <c r="Y1380" s="1">
        <v>6</v>
      </c>
    </row>
    <row r="1381" spans="1:25" x14ac:dyDescent="0.3">
      <c r="A1381" s="1" t="s">
        <v>2395</v>
      </c>
      <c r="B1381" s="1" t="s">
        <v>83</v>
      </c>
      <c r="C1381" s="1" t="s">
        <v>84</v>
      </c>
      <c r="D1381" s="1" t="s">
        <v>85</v>
      </c>
      <c r="E1381" s="1" t="s">
        <v>40</v>
      </c>
      <c r="F1381" s="1" t="s">
        <v>54</v>
      </c>
      <c r="G1381" s="2">
        <v>489.94</v>
      </c>
      <c r="H1381" s="1">
        <v>5</v>
      </c>
      <c r="I1381" s="1">
        <v>136</v>
      </c>
      <c r="J1381" s="1">
        <v>114</v>
      </c>
      <c r="K1381" s="1">
        <v>53</v>
      </c>
      <c r="L1381" s="1">
        <v>117</v>
      </c>
      <c r="M1381" s="1" t="s">
        <v>41</v>
      </c>
      <c r="N1381" s="1" t="s">
        <v>42</v>
      </c>
      <c r="O1381" t="s">
        <v>100</v>
      </c>
      <c r="P1381" s="2">
        <v>342.96</v>
      </c>
      <c r="Q1381" s="1" t="str">
        <f>IF(J19&gt;K19,"YES","NO")</f>
        <v>YES</v>
      </c>
      <c r="R1381" s="2">
        <f>IF(Q19="YES",G19*0.9,G19)</f>
        <v>440.94600000000003</v>
      </c>
      <c r="S1381" s="2">
        <f>J19*G19</f>
        <v>55853.159999999996</v>
      </c>
      <c r="T1381" s="1">
        <f ca="1">TODAY()-DATE(MID(O19,7,4),MID(O19,4,2),LEFT(O19,2))</f>
        <v>137</v>
      </c>
      <c r="U1381" s="1" t="s">
        <v>34</v>
      </c>
      <c r="V1381" s="1" t="s">
        <v>34</v>
      </c>
      <c r="W1381" s="1" t="s">
        <v>34</v>
      </c>
      <c r="X1381" t="s">
        <v>2564</v>
      </c>
      <c r="Y1381" s="1">
        <v>9.5</v>
      </c>
    </row>
    <row r="1382" spans="1:25" x14ac:dyDescent="0.3">
      <c r="A1382" s="1" t="s">
        <v>2396</v>
      </c>
      <c r="B1382" s="1" t="s">
        <v>83</v>
      </c>
      <c r="C1382" s="1" t="s">
        <v>84</v>
      </c>
      <c r="D1382" s="1" t="s">
        <v>85</v>
      </c>
      <c r="E1382" s="1" t="s">
        <v>74</v>
      </c>
      <c r="F1382" s="1" t="s">
        <v>48</v>
      </c>
      <c r="G1382" s="2">
        <v>52.5</v>
      </c>
      <c r="H1382" s="1">
        <v>11</v>
      </c>
      <c r="I1382" s="1">
        <v>81</v>
      </c>
      <c r="J1382" s="1">
        <v>81</v>
      </c>
      <c r="K1382" s="1">
        <v>88</v>
      </c>
      <c r="L1382" s="1">
        <v>92</v>
      </c>
      <c r="M1382" s="1" t="s">
        <v>49</v>
      </c>
      <c r="N1382" s="1" t="s">
        <v>32</v>
      </c>
      <c r="O1382" t="s">
        <v>195</v>
      </c>
      <c r="P1382" s="2">
        <v>36.75</v>
      </c>
      <c r="Q1382" s="1" t="str">
        <f>IF(J129&gt;K129,"YES","NO")</f>
        <v>NO</v>
      </c>
      <c r="R1382" s="2">
        <f>IF(Q129="YES",G129*0.9,G129)</f>
        <v>52.5</v>
      </c>
      <c r="S1382" s="2">
        <f>J129*G129</f>
        <v>4252.5</v>
      </c>
      <c r="T1382" s="1">
        <f ca="1">TODAY()-DATE(MID(O129,7,4),MID(O129,4,2),LEFT(O129,2))</f>
        <v>63</v>
      </c>
      <c r="U1382" s="1" t="s">
        <v>34</v>
      </c>
      <c r="V1382" s="1" t="s">
        <v>34</v>
      </c>
      <c r="W1382" s="1" t="s">
        <v>34</v>
      </c>
      <c r="X1382" t="s">
        <v>2921</v>
      </c>
      <c r="Y1382" s="1">
        <v>9.5</v>
      </c>
    </row>
    <row r="1383" spans="1:25" x14ac:dyDescent="0.3">
      <c r="A1383" s="1" t="s">
        <v>2397</v>
      </c>
      <c r="B1383" s="1" t="s">
        <v>26</v>
      </c>
      <c r="C1383" s="1" t="s">
        <v>27</v>
      </c>
      <c r="D1383" s="1" t="s">
        <v>28</v>
      </c>
      <c r="E1383" s="1" t="s">
        <v>29</v>
      </c>
      <c r="F1383" s="1" t="s">
        <v>54</v>
      </c>
      <c r="G1383" s="2">
        <v>277.13</v>
      </c>
      <c r="H1383" s="1">
        <v>21</v>
      </c>
      <c r="I1383" s="1">
        <v>234</v>
      </c>
      <c r="J1383" s="1">
        <v>206</v>
      </c>
      <c r="K1383" s="1">
        <v>76</v>
      </c>
      <c r="L1383" s="1">
        <v>138</v>
      </c>
      <c r="M1383" s="1" t="s">
        <v>31</v>
      </c>
      <c r="N1383" s="1" t="s">
        <v>42</v>
      </c>
      <c r="O1383" t="s">
        <v>401</v>
      </c>
      <c r="P1383" s="2">
        <v>193.99</v>
      </c>
      <c r="Q1383" s="1" t="str">
        <f>IF(J650&gt;K650,"YES","NO")</f>
        <v>YES</v>
      </c>
      <c r="R1383" s="2">
        <f>IF(Q650="YES",G650*0.9,G650)</f>
        <v>249.417</v>
      </c>
      <c r="S1383" s="2">
        <f>J650*G650</f>
        <v>57088.78</v>
      </c>
      <c r="T1383" s="1">
        <f ca="1">TODAY()-DATE(MID(O650,7,4),MID(O650,4,2),LEFT(O650,2))</f>
        <v>110</v>
      </c>
      <c r="U1383" s="1" t="s">
        <v>34</v>
      </c>
      <c r="V1383" s="1" t="s">
        <v>34</v>
      </c>
      <c r="W1383" s="1" t="s">
        <v>34</v>
      </c>
      <c r="X1383" t="s">
        <v>2710</v>
      </c>
      <c r="Y1383" s="1">
        <v>5</v>
      </c>
    </row>
    <row r="1384" spans="1:25" x14ac:dyDescent="0.3">
      <c r="A1384" s="1" t="s">
        <v>2398</v>
      </c>
      <c r="B1384" s="1" t="s">
        <v>192</v>
      </c>
      <c r="C1384" s="1" t="s">
        <v>193</v>
      </c>
      <c r="D1384" s="1" t="s">
        <v>85</v>
      </c>
      <c r="E1384" s="1" t="s">
        <v>74</v>
      </c>
      <c r="F1384" s="1" t="s">
        <v>54</v>
      </c>
      <c r="G1384" s="2">
        <v>393.07</v>
      </c>
      <c r="H1384" s="1">
        <v>22</v>
      </c>
      <c r="I1384" s="1">
        <v>227</v>
      </c>
      <c r="J1384" s="1">
        <v>223</v>
      </c>
      <c r="K1384" s="1">
        <v>84</v>
      </c>
      <c r="L1384" s="1">
        <v>139</v>
      </c>
      <c r="M1384" s="1" t="s">
        <v>41</v>
      </c>
      <c r="N1384" s="1" t="s">
        <v>32</v>
      </c>
      <c r="O1384" t="s">
        <v>264</v>
      </c>
      <c r="P1384" s="2">
        <v>275.14999999999998</v>
      </c>
      <c r="Q1384" s="1" t="str">
        <f>IF(J799&gt;K799,"YES","NO")</f>
        <v>YES</v>
      </c>
      <c r="R1384" s="2">
        <f>IF(Q799="YES",G799*0.9,G799)</f>
        <v>353.76299999999998</v>
      </c>
      <c r="S1384" s="2">
        <f>J799*G799</f>
        <v>87654.61</v>
      </c>
      <c r="T1384" s="1">
        <f ca="1">TODAY()-DATE(MID(O799,7,4),MID(O799,4,2),LEFT(O799,2))</f>
        <v>84</v>
      </c>
      <c r="U1384" s="1" t="s">
        <v>34</v>
      </c>
      <c r="V1384" s="1" t="s">
        <v>34</v>
      </c>
      <c r="W1384" s="1" t="s">
        <v>34</v>
      </c>
      <c r="X1384" t="s">
        <v>2888</v>
      </c>
      <c r="Y1384" s="1">
        <v>9.5</v>
      </c>
    </row>
    <row r="1385" spans="1:25" x14ac:dyDescent="0.3">
      <c r="A1385" s="1" t="s">
        <v>2399</v>
      </c>
      <c r="B1385" s="1" t="s">
        <v>83</v>
      </c>
      <c r="C1385" s="1" t="s">
        <v>84</v>
      </c>
      <c r="D1385" s="1" t="s">
        <v>85</v>
      </c>
      <c r="E1385" s="1" t="s">
        <v>29</v>
      </c>
      <c r="F1385" s="1" t="s">
        <v>30</v>
      </c>
      <c r="G1385" s="2">
        <v>420.91</v>
      </c>
      <c r="H1385" s="1">
        <v>0</v>
      </c>
      <c r="I1385" s="1">
        <v>175</v>
      </c>
      <c r="J1385" s="1">
        <v>168</v>
      </c>
      <c r="K1385" s="1">
        <v>55</v>
      </c>
      <c r="L1385" s="1">
        <v>83</v>
      </c>
      <c r="M1385" s="1" t="s">
        <v>31</v>
      </c>
      <c r="N1385" s="1" t="s">
        <v>42</v>
      </c>
      <c r="O1385" t="s">
        <v>145</v>
      </c>
      <c r="P1385" s="2">
        <v>294.64</v>
      </c>
      <c r="Q1385" s="1" t="str">
        <f>IF(J580&gt;K580,"YES","NO")</f>
        <v>YES</v>
      </c>
      <c r="R1385" s="2">
        <f>IF(Q580="YES",G580*0.9,G580)</f>
        <v>378.81900000000002</v>
      </c>
      <c r="S1385" s="2">
        <f>J580*G580</f>
        <v>70712.88</v>
      </c>
      <c r="T1385" s="1">
        <f ca="1">TODAY()-DATE(MID(O580,7,4),MID(O580,4,2),LEFT(O580,2))</f>
        <v>68</v>
      </c>
      <c r="U1385" s="1" t="s">
        <v>34</v>
      </c>
      <c r="V1385" s="1" t="s">
        <v>34</v>
      </c>
      <c r="W1385" s="1" t="s">
        <v>34</v>
      </c>
      <c r="X1385" t="s">
        <v>2553</v>
      </c>
      <c r="Y1385" s="1">
        <v>5</v>
      </c>
    </row>
    <row r="1386" spans="1:25" x14ac:dyDescent="0.3">
      <c r="A1386" s="1" t="s">
        <v>2400</v>
      </c>
      <c r="B1386" s="1" t="s">
        <v>130</v>
      </c>
      <c r="C1386" s="1" t="s">
        <v>131</v>
      </c>
      <c r="D1386" s="1" t="s">
        <v>132</v>
      </c>
      <c r="E1386" s="1" t="s">
        <v>74</v>
      </c>
      <c r="F1386" s="1" t="s">
        <v>48</v>
      </c>
      <c r="G1386" s="2">
        <v>143.88999999999999</v>
      </c>
      <c r="H1386" s="1">
        <v>15</v>
      </c>
      <c r="I1386" s="1">
        <v>147</v>
      </c>
      <c r="J1386" s="1">
        <v>124</v>
      </c>
      <c r="K1386" s="1">
        <v>83</v>
      </c>
      <c r="L1386" s="1">
        <v>135</v>
      </c>
      <c r="M1386" s="1" t="s">
        <v>41</v>
      </c>
      <c r="N1386" s="1" t="s">
        <v>42</v>
      </c>
      <c r="O1386" t="s">
        <v>133</v>
      </c>
      <c r="P1386" s="2">
        <v>100.72</v>
      </c>
      <c r="Q1386" s="1" t="str">
        <f>IF(J29&gt;K29,"YES","NO")</f>
        <v>YES</v>
      </c>
      <c r="R1386" s="2">
        <f>IF(Q29="YES",G29*0.9,G29)</f>
        <v>129.501</v>
      </c>
      <c r="S1386" s="2">
        <f>J29*G29</f>
        <v>17842.359999999997</v>
      </c>
      <c r="T1386" s="1">
        <f ca="1">TODAY()-DATE(MID(O29,7,4),MID(O29,4,2),LEFT(O29,2))</f>
        <v>76</v>
      </c>
      <c r="U1386" s="1" t="s">
        <v>34</v>
      </c>
      <c r="V1386" s="1" t="s">
        <v>34</v>
      </c>
      <c r="W1386" s="1" t="s">
        <v>34</v>
      </c>
      <c r="X1386" t="s">
        <v>2731</v>
      </c>
      <c r="Y1386" s="1">
        <v>9.5</v>
      </c>
    </row>
    <row r="1387" spans="1:25" x14ac:dyDescent="0.3">
      <c r="A1387" s="1" t="s">
        <v>2401</v>
      </c>
      <c r="B1387" s="1" t="s">
        <v>69</v>
      </c>
      <c r="C1387" s="1" t="s">
        <v>70</v>
      </c>
      <c r="D1387" s="1" t="s">
        <v>59</v>
      </c>
      <c r="E1387" s="1" t="s">
        <v>40</v>
      </c>
      <c r="F1387" s="1" t="s">
        <v>48</v>
      </c>
      <c r="G1387" s="2">
        <v>93.65</v>
      </c>
      <c r="H1387" s="1">
        <v>8</v>
      </c>
      <c r="I1387" s="1">
        <v>273</v>
      </c>
      <c r="J1387" s="1">
        <v>239</v>
      </c>
      <c r="K1387" s="1">
        <v>76</v>
      </c>
      <c r="L1387" s="1">
        <v>81</v>
      </c>
      <c r="M1387" s="1" t="s">
        <v>41</v>
      </c>
      <c r="N1387" s="1" t="s">
        <v>32</v>
      </c>
      <c r="O1387" t="s">
        <v>55</v>
      </c>
      <c r="P1387" s="2">
        <v>65.56</v>
      </c>
      <c r="Q1387" s="1" t="str">
        <f>IF(J17&gt;K17,"YES","NO")</f>
        <v>YES</v>
      </c>
      <c r="R1387" s="2">
        <f>IF(Q17="YES",G17*0.9,G17)</f>
        <v>84.285000000000011</v>
      </c>
      <c r="S1387" s="2">
        <f>J17*G17</f>
        <v>22382.350000000002</v>
      </c>
      <c r="T1387" s="1">
        <f ca="1">TODAY()-DATE(MID(O17,7,4),MID(O17,4,2),LEFT(O17,2))</f>
        <v>91</v>
      </c>
      <c r="U1387" s="1" t="s">
        <v>34</v>
      </c>
      <c r="V1387" s="1" t="s">
        <v>34</v>
      </c>
      <c r="W1387" s="1" t="s">
        <v>34</v>
      </c>
      <c r="X1387" t="s">
        <v>2873</v>
      </c>
      <c r="Y1387" s="1">
        <v>8.5</v>
      </c>
    </row>
    <row r="1388" spans="1:25" x14ac:dyDescent="0.3">
      <c r="A1388" s="1" t="s">
        <v>2402</v>
      </c>
      <c r="B1388" s="1" t="s">
        <v>192</v>
      </c>
      <c r="C1388" s="1" t="s">
        <v>193</v>
      </c>
      <c r="D1388" s="1" t="s">
        <v>85</v>
      </c>
      <c r="E1388" s="1" t="s">
        <v>29</v>
      </c>
      <c r="F1388" s="1" t="s">
        <v>54</v>
      </c>
      <c r="G1388" s="2">
        <v>285.20999999999998</v>
      </c>
      <c r="H1388" s="1">
        <v>3</v>
      </c>
      <c r="I1388" s="1">
        <v>191</v>
      </c>
      <c r="J1388" s="1">
        <v>165</v>
      </c>
      <c r="K1388" s="1">
        <v>62</v>
      </c>
      <c r="L1388" s="1">
        <v>100</v>
      </c>
      <c r="M1388" s="1" t="s">
        <v>49</v>
      </c>
      <c r="N1388" s="1" t="s">
        <v>42</v>
      </c>
      <c r="O1388" t="s">
        <v>289</v>
      </c>
      <c r="P1388" s="2">
        <v>199.65</v>
      </c>
      <c r="Q1388" s="1" t="str">
        <f>IF(J124&gt;K124,"YES","NO")</f>
        <v>YES</v>
      </c>
      <c r="R1388" s="2">
        <f>IF(Q124="YES",G124*0.9,G124)</f>
        <v>256.68899999999996</v>
      </c>
      <c r="S1388" s="2">
        <f>J124*G124</f>
        <v>47059.649999999994</v>
      </c>
      <c r="T1388" s="1">
        <f ca="1">TODAY()-DATE(MID(O124,7,4),MID(O124,4,2),LEFT(O124,2))</f>
        <v>92</v>
      </c>
      <c r="U1388" s="1" t="s">
        <v>34</v>
      </c>
      <c r="V1388" s="1" t="s">
        <v>34</v>
      </c>
      <c r="W1388" s="1" t="s">
        <v>34</v>
      </c>
      <c r="X1388" t="s">
        <v>2870</v>
      </c>
      <c r="Y1388" s="1">
        <v>7</v>
      </c>
    </row>
    <row r="1389" spans="1:25" x14ac:dyDescent="0.3">
      <c r="A1389" s="1" t="s">
        <v>2403</v>
      </c>
      <c r="B1389" s="1" t="s">
        <v>192</v>
      </c>
      <c r="C1389" s="1" t="s">
        <v>193</v>
      </c>
      <c r="D1389" s="1" t="s">
        <v>85</v>
      </c>
      <c r="E1389" s="1" t="s">
        <v>40</v>
      </c>
      <c r="F1389" s="1" t="s">
        <v>54</v>
      </c>
      <c r="G1389" s="2">
        <v>63.18</v>
      </c>
      <c r="H1389" s="1">
        <v>24</v>
      </c>
      <c r="I1389" s="1">
        <v>241</v>
      </c>
      <c r="J1389" s="1">
        <v>212</v>
      </c>
      <c r="K1389" s="1">
        <v>80</v>
      </c>
      <c r="L1389" s="1">
        <v>131</v>
      </c>
      <c r="M1389" s="1" t="s">
        <v>41</v>
      </c>
      <c r="N1389" s="1" t="s">
        <v>32</v>
      </c>
      <c r="O1389" t="s">
        <v>195</v>
      </c>
      <c r="P1389" s="2">
        <v>44.23</v>
      </c>
      <c r="Q1389" s="1" t="str">
        <f>IF(J547&gt;K547,"YES","NO")</f>
        <v>YES</v>
      </c>
      <c r="R1389" s="2">
        <f>IF(Q547="YES",G547*0.9,G547)</f>
        <v>56.862000000000002</v>
      </c>
      <c r="S1389" s="2">
        <f>J547*G547</f>
        <v>13394.16</v>
      </c>
      <c r="T1389" s="1">
        <f ca="1">TODAY()-DATE(MID(O547,7,4),MID(O547,4,2),LEFT(O547,2))</f>
        <v>63</v>
      </c>
      <c r="U1389" s="1" t="s">
        <v>34</v>
      </c>
      <c r="V1389" s="1" t="s">
        <v>34</v>
      </c>
      <c r="W1389" s="1" t="s">
        <v>34</v>
      </c>
      <c r="X1389" t="s">
        <v>2867</v>
      </c>
      <c r="Y1389" s="1">
        <v>8.5</v>
      </c>
    </row>
    <row r="1390" spans="1:25" x14ac:dyDescent="0.3">
      <c r="A1390" s="1" t="s">
        <v>2404</v>
      </c>
      <c r="B1390" s="1" t="s">
        <v>63</v>
      </c>
      <c r="C1390" s="1" t="s">
        <v>64</v>
      </c>
      <c r="D1390" s="1" t="s">
        <v>28</v>
      </c>
      <c r="E1390" s="1" t="s">
        <v>29</v>
      </c>
      <c r="F1390" s="1" t="s">
        <v>48</v>
      </c>
      <c r="G1390" s="2">
        <v>139.21</v>
      </c>
      <c r="H1390" s="1">
        <v>22</v>
      </c>
      <c r="I1390" s="1">
        <v>263</v>
      </c>
      <c r="J1390" s="1">
        <v>253</v>
      </c>
      <c r="K1390" s="1">
        <v>105</v>
      </c>
      <c r="L1390" s="1">
        <v>128</v>
      </c>
      <c r="M1390" s="1" t="s">
        <v>41</v>
      </c>
      <c r="N1390" s="1" t="s">
        <v>60</v>
      </c>
      <c r="O1390" t="s">
        <v>224</v>
      </c>
      <c r="P1390" s="2">
        <v>97.45</v>
      </c>
      <c r="Q1390" s="1" t="str">
        <f>IF(J597&gt;K597,"YES","NO")</f>
        <v>YES</v>
      </c>
      <c r="R1390" s="2">
        <f>IF(Q597="YES",G597*0.9,G597)</f>
        <v>125.28900000000002</v>
      </c>
      <c r="S1390" s="2">
        <f>J597*G597</f>
        <v>35220.130000000005</v>
      </c>
      <c r="T1390" s="1">
        <f ca="1">TODAY()-DATE(MID(O597,7,4),MID(O597,4,2),LEFT(O597,2))</f>
        <v>140</v>
      </c>
      <c r="U1390" s="1" t="s">
        <v>34</v>
      </c>
      <c r="V1390" s="1" t="s">
        <v>34</v>
      </c>
      <c r="W1390" s="1" t="s">
        <v>34</v>
      </c>
      <c r="X1390" t="s">
        <v>2882</v>
      </c>
      <c r="Y1390" s="1">
        <v>8.5</v>
      </c>
    </row>
    <row r="1391" spans="1:25" x14ac:dyDescent="0.3">
      <c r="A1391" s="1" t="s">
        <v>2405</v>
      </c>
      <c r="B1391" s="1" t="s">
        <v>118</v>
      </c>
      <c r="C1391" s="1" t="s">
        <v>119</v>
      </c>
      <c r="D1391" s="1" t="s">
        <v>97</v>
      </c>
      <c r="E1391" s="1" t="s">
        <v>74</v>
      </c>
      <c r="F1391" s="1" t="s">
        <v>30</v>
      </c>
      <c r="G1391" s="2">
        <v>124.7</v>
      </c>
      <c r="H1391" s="1">
        <v>23</v>
      </c>
      <c r="I1391" s="1">
        <v>223</v>
      </c>
      <c r="J1391" s="1">
        <v>221</v>
      </c>
      <c r="K1391" s="1">
        <v>78</v>
      </c>
      <c r="L1391" s="1">
        <v>77</v>
      </c>
      <c r="M1391" s="1" t="s">
        <v>41</v>
      </c>
      <c r="N1391" s="1" t="s">
        <v>60</v>
      </c>
      <c r="O1391" t="s">
        <v>50</v>
      </c>
      <c r="P1391" s="2">
        <v>87.29</v>
      </c>
      <c r="Q1391" s="1" t="str">
        <f>IF(J25&gt;K25,"YES","NO")</f>
        <v>YES</v>
      </c>
      <c r="R1391" s="2">
        <f>IF(Q25="YES",G25*0.9,G25)</f>
        <v>112.23</v>
      </c>
      <c r="S1391" s="2">
        <f>J25*G25</f>
        <v>27558.7</v>
      </c>
      <c r="T1391" s="1">
        <f ca="1">TODAY()-DATE(MID(O25,7,4),MID(O25,4,2),LEFT(O25,2))</f>
        <v>114</v>
      </c>
      <c r="U1391" s="1" t="s">
        <v>34</v>
      </c>
      <c r="V1391" s="1" t="s">
        <v>34</v>
      </c>
      <c r="W1391" s="1" t="s">
        <v>34</v>
      </c>
      <c r="X1391" t="s">
        <v>2922</v>
      </c>
      <c r="Y1391" s="1">
        <v>7.5</v>
      </c>
    </row>
    <row r="1392" spans="1:25" x14ac:dyDescent="0.3">
      <c r="A1392" s="1" t="s">
        <v>2406</v>
      </c>
      <c r="B1392" s="1" t="s">
        <v>299</v>
      </c>
      <c r="C1392" s="1" t="s">
        <v>300</v>
      </c>
      <c r="D1392" s="1" t="s">
        <v>39</v>
      </c>
      <c r="E1392" s="1" t="s">
        <v>40</v>
      </c>
      <c r="F1392" s="1" t="s">
        <v>54</v>
      </c>
      <c r="G1392" s="2">
        <v>106.33</v>
      </c>
      <c r="H1392" s="1">
        <v>16</v>
      </c>
      <c r="I1392" s="1">
        <v>152</v>
      </c>
      <c r="J1392" s="1">
        <v>149</v>
      </c>
      <c r="K1392" s="1">
        <v>98</v>
      </c>
      <c r="L1392" s="1">
        <v>98</v>
      </c>
      <c r="M1392" s="1" t="s">
        <v>41</v>
      </c>
      <c r="N1392" s="1" t="s">
        <v>42</v>
      </c>
      <c r="O1392" t="s">
        <v>217</v>
      </c>
      <c r="P1392" s="2">
        <v>74.430000000000007</v>
      </c>
      <c r="Q1392" s="1" t="str">
        <f>IF(J132&gt;K132,"YES","NO")</f>
        <v>YES</v>
      </c>
      <c r="R1392" s="2">
        <f>IF(Q132="YES",G132*0.9,G132)</f>
        <v>95.697000000000003</v>
      </c>
      <c r="S1392" s="2">
        <f>J132*G132</f>
        <v>15843.17</v>
      </c>
      <c r="T1392" s="1">
        <f ca="1">TODAY()-DATE(MID(O132,7,4),MID(O132,4,2),LEFT(O132,2))</f>
        <v>100</v>
      </c>
      <c r="U1392" s="1" t="s">
        <v>34</v>
      </c>
      <c r="V1392" s="1" t="s">
        <v>34</v>
      </c>
      <c r="W1392" s="1" t="s">
        <v>34</v>
      </c>
      <c r="X1392" t="s">
        <v>2809</v>
      </c>
      <c r="Y1392" s="1">
        <v>6</v>
      </c>
    </row>
    <row r="1393" spans="1:25" x14ac:dyDescent="0.3">
      <c r="A1393" s="1" t="s">
        <v>2407</v>
      </c>
      <c r="B1393" s="1" t="s">
        <v>262</v>
      </c>
      <c r="C1393" s="1" t="s">
        <v>263</v>
      </c>
      <c r="D1393" s="1" t="s">
        <v>104</v>
      </c>
      <c r="E1393" s="1" t="s">
        <v>40</v>
      </c>
      <c r="F1393" s="1" t="s">
        <v>30</v>
      </c>
      <c r="G1393" s="2">
        <v>486.74</v>
      </c>
      <c r="H1393" s="1">
        <v>3</v>
      </c>
      <c r="I1393" s="1">
        <v>123</v>
      </c>
      <c r="J1393" s="1">
        <v>105</v>
      </c>
      <c r="K1393" s="1">
        <v>85</v>
      </c>
      <c r="L1393" s="1">
        <v>127</v>
      </c>
      <c r="M1393" s="1" t="s">
        <v>41</v>
      </c>
      <c r="N1393" s="1" t="s">
        <v>60</v>
      </c>
      <c r="O1393" t="s">
        <v>157</v>
      </c>
      <c r="P1393" s="2">
        <v>340.72</v>
      </c>
      <c r="Q1393" s="1" t="str">
        <f>IF(J363&gt;K363,"YES","NO")</f>
        <v>YES</v>
      </c>
      <c r="R1393" s="2">
        <f>IF(Q363="YES",G363*0.9,G363)</f>
        <v>438.06600000000003</v>
      </c>
      <c r="S1393" s="2">
        <f>J363*G363</f>
        <v>51107.700000000004</v>
      </c>
      <c r="T1393" s="1">
        <f ca="1">TODAY()-DATE(MID(O363,7,4),MID(O363,4,2),LEFT(O363,2))</f>
        <v>103</v>
      </c>
      <c r="U1393" s="1" t="s">
        <v>34</v>
      </c>
      <c r="V1393" s="1" t="s">
        <v>34</v>
      </c>
      <c r="W1393" s="1" t="s">
        <v>34</v>
      </c>
      <c r="X1393" t="s">
        <v>2664</v>
      </c>
      <c r="Y1393" s="1">
        <v>6.5</v>
      </c>
    </row>
    <row r="1394" spans="1:25" x14ac:dyDescent="0.3">
      <c r="A1394" s="1" t="s">
        <v>2408</v>
      </c>
      <c r="B1394" s="1" t="s">
        <v>111</v>
      </c>
      <c r="C1394" s="1" t="s">
        <v>112</v>
      </c>
      <c r="D1394" s="1" t="s">
        <v>97</v>
      </c>
      <c r="E1394" s="1" t="s">
        <v>74</v>
      </c>
      <c r="F1394" s="1" t="s">
        <v>48</v>
      </c>
      <c r="G1394" s="2">
        <v>201.72</v>
      </c>
      <c r="H1394" s="1">
        <v>15</v>
      </c>
      <c r="I1394" s="1">
        <v>148</v>
      </c>
      <c r="J1394" s="1">
        <v>117</v>
      </c>
      <c r="K1394" s="1">
        <v>83</v>
      </c>
      <c r="L1394" s="1">
        <v>132</v>
      </c>
      <c r="M1394" s="1" t="s">
        <v>31</v>
      </c>
      <c r="N1394" s="1" t="s">
        <v>60</v>
      </c>
      <c r="O1394" t="s">
        <v>159</v>
      </c>
      <c r="P1394" s="2">
        <v>141.19999999999999</v>
      </c>
      <c r="Q1394" s="1" t="str">
        <f>IF(J794&gt;K794,"YES","NO")</f>
        <v>YES</v>
      </c>
      <c r="R1394" s="2">
        <f>IF(Q794="YES",G794*0.9,G794)</f>
        <v>181.548</v>
      </c>
      <c r="S1394" s="2">
        <f>J794*G794</f>
        <v>23601.24</v>
      </c>
      <c r="T1394" s="1">
        <f ca="1">TODAY()-DATE(MID(O794,7,4),MID(O794,4,2),LEFT(O794,2))</f>
        <v>134</v>
      </c>
      <c r="U1394" s="1" t="s">
        <v>34</v>
      </c>
      <c r="V1394" s="1" t="s">
        <v>34</v>
      </c>
      <c r="W1394" s="1" t="s">
        <v>34</v>
      </c>
      <c r="X1394" t="s">
        <v>2758</v>
      </c>
      <c r="Y1394" s="1">
        <v>7</v>
      </c>
    </row>
    <row r="1395" spans="1:25" x14ac:dyDescent="0.3">
      <c r="A1395" s="1" t="s">
        <v>2409</v>
      </c>
      <c r="B1395" s="1" t="s">
        <v>83</v>
      </c>
      <c r="C1395" s="1" t="s">
        <v>84</v>
      </c>
      <c r="D1395" s="1" t="s">
        <v>85</v>
      </c>
      <c r="E1395" s="1" t="s">
        <v>29</v>
      </c>
      <c r="F1395" s="1" t="s">
        <v>30</v>
      </c>
      <c r="G1395" s="2">
        <v>420.91</v>
      </c>
      <c r="H1395" s="1">
        <v>0</v>
      </c>
      <c r="I1395" s="1">
        <v>175</v>
      </c>
      <c r="J1395" s="1">
        <v>168</v>
      </c>
      <c r="K1395" s="1">
        <v>55</v>
      </c>
      <c r="L1395" s="1">
        <v>83</v>
      </c>
      <c r="M1395" s="1" t="s">
        <v>31</v>
      </c>
      <c r="N1395" s="1" t="s">
        <v>42</v>
      </c>
      <c r="O1395" t="s">
        <v>145</v>
      </c>
      <c r="P1395" s="2">
        <v>294.64</v>
      </c>
      <c r="Q1395" s="1" t="str">
        <f>IF(J580&gt;K580,"YES","NO")</f>
        <v>YES</v>
      </c>
      <c r="R1395" s="2">
        <f>IF(Q580="YES",G580*0.9,G580)</f>
        <v>378.81900000000002</v>
      </c>
      <c r="S1395" s="2">
        <f>J580*G580</f>
        <v>70712.88</v>
      </c>
      <c r="T1395" s="1">
        <f ca="1">TODAY()-DATE(MID(O580,7,4),MID(O580,4,2),LEFT(O580,2))</f>
        <v>68</v>
      </c>
      <c r="U1395" s="1" t="s">
        <v>34</v>
      </c>
      <c r="V1395" s="1" t="s">
        <v>34</v>
      </c>
      <c r="W1395" s="1" t="s">
        <v>34</v>
      </c>
      <c r="X1395" t="s">
        <v>2923</v>
      </c>
      <c r="Y1395" s="1">
        <v>5</v>
      </c>
    </row>
    <row r="1396" spans="1:25" x14ac:dyDescent="0.3">
      <c r="A1396" s="1" t="s">
        <v>2410</v>
      </c>
      <c r="B1396" s="1" t="s">
        <v>189</v>
      </c>
      <c r="C1396" s="1" t="s">
        <v>190</v>
      </c>
      <c r="D1396" s="1" t="s">
        <v>59</v>
      </c>
      <c r="E1396" s="1" t="s">
        <v>29</v>
      </c>
      <c r="F1396" s="1" t="s">
        <v>48</v>
      </c>
      <c r="G1396" s="2">
        <v>475.03</v>
      </c>
      <c r="H1396" s="1">
        <v>7</v>
      </c>
      <c r="I1396" s="1">
        <v>170</v>
      </c>
      <c r="J1396" s="1">
        <v>151</v>
      </c>
      <c r="K1396" s="1">
        <v>70</v>
      </c>
      <c r="L1396" s="1">
        <v>95</v>
      </c>
      <c r="M1396" s="1" t="s">
        <v>49</v>
      </c>
      <c r="N1396" s="1" t="s">
        <v>32</v>
      </c>
      <c r="O1396" t="s">
        <v>153</v>
      </c>
      <c r="P1396" s="2">
        <v>332.52</v>
      </c>
      <c r="Q1396" s="1" t="str">
        <f>IF(J724&gt;K724,"YES","NO")</f>
        <v>YES</v>
      </c>
      <c r="R1396" s="2">
        <f>IF(Q724="YES",G724*0.9,G724)</f>
        <v>427.52699999999999</v>
      </c>
      <c r="S1396" s="2">
        <f>J724*G724</f>
        <v>71729.53</v>
      </c>
      <c r="T1396" s="1">
        <f ca="1">TODAY()-DATE(MID(O724,7,4),MID(O724,4,2),LEFT(O724,2))</f>
        <v>135</v>
      </c>
      <c r="U1396" s="1" t="s">
        <v>34</v>
      </c>
      <c r="V1396" s="1" t="s">
        <v>34</v>
      </c>
      <c r="W1396" s="1" t="s">
        <v>34</v>
      </c>
      <c r="X1396" t="s">
        <v>2717</v>
      </c>
      <c r="Y1396" s="1">
        <v>7</v>
      </c>
    </row>
    <row r="1397" spans="1:25" x14ac:dyDescent="0.3">
      <c r="A1397" s="1" t="s">
        <v>2411</v>
      </c>
      <c r="B1397" s="1" t="s">
        <v>95</v>
      </c>
      <c r="C1397" s="1" t="s">
        <v>96</v>
      </c>
      <c r="D1397" s="1" t="s">
        <v>97</v>
      </c>
      <c r="E1397" s="1" t="s">
        <v>74</v>
      </c>
      <c r="F1397" s="1" t="s">
        <v>54</v>
      </c>
      <c r="G1397" s="2">
        <v>115.58</v>
      </c>
      <c r="H1397" s="1">
        <v>3</v>
      </c>
      <c r="I1397" s="1">
        <v>222</v>
      </c>
      <c r="J1397" s="1">
        <v>214</v>
      </c>
      <c r="K1397" s="1">
        <v>69</v>
      </c>
      <c r="L1397" s="1">
        <v>62</v>
      </c>
      <c r="M1397" s="1" t="s">
        <v>31</v>
      </c>
      <c r="N1397" s="1" t="s">
        <v>32</v>
      </c>
      <c r="O1397" t="s">
        <v>292</v>
      </c>
      <c r="P1397" s="2">
        <v>80.91</v>
      </c>
      <c r="Q1397" s="1" t="str">
        <f>IF(J479&gt;K479,"YES","NO")</f>
        <v>YES</v>
      </c>
      <c r="R1397" s="2">
        <f>IF(Q479="YES",G479*0.9,G479)</f>
        <v>104.02200000000001</v>
      </c>
      <c r="S1397" s="2">
        <f>J479*G479</f>
        <v>24734.12</v>
      </c>
      <c r="T1397" s="1">
        <f ca="1">TODAY()-DATE(MID(O479,7,4),MID(O479,4,2),LEFT(O479,2))</f>
        <v>83</v>
      </c>
      <c r="U1397" s="1" t="s">
        <v>34</v>
      </c>
      <c r="V1397" s="1" t="s">
        <v>34</v>
      </c>
      <c r="W1397" s="1" t="s">
        <v>34</v>
      </c>
      <c r="X1397" t="s">
        <v>2791</v>
      </c>
      <c r="Y1397" s="1">
        <v>9.5</v>
      </c>
    </row>
    <row r="1398" spans="1:25" x14ac:dyDescent="0.3">
      <c r="A1398" s="1" t="s">
        <v>2412</v>
      </c>
      <c r="B1398" s="1" t="s">
        <v>299</v>
      </c>
      <c r="C1398" s="1" t="s">
        <v>300</v>
      </c>
      <c r="D1398" s="1" t="s">
        <v>39</v>
      </c>
      <c r="E1398" s="1" t="s">
        <v>40</v>
      </c>
      <c r="F1398" s="1" t="s">
        <v>30</v>
      </c>
      <c r="G1398" s="2">
        <v>329.83</v>
      </c>
      <c r="H1398" s="1">
        <v>16</v>
      </c>
      <c r="I1398" s="1">
        <v>122</v>
      </c>
      <c r="J1398" s="1">
        <v>103</v>
      </c>
      <c r="K1398" s="1">
        <v>104</v>
      </c>
      <c r="L1398" s="1">
        <v>133</v>
      </c>
      <c r="M1398" s="1" t="s">
        <v>41</v>
      </c>
      <c r="N1398" s="1" t="s">
        <v>42</v>
      </c>
      <c r="O1398" t="s">
        <v>55</v>
      </c>
      <c r="P1398" s="2">
        <v>230.88</v>
      </c>
      <c r="Q1398" s="1" t="str">
        <f>IF(J310&gt;K310,"YES","NO")</f>
        <v>NO</v>
      </c>
      <c r="R1398" s="2">
        <f>IF(Q310="YES",G310*0.9,G310)</f>
        <v>329.83</v>
      </c>
      <c r="S1398" s="2">
        <f>J310*G310</f>
        <v>33972.49</v>
      </c>
      <c r="T1398" s="1">
        <f ca="1">TODAY()-DATE(MID(O310,7,4),MID(O310,4,2),LEFT(O310,2))</f>
        <v>91</v>
      </c>
      <c r="U1398" s="1" t="s">
        <v>34</v>
      </c>
      <c r="V1398" s="1" t="s">
        <v>34</v>
      </c>
      <c r="W1398" s="1" t="s">
        <v>34</v>
      </c>
      <c r="X1398" t="s">
        <v>2914</v>
      </c>
      <c r="Y1398" s="1">
        <v>5</v>
      </c>
    </row>
    <row r="1399" spans="1:25" x14ac:dyDescent="0.3">
      <c r="A1399" s="1" t="s">
        <v>2413</v>
      </c>
      <c r="B1399" s="1" t="s">
        <v>63</v>
      </c>
      <c r="C1399" s="1" t="s">
        <v>64</v>
      </c>
      <c r="D1399" s="1" t="s">
        <v>28</v>
      </c>
      <c r="E1399" s="1" t="s">
        <v>29</v>
      </c>
      <c r="F1399" s="1" t="s">
        <v>48</v>
      </c>
      <c r="G1399" s="2">
        <v>280.77999999999997</v>
      </c>
      <c r="H1399" s="1">
        <v>11</v>
      </c>
      <c r="I1399" s="1">
        <v>269</v>
      </c>
      <c r="J1399" s="1">
        <v>255</v>
      </c>
      <c r="K1399" s="1">
        <v>96</v>
      </c>
      <c r="L1399" s="1">
        <v>107</v>
      </c>
      <c r="M1399" s="1" t="s">
        <v>41</v>
      </c>
      <c r="N1399" s="1" t="s">
        <v>60</v>
      </c>
      <c r="O1399" t="s">
        <v>92</v>
      </c>
      <c r="P1399" s="2">
        <v>196.55</v>
      </c>
      <c r="Q1399" s="1" t="str">
        <f>IF(J16&gt;K16,"YES","NO")</f>
        <v>YES</v>
      </c>
      <c r="R1399" s="2">
        <f>IF(Q16="YES",G16*0.9,G16)</f>
        <v>252.70199999999997</v>
      </c>
      <c r="S1399" s="2">
        <f>J16*G16</f>
        <v>71598.899999999994</v>
      </c>
      <c r="T1399" s="1">
        <f ca="1">TODAY()-DATE(MID(O16,7,4),MID(O16,4,2),LEFT(O16,2))</f>
        <v>64</v>
      </c>
      <c r="U1399" s="1" t="s">
        <v>34</v>
      </c>
      <c r="V1399" s="1" t="s">
        <v>34</v>
      </c>
      <c r="W1399" s="1" t="s">
        <v>34</v>
      </c>
      <c r="X1399" t="s">
        <v>2881</v>
      </c>
      <c r="Y1399" s="1">
        <v>8</v>
      </c>
    </row>
    <row r="1400" spans="1:25" x14ac:dyDescent="0.3">
      <c r="A1400" s="1" t="s">
        <v>2414</v>
      </c>
      <c r="B1400" s="1" t="s">
        <v>37</v>
      </c>
      <c r="C1400" s="1" t="s">
        <v>38</v>
      </c>
      <c r="D1400" s="1" t="s">
        <v>39</v>
      </c>
      <c r="E1400" s="1" t="s">
        <v>40</v>
      </c>
      <c r="F1400" s="1" t="s">
        <v>54</v>
      </c>
      <c r="G1400" s="2">
        <v>93.65</v>
      </c>
      <c r="H1400" s="1">
        <v>18</v>
      </c>
      <c r="I1400" s="1">
        <v>208</v>
      </c>
      <c r="J1400" s="1">
        <v>190</v>
      </c>
      <c r="K1400" s="1">
        <v>114</v>
      </c>
      <c r="L1400" s="1">
        <v>54</v>
      </c>
      <c r="M1400" s="1" t="s">
        <v>31</v>
      </c>
      <c r="N1400" s="1" t="s">
        <v>42</v>
      </c>
      <c r="O1400" t="s">
        <v>43</v>
      </c>
      <c r="P1400" s="2">
        <v>65.56</v>
      </c>
      <c r="Q1400" s="1" t="str">
        <f>IF(J103&gt;K103,"YES","NO")</f>
        <v>YES</v>
      </c>
      <c r="R1400" s="2">
        <f>IF(Q103="YES",G103*0.9,G103)</f>
        <v>84.285000000000011</v>
      </c>
      <c r="S1400" s="2">
        <f>J103*G103</f>
        <v>17793.5</v>
      </c>
      <c r="T1400" s="1">
        <f ca="1">TODAY()-DATE(MID(O103,7,4),MID(O103,4,2),LEFT(O103,2))</f>
        <v>117</v>
      </c>
      <c r="U1400" s="1" t="s">
        <v>34</v>
      </c>
      <c r="V1400" s="1" t="s">
        <v>34</v>
      </c>
      <c r="W1400" s="1" t="s">
        <v>34</v>
      </c>
      <c r="X1400" t="s">
        <v>2847</v>
      </c>
      <c r="Y1400" s="1">
        <v>6.5</v>
      </c>
    </row>
    <row r="1401" spans="1:25" x14ac:dyDescent="0.3">
      <c r="A1401" s="1" t="s">
        <v>2415</v>
      </c>
      <c r="B1401" s="1" t="s">
        <v>126</v>
      </c>
      <c r="C1401" s="1" t="s">
        <v>127</v>
      </c>
      <c r="D1401" s="1" t="s">
        <v>85</v>
      </c>
      <c r="E1401" s="1" t="s">
        <v>29</v>
      </c>
      <c r="F1401" s="1" t="s">
        <v>48</v>
      </c>
      <c r="G1401" s="2">
        <v>378.25</v>
      </c>
      <c r="H1401" s="1">
        <v>13</v>
      </c>
      <c r="I1401" s="1">
        <v>91</v>
      </c>
      <c r="J1401" s="1">
        <v>77</v>
      </c>
      <c r="K1401" s="1">
        <v>76</v>
      </c>
      <c r="L1401" s="1">
        <v>142</v>
      </c>
      <c r="M1401" s="1" t="s">
        <v>31</v>
      </c>
      <c r="N1401" s="1" t="s">
        <v>32</v>
      </c>
      <c r="O1401" t="s">
        <v>195</v>
      </c>
      <c r="P1401" s="2">
        <v>264.77</v>
      </c>
      <c r="Q1401" s="1" t="str">
        <f>IF(J117&gt;K117,"YES","NO")</f>
        <v>YES</v>
      </c>
      <c r="R1401" s="2">
        <f>IF(Q117="YES",G117*0.9,G117)</f>
        <v>340.42500000000001</v>
      </c>
      <c r="S1401" s="2">
        <f>J117*G117</f>
        <v>29125.25</v>
      </c>
      <c r="T1401" s="1">
        <f ca="1">TODAY()-DATE(MID(O117,7,4),MID(O117,4,2),LEFT(O117,2))</f>
        <v>63</v>
      </c>
      <c r="U1401" s="1" t="s">
        <v>34</v>
      </c>
      <c r="V1401" s="1" t="s">
        <v>34</v>
      </c>
      <c r="W1401" s="1" t="s">
        <v>34</v>
      </c>
      <c r="X1401" t="s">
        <v>2730</v>
      </c>
      <c r="Y1401" s="1">
        <v>8.5</v>
      </c>
    </row>
    <row r="1402" spans="1:25" x14ac:dyDescent="0.3">
      <c r="A1402" s="1" t="s">
        <v>2416</v>
      </c>
      <c r="B1402" s="1" t="s">
        <v>45</v>
      </c>
      <c r="C1402" s="1" t="s">
        <v>46</v>
      </c>
      <c r="D1402" s="1" t="s">
        <v>47</v>
      </c>
      <c r="E1402" s="1" t="s">
        <v>40</v>
      </c>
      <c r="F1402" s="1" t="s">
        <v>54</v>
      </c>
      <c r="G1402" s="2">
        <v>129.83000000000001</v>
      </c>
      <c r="H1402" s="1">
        <v>4</v>
      </c>
      <c r="I1402" s="1">
        <v>203</v>
      </c>
      <c r="J1402" s="1">
        <v>172</v>
      </c>
      <c r="K1402" s="1">
        <v>66</v>
      </c>
      <c r="L1402" s="1">
        <v>103</v>
      </c>
      <c r="M1402" s="1" t="s">
        <v>49</v>
      </c>
      <c r="N1402" s="1" t="s">
        <v>42</v>
      </c>
      <c r="O1402" t="s">
        <v>113</v>
      </c>
      <c r="P1402" s="2">
        <v>90.88</v>
      </c>
      <c r="Q1402" s="1" t="str">
        <f>IF(J796&gt;K796,"YES","NO")</f>
        <v>YES</v>
      </c>
      <c r="R1402" s="2">
        <f>IF(Q796="YES",G796*0.9,G796)</f>
        <v>116.84700000000001</v>
      </c>
      <c r="S1402" s="2">
        <f>J796*G796</f>
        <v>22330.760000000002</v>
      </c>
      <c r="T1402" s="1">
        <f ca="1">TODAY()-DATE(MID(O796,7,4),MID(O796,4,2),LEFT(O796,2))</f>
        <v>82</v>
      </c>
      <c r="U1402" s="1" t="s">
        <v>34</v>
      </c>
      <c r="V1402" s="1" t="s">
        <v>34</v>
      </c>
      <c r="W1402" s="1" t="s">
        <v>34</v>
      </c>
      <c r="X1402" t="s">
        <v>2742</v>
      </c>
      <c r="Y1402" s="1">
        <v>8</v>
      </c>
    </row>
    <row r="1403" spans="1:25" x14ac:dyDescent="0.3">
      <c r="A1403" s="1" t="s">
        <v>2417</v>
      </c>
      <c r="B1403" s="1" t="s">
        <v>102</v>
      </c>
      <c r="C1403" s="1" t="s">
        <v>103</v>
      </c>
      <c r="D1403" s="1" t="s">
        <v>104</v>
      </c>
      <c r="E1403" s="1" t="s">
        <v>29</v>
      </c>
      <c r="F1403" s="1" t="s">
        <v>48</v>
      </c>
      <c r="G1403" s="2">
        <v>180.08</v>
      </c>
      <c r="H1403" s="1">
        <v>16</v>
      </c>
      <c r="I1403" s="1">
        <v>84</v>
      </c>
      <c r="J1403" s="1">
        <v>71</v>
      </c>
      <c r="K1403" s="1">
        <v>107</v>
      </c>
      <c r="L1403" s="1">
        <v>148</v>
      </c>
      <c r="M1403" s="1" t="s">
        <v>31</v>
      </c>
      <c r="N1403" s="1" t="s">
        <v>42</v>
      </c>
      <c r="O1403" t="s">
        <v>33</v>
      </c>
      <c r="P1403" s="2">
        <v>126.06</v>
      </c>
      <c r="Q1403" s="1" t="str">
        <f>IF(J553&gt;K553,"YES","NO")</f>
        <v>NO</v>
      </c>
      <c r="R1403" s="2">
        <f>IF(Q553="YES",G553*0.9,G553)</f>
        <v>180.08</v>
      </c>
      <c r="S1403" s="2">
        <f>J553*G553</f>
        <v>12785.68</v>
      </c>
      <c r="T1403" s="1">
        <f ca="1">TODAY()-DATE(MID(O553,7,4),MID(O553,4,2),LEFT(O553,2))</f>
        <v>141</v>
      </c>
      <c r="U1403" s="1" t="s">
        <v>34</v>
      </c>
      <c r="V1403" s="1" t="s">
        <v>34</v>
      </c>
      <c r="W1403" s="1" t="s">
        <v>34</v>
      </c>
      <c r="X1403" t="s">
        <v>2726</v>
      </c>
      <c r="Y1403" s="1">
        <v>6.5</v>
      </c>
    </row>
    <row r="1404" spans="1:25" x14ac:dyDescent="0.3">
      <c r="A1404" s="1" t="s">
        <v>2418</v>
      </c>
      <c r="B1404" s="1" t="s">
        <v>102</v>
      </c>
      <c r="C1404" s="1" t="s">
        <v>103</v>
      </c>
      <c r="D1404" s="1" t="s">
        <v>104</v>
      </c>
      <c r="E1404" s="1" t="s">
        <v>74</v>
      </c>
      <c r="F1404" s="1" t="s">
        <v>54</v>
      </c>
      <c r="G1404" s="2">
        <v>439.57</v>
      </c>
      <c r="H1404" s="1">
        <v>1</v>
      </c>
      <c r="I1404" s="1">
        <v>221</v>
      </c>
      <c r="J1404" s="1">
        <v>209</v>
      </c>
      <c r="K1404" s="1">
        <v>61</v>
      </c>
      <c r="L1404" s="1">
        <v>67</v>
      </c>
      <c r="M1404" s="1" t="s">
        <v>41</v>
      </c>
      <c r="N1404" s="1" t="s">
        <v>32</v>
      </c>
      <c r="O1404" t="s">
        <v>287</v>
      </c>
      <c r="P1404" s="2">
        <v>307.7</v>
      </c>
      <c r="Q1404" s="1" t="str">
        <f>IF(J494&gt;K494,"YES","NO")</f>
        <v>YES</v>
      </c>
      <c r="R1404" s="2">
        <f>IF(Q494="YES",G494*0.9,G494)</f>
        <v>395.613</v>
      </c>
      <c r="S1404" s="2">
        <f>J494*G494</f>
        <v>91870.13</v>
      </c>
      <c r="T1404" s="1">
        <f ca="1">TODAY()-DATE(MID(O494,7,4),MID(O494,4,2),LEFT(O494,2))</f>
        <v>143</v>
      </c>
      <c r="U1404" s="1" t="s">
        <v>34</v>
      </c>
      <c r="V1404" s="1" t="s">
        <v>34</v>
      </c>
      <c r="W1404" s="1" t="s">
        <v>34</v>
      </c>
      <c r="X1404" t="s">
        <v>2877</v>
      </c>
      <c r="Y1404" s="1">
        <v>7</v>
      </c>
    </row>
    <row r="1405" spans="1:25" x14ac:dyDescent="0.3">
      <c r="A1405" s="1" t="s">
        <v>2419</v>
      </c>
      <c r="B1405" s="1" t="s">
        <v>192</v>
      </c>
      <c r="C1405" s="1" t="s">
        <v>193</v>
      </c>
      <c r="D1405" s="1" t="s">
        <v>85</v>
      </c>
      <c r="E1405" s="1" t="s">
        <v>40</v>
      </c>
      <c r="F1405" s="1" t="s">
        <v>48</v>
      </c>
      <c r="G1405" s="2">
        <v>316.5</v>
      </c>
      <c r="H1405" s="1">
        <v>8</v>
      </c>
      <c r="I1405" s="1">
        <v>124</v>
      </c>
      <c r="J1405" s="1">
        <v>86</v>
      </c>
      <c r="K1405" s="1">
        <v>95</v>
      </c>
      <c r="L1405" s="1">
        <v>86</v>
      </c>
      <c r="M1405" s="1" t="s">
        <v>49</v>
      </c>
      <c r="N1405" s="1" t="s">
        <v>32</v>
      </c>
      <c r="O1405" t="s">
        <v>90</v>
      </c>
      <c r="P1405" s="2">
        <v>221.55</v>
      </c>
      <c r="Q1405" s="1" t="str">
        <f>IF(J697&gt;K697,"YES","NO")</f>
        <v>NO</v>
      </c>
      <c r="R1405" s="2">
        <f>IF(Q697="YES",G697*0.9,G697)</f>
        <v>316.5</v>
      </c>
      <c r="S1405" s="2">
        <f>J697*G697</f>
        <v>27219</v>
      </c>
      <c r="T1405" s="1">
        <f ca="1">TODAY()-DATE(MID(O697,7,4),MID(O697,4,2),LEFT(O697,2))</f>
        <v>94</v>
      </c>
      <c r="U1405" s="1" t="s">
        <v>34</v>
      </c>
      <c r="V1405" s="1" t="s">
        <v>34</v>
      </c>
      <c r="W1405" s="1" t="s">
        <v>34</v>
      </c>
      <c r="X1405" t="s">
        <v>2622</v>
      </c>
      <c r="Y1405" s="1">
        <v>8.5</v>
      </c>
    </row>
    <row r="1406" spans="1:25" x14ac:dyDescent="0.3">
      <c r="A1406" s="1" t="s">
        <v>2420</v>
      </c>
      <c r="B1406" s="1" t="s">
        <v>37</v>
      </c>
      <c r="C1406" s="1" t="s">
        <v>38</v>
      </c>
      <c r="D1406" s="1" t="s">
        <v>39</v>
      </c>
      <c r="E1406" s="1" t="s">
        <v>29</v>
      </c>
      <c r="F1406" s="1" t="s">
        <v>54</v>
      </c>
      <c r="G1406" s="2">
        <v>392.06</v>
      </c>
      <c r="H1406" s="1">
        <v>21</v>
      </c>
      <c r="I1406" s="1">
        <v>84</v>
      </c>
      <c r="J1406" s="1">
        <v>48</v>
      </c>
      <c r="K1406" s="1">
        <v>98</v>
      </c>
      <c r="L1406" s="1">
        <v>81</v>
      </c>
      <c r="M1406" s="1" t="s">
        <v>31</v>
      </c>
      <c r="N1406" s="1" t="s">
        <v>32</v>
      </c>
      <c r="O1406" t="s">
        <v>128</v>
      </c>
      <c r="P1406" s="2">
        <v>274.44</v>
      </c>
      <c r="Q1406" s="1" t="str">
        <f>IF(J696&gt;K696,"YES","NO")</f>
        <v>NO</v>
      </c>
      <c r="R1406" s="2">
        <f>IF(Q696="YES",G696*0.9,G696)</f>
        <v>392.06</v>
      </c>
      <c r="S1406" s="2">
        <f>J696*G696</f>
        <v>18818.88</v>
      </c>
      <c r="T1406" s="1">
        <f ca="1">TODAY()-DATE(MID(O696,7,4),MID(O696,4,2),LEFT(O696,2))</f>
        <v>77</v>
      </c>
      <c r="U1406" s="1" t="s">
        <v>34</v>
      </c>
      <c r="V1406" s="1" t="s">
        <v>34</v>
      </c>
      <c r="W1406" s="1" t="s">
        <v>34</v>
      </c>
      <c r="X1406" t="s">
        <v>2605</v>
      </c>
      <c r="Y1406" s="1">
        <v>8</v>
      </c>
    </row>
    <row r="1407" spans="1:25" x14ac:dyDescent="0.3">
      <c r="A1407" s="1" t="s">
        <v>2421</v>
      </c>
      <c r="B1407" s="1" t="s">
        <v>45</v>
      </c>
      <c r="C1407" s="1" t="s">
        <v>46</v>
      </c>
      <c r="D1407" s="1" t="s">
        <v>47</v>
      </c>
      <c r="E1407" s="1" t="s">
        <v>40</v>
      </c>
      <c r="F1407" s="1" t="s">
        <v>30</v>
      </c>
      <c r="G1407" s="2">
        <v>402.4</v>
      </c>
      <c r="H1407" s="1">
        <v>22</v>
      </c>
      <c r="I1407" s="1">
        <v>187</v>
      </c>
      <c r="J1407" s="1">
        <v>172</v>
      </c>
      <c r="K1407" s="1">
        <v>94</v>
      </c>
      <c r="L1407" s="1">
        <v>52</v>
      </c>
      <c r="M1407" s="1" t="s">
        <v>49</v>
      </c>
      <c r="N1407" s="1" t="s">
        <v>32</v>
      </c>
      <c r="O1407" t="s">
        <v>90</v>
      </c>
      <c r="P1407" s="2">
        <v>281.68</v>
      </c>
      <c r="Q1407" s="1" t="str">
        <f>IF(J488&gt;K488,"YES","NO")</f>
        <v>YES</v>
      </c>
      <c r="R1407" s="2">
        <f>IF(Q488="YES",G488*0.9,G488)</f>
        <v>362.15999999999997</v>
      </c>
      <c r="S1407" s="2">
        <f>J488*G488</f>
        <v>69212.800000000003</v>
      </c>
      <c r="T1407" s="1">
        <f ca="1">TODAY()-DATE(MID(O488,7,4),MID(O488,4,2),LEFT(O488,2))</f>
        <v>94</v>
      </c>
      <c r="U1407" s="1" t="s">
        <v>34</v>
      </c>
      <c r="V1407" s="1" t="s">
        <v>34</v>
      </c>
      <c r="W1407" s="1" t="s">
        <v>34</v>
      </c>
      <c r="X1407" t="s">
        <v>2600</v>
      </c>
      <c r="Y1407" s="1">
        <v>9</v>
      </c>
    </row>
    <row r="1408" spans="1:25" x14ac:dyDescent="0.3">
      <c r="A1408" s="1" t="s">
        <v>2422</v>
      </c>
      <c r="B1408" s="1" t="s">
        <v>176</v>
      </c>
      <c r="C1408" s="1" t="s">
        <v>177</v>
      </c>
      <c r="D1408" s="1" t="s">
        <v>39</v>
      </c>
      <c r="E1408" s="1" t="s">
        <v>29</v>
      </c>
      <c r="F1408" s="1" t="s">
        <v>54</v>
      </c>
      <c r="G1408" s="2">
        <v>170.09</v>
      </c>
      <c r="H1408" s="1">
        <v>17</v>
      </c>
      <c r="I1408" s="1">
        <v>125</v>
      </c>
      <c r="J1408" s="1">
        <v>88</v>
      </c>
      <c r="K1408" s="1">
        <v>69</v>
      </c>
      <c r="L1408" s="1">
        <v>116</v>
      </c>
      <c r="M1408" s="1" t="s">
        <v>41</v>
      </c>
      <c r="N1408" s="1" t="s">
        <v>60</v>
      </c>
      <c r="O1408" t="s">
        <v>390</v>
      </c>
      <c r="P1408" s="2">
        <v>119.06</v>
      </c>
      <c r="Q1408" s="1" t="str">
        <f>IF(J308&gt;K308,"YES","NO")</f>
        <v>YES</v>
      </c>
      <c r="R1408" s="2">
        <f>IF(Q308="YES",G308*0.9,G308)</f>
        <v>153.08100000000002</v>
      </c>
      <c r="S1408" s="2">
        <f>J308*G308</f>
        <v>14967.92</v>
      </c>
      <c r="T1408" s="1">
        <f ca="1">TODAY()-DATE(MID(O308,7,4),MID(O308,4,2),LEFT(O308,2))</f>
        <v>120</v>
      </c>
      <c r="U1408" s="1" t="s">
        <v>34</v>
      </c>
      <c r="V1408" s="1" t="s">
        <v>34</v>
      </c>
      <c r="W1408" s="1" t="s">
        <v>34</v>
      </c>
      <c r="X1408" t="s">
        <v>2788</v>
      </c>
      <c r="Y1408" s="1">
        <v>9</v>
      </c>
    </row>
    <row r="1409" spans="1:25" x14ac:dyDescent="0.3">
      <c r="A1409" s="1" t="s">
        <v>2423</v>
      </c>
      <c r="B1409" s="1" t="s">
        <v>172</v>
      </c>
      <c r="C1409" s="1" t="s">
        <v>173</v>
      </c>
      <c r="D1409" s="1" t="s">
        <v>132</v>
      </c>
      <c r="E1409" s="1" t="s">
        <v>40</v>
      </c>
      <c r="F1409" s="1" t="s">
        <v>30</v>
      </c>
      <c r="G1409" s="2">
        <v>212.7</v>
      </c>
      <c r="H1409" s="1">
        <v>22</v>
      </c>
      <c r="I1409" s="1">
        <v>104</v>
      </c>
      <c r="J1409" s="1">
        <v>103</v>
      </c>
      <c r="K1409" s="1">
        <v>49</v>
      </c>
      <c r="L1409" s="1">
        <v>140</v>
      </c>
      <c r="M1409" s="1" t="s">
        <v>49</v>
      </c>
      <c r="N1409" s="1" t="s">
        <v>42</v>
      </c>
      <c r="O1409" t="s">
        <v>209</v>
      </c>
      <c r="P1409" s="2">
        <v>148.88999999999999</v>
      </c>
      <c r="Q1409" s="1" t="str">
        <f>IF(J514&gt;K514,"YES","NO")</f>
        <v>YES</v>
      </c>
      <c r="R1409" s="2">
        <f>IF(Q514="YES",G514*0.9,G514)</f>
        <v>191.43</v>
      </c>
      <c r="S1409" s="2">
        <f>J514*G514</f>
        <v>21908.1</v>
      </c>
      <c r="T1409" s="1">
        <f ca="1">TODAY()-DATE(MID(O514,7,4),MID(O514,4,2),LEFT(O514,2))</f>
        <v>127</v>
      </c>
      <c r="U1409" s="1" t="s">
        <v>34</v>
      </c>
      <c r="V1409" s="1" t="s">
        <v>34</v>
      </c>
      <c r="W1409" s="1" t="s">
        <v>34</v>
      </c>
      <c r="X1409" t="s">
        <v>2632</v>
      </c>
      <c r="Y1409" s="1">
        <v>7</v>
      </c>
    </row>
    <row r="1410" spans="1:25" x14ac:dyDescent="0.3">
      <c r="A1410" s="1" t="s">
        <v>2424</v>
      </c>
      <c r="B1410" s="1" t="s">
        <v>192</v>
      </c>
      <c r="C1410" s="1" t="s">
        <v>193</v>
      </c>
      <c r="D1410" s="1" t="s">
        <v>85</v>
      </c>
      <c r="E1410" s="1" t="s">
        <v>29</v>
      </c>
      <c r="F1410" s="1" t="s">
        <v>54</v>
      </c>
      <c r="G1410" s="2">
        <v>381.27</v>
      </c>
      <c r="H1410" s="1">
        <v>23</v>
      </c>
      <c r="I1410" s="1">
        <v>240</v>
      </c>
      <c r="J1410" s="1">
        <v>214</v>
      </c>
      <c r="K1410" s="1">
        <v>71</v>
      </c>
      <c r="L1410" s="1">
        <v>112</v>
      </c>
      <c r="M1410" s="1" t="s">
        <v>31</v>
      </c>
      <c r="N1410" s="1" t="s">
        <v>60</v>
      </c>
      <c r="O1410" t="s">
        <v>361</v>
      </c>
      <c r="P1410" s="2">
        <v>266.89</v>
      </c>
      <c r="Q1410" s="1" t="str">
        <f>IF(J185&gt;K185,"YES","NO")</f>
        <v>YES</v>
      </c>
      <c r="R1410" s="2">
        <f>IF(Q185="YES",G185*0.9,G185)</f>
        <v>343.14299999999997</v>
      </c>
      <c r="S1410" s="2">
        <f>J185*G185</f>
        <v>81591.78</v>
      </c>
      <c r="T1410" s="1">
        <f ca="1">TODAY()-DATE(MID(O185,7,4),MID(O185,4,2),LEFT(O185,2))</f>
        <v>99</v>
      </c>
      <c r="U1410" s="1" t="s">
        <v>34</v>
      </c>
      <c r="V1410" s="1" t="s">
        <v>34</v>
      </c>
      <c r="W1410" s="1" t="s">
        <v>34</v>
      </c>
      <c r="X1410" t="s">
        <v>2831</v>
      </c>
      <c r="Y1410" s="1">
        <v>7.5</v>
      </c>
    </row>
    <row r="1411" spans="1:25" x14ac:dyDescent="0.3">
      <c r="A1411" s="1" t="s">
        <v>2425</v>
      </c>
      <c r="B1411" s="1" t="s">
        <v>69</v>
      </c>
      <c r="C1411" s="1" t="s">
        <v>70</v>
      </c>
      <c r="D1411" s="1" t="s">
        <v>59</v>
      </c>
      <c r="E1411" s="1" t="s">
        <v>40</v>
      </c>
      <c r="F1411" s="1" t="s">
        <v>48</v>
      </c>
      <c r="G1411" s="2">
        <v>212.15</v>
      </c>
      <c r="H1411" s="1">
        <v>22</v>
      </c>
      <c r="I1411" s="1">
        <v>149</v>
      </c>
      <c r="J1411" s="1">
        <v>135</v>
      </c>
      <c r="K1411" s="1">
        <v>80</v>
      </c>
      <c r="L1411" s="1">
        <v>78</v>
      </c>
      <c r="M1411" s="1" t="s">
        <v>31</v>
      </c>
      <c r="N1411" s="1" t="s">
        <v>60</v>
      </c>
      <c r="O1411" t="s">
        <v>311</v>
      </c>
      <c r="P1411" s="2">
        <v>148.5</v>
      </c>
      <c r="Q1411" s="1" t="str">
        <f>IF(J471&gt;K471,"YES","NO")</f>
        <v>YES</v>
      </c>
      <c r="R1411" s="2">
        <f>IF(Q471="YES",G471*0.9,G471)</f>
        <v>190.935</v>
      </c>
      <c r="S1411" s="2">
        <f>J471*G471</f>
        <v>28640.25</v>
      </c>
      <c r="T1411" s="1">
        <f ca="1">TODAY()-DATE(MID(O471,7,4),MID(O471,4,2),LEFT(O471,2))</f>
        <v>80</v>
      </c>
      <c r="U1411" s="1" t="s">
        <v>34</v>
      </c>
      <c r="V1411" s="1" t="s">
        <v>34</v>
      </c>
      <c r="W1411" s="1" t="s">
        <v>34</v>
      </c>
      <c r="X1411" t="s">
        <v>2633</v>
      </c>
      <c r="Y1411" s="1">
        <v>5.5</v>
      </c>
    </row>
    <row r="1412" spans="1:25" x14ac:dyDescent="0.3">
      <c r="A1412" s="1" t="s">
        <v>2426</v>
      </c>
      <c r="B1412" s="1" t="s">
        <v>37</v>
      </c>
      <c r="C1412" s="1" t="s">
        <v>38</v>
      </c>
      <c r="D1412" s="1" t="s">
        <v>39</v>
      </c>
      <c r="E1412" s="1" t="s">
        <v>29</v>
      </c>
      <c r="F1412" s="1" t="s">
        <v>54</v>
      </c>
      <c r="G1412" s="2">
        <v>392.06</v>
      </c>
      <c r="H1412" s="1">
        <v>21</v>
      </c>
      <c r="I1412" s="1">
        <v>84</v>
      </c>
      <c r="J1412" s="1">
        <v>48</v>
      </c>
      <c r="K1412" s="1">
        <v>98</v>
      </c>
      <c r="L1412" s="1">
        <v>81</v>
      </c>
      <c r="M1412" s="1" t="s">
        <v>31</v>
      </c>
      <c r="N1412" s="1" t="s">
        <v>32</v>
      </c>
      <c r="O1412" t="s">
        <v>128</v>
      </c>
      <c r="P1412" s="2">
        <v>274.44</v>
      </c>
      <c r="Q1412" s="1" t="str">
        <f>IF(J696&gt;K696,"YES","NO")</f>
        <v>NO</v>
      </c>
      <c r="R1412" s="2">
        <f>IF(Q696="YES",G696*0.9,G696)</f>
        <v>392.06</v>
      </c>
      <c r="S1412" s="2">
        <f>J696*G696</f>
        <v>18818.88</v>
      </c>
      <c r="T1412" s="1">
        <f ca="1">TODAY()-DATE(MID(O696,7,4),MID(O696,4,2),LEFT(O696,2))</f>
        <v>77</v>
      </c>
      <c r="U1412" s="1" t="s">
        <v>34</v>
      </c>
      <c r="V1412" s="1" t="s">
        <v>34</v>
      </c>
      <c r="W1412" s="1" t="s">
        <v>34</v>
      </c>
      <c r="X1412" t="s">
        <v>2603</v>
      </c>
      <c r="Y1412" s="1">
        <v>8</v>
      </c>
    </row>
    <row r="1413" spans="1:25" x14ac:dyDescent="0.3">
      <c r="A1413" s="1" t="s">
        <v>2427</v>
      </c>
      <c r="B1413" s="1" t="s">
        <v>69</v>
      </c>
      <c r="C1413" s="1" t="s">
        <v>70</v>
      </c>
      <c r="D1413" s="1" t="s">
        <v>59</v>
      </c>
      <c r="E1413" s="1" t="s">
        <v>40</v>
      </c>
      <c r="F1413" s="1" t="s">
        <v>48</v>
      </c>
      <c r="G1413" s="2">
        <v>270.26</v>
      </c>
      <c r="H1413" s="1">
        <v>2</v>
      </c>
      <c r="I1413" s="1">
        <v>268</v>
      </c>
      <c r="J1413" s="1">
        <v>232</v>
      </c>
      <c r="K1413" s="1">
        <v>65</v>
      </c>
      <c r="L1413" s="1">
        <v>127</v>
      </c>
      <c r="M1413" s="1" t="s">
        <v>31</v>
      </c>
      <c r="N1413" s="1" t="s">
        <v>42</v>
      </c>
      <c r="O1413" t="s">
        <v>164</v>
      </c>
      <c r="P1413" s="2">
        <v>189.18</v>
      </c>
      <c r="Q1413" s="1" t="str">
        <f>IF(J47&gt;K47,"YES","NO")</f>
        <v>YES</v>
      </c>
      <c r="R1413" s="2">
        <f>IF(Q47="YES",G47*0.9,G47)</f>
        <v>243.23400000000001</v>
      </c>
      <c r="S1413" s="2">
        <f>J47*G47</f>
        <v>62700.32</v>
      </c>
      <c r="T1413" s="1">
        <f ca="1">TODAY()-DATE(MID(O47,7,4),MID(O47,4,2),LEFT(O47,2))</f>
        <v>126</v>
      </c>
      <c r="U1413" s="1" t="s">
        <v>34</v>
      </c>
      <c r="V1413" s="1" t="s">
        <v>34</v>
      </c>
      <c r="W1413" s="1" t="s">
        <v>34</v>
      </c>
      <c r="X1413" t="s">
        <v>2828</v>
      </c>
      <c r="Y1413" s="1">
        <v>8.5</v>
      </c>
    </row>
    <row r="1414" spans="1:25" x14ac:dyDescent="0.3">
      <c r="A1414" s="1" t="s">
        <v>2428</v>
      </c>
      <c r="B1414" s="1" t="s">
        <v>123</v>
      </c>
      <c r="C1414" s="1" t="s">
        <v>124</v>
      </c>
      <c r="D1414" s="1" t="s">
        <v>47</v>
      </c>
      <c r="E1414" s="1" t="s">
        <v>29</v>
      </c>
      <c r="F1414" s="1" t="s">
        <v>54</v>
      </c>
      <c r="G1414" s="2">
        <v>113.09</v>
      </c>
      <c r="H1414" s="1">
        <v>5</v>
      </c>
      <c r="I1414" s="1">
        <v>99</v>
      </c>
      <c r="J1414" s="1">
        <v>79</v>
      </c>
      <c r="K1414" s="1">
        <v>41</v>
      </c>
      <c r="L1414" s="1">
        <v>59</v>
      </c>
      <c r="M1414" s="1" t="s">
        <v>31</v>
      </c>
      <c r="N1414" s="1" t="s">
        <v>60</v>
      </c>
      <c r="O1414" t="s">
        <v>88</v>
      </c>
      <c r="P1414" s="2">
        <v>79.16</v>
      </c>
      <c r="Q1414" s="1" t="str">
        <f>IF(J399&gt;K399,"YES","NO")</f>
        <v>YES</v>
      </c>
      <c r="R1414" s="2">
        <f>IF(Q399="YES",G399*0.9,G399)</f>
        <v>101.78100000000001</v>
      </c>
      <c r="S1414" s="2">
        <f>J399*G399</f>
        <v>8934.11</v>
      </c>
      <c r="T1414" s="1">
        <f ca="1">TODAY()-DATE(MID(O399,7,4),MID(O399,4,2),LEFT(O399,2))</f>
        <v>124</v>
      </c>
      <c r="U1414" s="1" t="s">
        <v>34</v>
      </c>
      <c r="V1414" s="1" t="s">
        <v>34</v>
      </c>
      <c r="W1414" s="1" t="s">
        <v>34</v>
      </c>
      <c r="X1414" t="s">
        <v>2924</v>
      </c>
      <c r="Y1414" s="1">
        <v>9.5</v>
      </c>
    </row>
    <row r="1415" spans="1:25" x14ac:dyDescent="0.3">
      <c r="A1415" s="1" t="s">
        <v>2429</v>
      </c>
      <c r="B1415" s="1" t="s">
        <v>299</v>
      </c>
      <c r="C1415" s="1" t="s">
        <v>300</v>
      </c>
      <c r="D1415" s="1" t="s">
        <v>39</v>
      </c>
      <c r="E1415" s="1" t="s">
        <v>74</v>
      </c>
      <c r="F1415" s="1" t="s">
        <v>30</v>
      </c>
      <c r="G1415" s="2">
        <v>50.82</v>
      </c>
      <c r="H1415" s="1">
        <v>18</v>
      </c>
      <c r="I1415" s="1">
        <v>283</v>
      </c>
      <c r="J1415" s="1">
        <v>257</v>
      </c>
      <c r="K1415" s="1">
        <v>76</v>
      </c>
      <c r="L1415" s="1">
        <v>93</v>
      </c>
      <c r="M1415" s="1" t="s">
        <v>41</v>
      </c>
      <c r="N1415" s="1" t="s">
        <v>32</v>
      </c>
      <c r="O1415" t="s">
        <v>35</v>
      </c>
      <c r="P1415" s="2">
        <v>35.57</v>
      </c>
      <c r="Q1415" s="1" t="str">
        <f>IF(J611&gt;K611,"YES","NO")</f>
        <v>YES</v>
      </c>
      <c r="R1415" s="2">
        <f>IF(Q611="YES",G611*0.9,G611)</f>
        <v>45.738</v>
      </c>
      <c r="S1415" s="2">
        <f>J611*G611</f>
        <v>13060.74</v>
      </c>
      <c r="T1415" s="1">
        <f ca="1">TODAY()-DATE(MID(O611,7,4),MID(O611,4,2),LEFT(O611,2))</f>
        <v>85</v>
      </c>
      <c r="U1415" s="1" t="s">
        <v>34</v>
      </c>
      <c r="V1415" s="1" t="s">
        <v>34</v>
      </c>
      <c r="W1415" s="1" t="s">
        <v>34</v>
      </c>
      <c r="X1415" t="s">
        <v>2925</v>
      </c>
      <c r="Y1415" s="1">
        <v>5.5</v>
      </c>
    </row>
    <row r="1416" spans="1:25" x14ac:dyDescent="0.3">
      <c r="A1416" s="1" t="s">
        <v>2430</v>
      </c>
      <c r="B1416" s="1" t="s">
        <v>189</v>
      </c>
      <c r="C1416" s="1" t="s">
        <v>190</v>
      </c>
      <c r="D1416" s="1" t="s">
        <v>59</v>
      </c>
      <c r="E1416" s="1" t="s">
        <v>40</v>
      </c>
      <c r="F1416" s="1" t="s">
        <v>30</v>
      </c>
      <c r="G1416" s="2">
        <v>181.15</v>
      </c>
      <c r="H1416" s="1">
        <v>25</v>
      </c>
      <c r="I1416" s="1">
        <v>199</v>
      </c>
      <c r="J1416" s="1">
        <v>182</v>
      </c>
      <c r="K1416" s="1">
        <v>40</v>
      </c>
      <c r="L1416" s="1">
        <v>94</v>
      </c>
      <c r="M1416" s="1" t="s">
        <v>49</v>
      </c>
      <c r="N1416" s="1" t="s">
        <v>60</v>
      </c>
      <c r="O1416" t="s">
        <v>240</v>
      </c>
      <c r="P1416" s="2">
        <v>126.8</v>
      </c>
      <c r="Q1416" s="1" t="str">
        <f>IF(J617&gt;K617,"YES","NO")</f>
        <v>YES</v>
      </c>
      <c r="R1416" s="2">
        <f>IF(Q617="YES",G617*0.9,G617)</f>
        <v>163.035</v>
      </c>
      <c r="S1416" s="2">
        <f>J617*G617</f>
        <v>32969.300000000003</v>
      </c>
      <c r="T1416" s="1">
        <f ca="1">TODAY()-DATE(MID(O617,7,4),MID(O617,4,2),LEFT(O617,2))</f>
        <v>111</v>
      </c>
      <c r="U1416" s="1" t="s">
        <v>34</v>
      </c>
      <c r="V1416" s="1" t="s">
        <v>34</v>
      </c>
      <c r="W1416" s="1" t="s">
        <v>34</v>
      </c>
      <c r="X1416" t="s">
        <v>2924</v>
      </c>
      <c r="Y1416" s="1">
        <v>8.5</v>
      </c>
    </row>
    <row r="1417" spans="1:25" x14ac:dyDescent="0.3">
      <c r="A1417" s="1" t="s">
        <v>2431</v>
      </c>
      <c r="B1417" s="1" t="s">
        <v>143</v>
      </c>
      <c r="C1417" s="1" t="s">
        <v>144</v>
      </c>
      <c r="D1417" s="1" t="s">
        <v>47</v>
      </c>
      <c r="E1417" s="1" t="s">
        <v>29</v>
      </c>
      <c r="F1417" s="1" t="s">
        <v>54</v>
      </c>
      <c r="G1417" s="2">
        <v>219.85</v>
      </c>
      <c r="H1417" s="1">
        <v>4</v>
      </c>
      <c r="I1417" s="1">
        <v>146</v>
      </c>
      <c r="J1417" s="1">
        <v>125</v>
      </c>
      <c r="K1417" s="1">
        <v>55</v>
      </c>
      <c r="L1417" s="1">
        <v>107</v>
      </c>
      <c r="M1417" s="1" t="s">
        <v>49</v>
      </c>
      <c r="N1417" s="1" t="s">
        <v>32</v>
      </c>
      <c r="O1417" t="s">
        <v>242</v>
      </c>
      <c r="P1417" s="2">
        <v>153.88999999999999</v>
      </c>
      <c r="Q1417" s="1" t="str">
        <f>IF(J646&gt;K646,"YES","NO")</f>
        <v>YES</v>
      </c>
      <c r="R1417" s="2">
        <f>IF(Q646="YES",G646*0.9,G646)</f>
        <v>197.86500000000001</v>
      </c>
      <c r="S1417" s="2">
        <f>J646*G646</f>
        <v>27481.25</v>
      </c>
      <c r="T1417" s="1">
        <f ca="1">TODAY()-DATE(MID(O646,7,4),MID(O646,4,2),LEFT(O646,2))</f>
        <v>105</v>
      </c>
      <c r="U1417" s="1" t="s">
        <v>34</v>
      </c>
      <c r="V1417" s="1" t="s">
        <v>34</v>
      </c>
      <c r="W1417" s="1" t="s">
        <v>34</v>
      </c>
      <c r="X1417" t="s">
        <v>2590</v>
      </c>
      <c r="Y1417" s="1">
        <v>8</v>
      </c>
    </row>
    <row r="1418" spans="1:25" x14ac:dyDescent="0.3">
      <c r="A1418" s="1" t="s">
        <v>2432</v>
      </c>
      <c r="B1418" s="1" t="s">
        <v>123</v>
      </c>
      <c r="C1418" s="1" t="s">
        <v>124</v>
      </c>
      <c r="D1418" s="1" t="s">
        <v>47</v>
      </c>
      <c r="E1418" s="1" t="s">
        <v>40</v>
      </c>
      <c r="F1418" s="1" t="s">
        <v>30</v>
      </c>
      <c r="G1418" s="2">
        <v>102.25</v>
      </c>
      <c r="H1418" s="1">
        <v>3</v>
      </c>
      <c r="I1418" s="1">
        <v>237</v>
      </c>
      <c r="J1418" s="1">
        <v>234</v>
      </c>
      <c r="K1418" s="1">
        <v>68</v>
      </c>
      <c r="L1418" s="1">
        <v>112</v>
      </c>
      <c r="M1418" s="1" t="s">
        <v>31</v>
      </c>
      <c r="N1418" s="1" t="s">
        <v>60</v>
      </c>
      <c r="O1418" t="s">
        <v>280</v>
      </c>
      <c r="P1418" s="2">
        <v>71.569999999999993</v>
      </c>
      <c r="Q1418" s="1" t="str">
        <f>IF(J378&gt;K378,"YES","NO")</f>
        <v>YES</v>
      </c>
      <c r="R1418" s="2">
        <f>IF(Q378="YES",G378*0.9,G378)</f>
        <v>92.025000000000006</v>
      </c>
      <c r="S1418" s="2">
        <f>J378*G378</f>
        <v>23926.5</v>
      </c>
      <c r="T1418" s="1">
        <f ca="1">TODAY()-DATE(MID(O378,7,4),MID(O378,4,2),LEFT(O378,2))</f>
        <v>108</v>
      </c>
      <c r="U1418" s="1" t="s">
        <v>34</v>
      </c>
      <c r="V1418" s="1" t="s">
        <v>34</v>
      </c>
      <c r="W1418" s="1" t="s">
        <v>34</v>
      </c>
      <c r="X1418" t="s">
        <v>2650</v>
      </c>
      <c r="Y1418" s="1">
        <v>9</v>
      </c>
    </row>
    <row r="1419" spans="1:25" x14ac:dyDescent="0.3">
      <c r="A1419" s="1" t="s">
        <v>2433</v>
      </c>
      <c r="B1419" s="1" t="s">
        <v>130</v>
      </c>
      <c r="C1419" s="1" t="s">
        <v>131</v>
      </c>
      <c r="D1419" s="1" t="s">
        <v>132</v>
      </c>
      <c r="E1419" s="1" t="s">
        <v>40</v>
      </c>
      <c r="F1419" s="1" t="s">
        <v>54</v>
      </c>
      <c r="G1419" s="2">
        <v>138.41999999999999</v>
      </c>
      <c r="H1419" s="1">
        <v>23</v>
      </c>
      <c r="I1419" s="1">
        <v>81</v>
      </c>
      <c r="J1419" s="1">
        <v>57</v>
      </c>
      <c r="K1419" s="1">
        <v>58</v>
      </c>
      <c r="L1419" s="1">
        <v>83</v>
      </c>
      <c r="M1419" s="1" t="s">
        <v>41</v>
      </c>
      <c r="N1419" s="1" t="s">
        <v>42</v>
      </c>
      <c r="O1419" t="s">
        <v>81</v>
      </c>
      <c r="P1419" s="2">
        <v>96.89</v>
      </c>
      <c r="Q1419" s="1" t="str">
        <f>IF(J186&gt;K186,"YES","NO")</f>
        <v>NO</v>
      </c>
      <c r="R1419" s="2">
        <f>IF(Q186="YES",G186*0.9,G186)</f>
        <v>138.41999999999999</v>
      </c>
      <c r="S1419" s="2">
        <f>J186*G186</f>
        <v>7889.94</v>
      </c>
      <c r="T1419" s="1">
        <f ca="1">TODAY()-DATE(MID(O186,7,4),MID(O186,4,2),LEFT(O186,2))</f>
        <v>81</v>
      </c>
      <c r="U1419" s="1" t="s">
        <v>34</v>
      </c>
      <c r="V1419" s="1" t="s">
        <v>34</v>
      </c>
      <c r="W1419" s="1" t="s">
        <v>34</v>
      </c>
      <c r="X1419" t="s">
        <v>2710</v>
      </c>
      <c r="Y1419" s="1">
        <v>8</v>
      </c>
    </row>
    <row r="1420" spans="1:25" x14ac:dyDescent="0.3">
      <c r="A1420" s="1" t="s">
        <v>2434</v>
      </c>
      <c r="B1420" s="1" t="s">
        <v>52</v>
      </c>
      <c r="C1420" s="1" t="s">
        <v>53</v>
      </c>
      <c r="D1420" s="1" t="s">
        <v>47</v>
      </c>
      <c r="E1420" s="1" t="s">
        <v>29</v>
      </c>
      <c r="F1420" s="1" t="s">
        <v>30</v>
      </c>
      <c r="G1420" s="2">
        <v>299.77</v>
      </c>
      <c r="H1420" s="1">
        <v>13</v>
      </c>
      <c r="I1420" s="1">
        <v>183</v>
      </c>
      <c r="J1420" s="1">
        <v>147</v>
      </c>
      <c r="K1420" s="1">
        <v>116</v>
      </c>
      <c r="L1420" s="1">
        <v>123</v>
      </c>
      <c r="M1420" s="1" t="s">
        <v>41</v>
      </c>
      <c r="N1420" s="1" t="s">
        <v>32</v>
      </c>
      <c r="O1420" t="s">
        <v>81</v>
      </c>
      <c r="P1420" s="2">
        <v>209.84</v>
      </c>
      <c r="Q1420" s="1" t="str">
        <f>IF(J498&gt;K498,"YES","NO")</f>
        <v>YES</v>
      </c>
      <c r="R1420" s="2">
        <f>IF(Q498="YES",G498*0.9,G498)</f>
        <v>269.79300000000001</v>
      </c>
      <c r="S1420" s="2">
        <f>J498*G498</f>
        <v>44066.189999999995</v>
      </c>
      <c r="T1420" s="1">
        <f ca="1">TODAY()-DATE(MID(O498,7,4),MID(O498,4,2),LEFT(O498,2))</f>
        <v>81</v>
      </c>
      <c r="U1420" s="1" t="s">
        <v>34</v>
      </c>
      <c r="V1420" s="1" t="s">
        <v>34</v>
      </c>
      <c r="W1420" s="1" t="s">
        <v>34</v>
      </c>
      <c r="X1420" t="s">
        <v>2609</v>
      </c>
      <c r="Y1420" s="1">
        <v>9</v>
      </c>
    </row>
    <row r="1421" spans="1:25" x14ac:dyDescent="0.3">
      <c r="A1421" s="1" t="s">
        <v>2435</v>
      </c>
      <c r="B1421" s="1" t="s">
        <v>166</v>
      </c>
      <c r="C1421" s="1" t="s">
        <v>167</v>
      </c>
      <c r="D1421" s="1" t="s">
        <v>59</v>
      </c>
      <c r="E1421" s="1" t="s">
        <v>40</v>
      </c>
      <c r="F1421" s="1" t="s">
        <v>54</v>
      </c>
      <c r="G1421" s="2">
        <v>331.04</v>
      </c>
      <c r="H1421" s="1">
        <v>20</v>
      </c>
      <c r="I1421" s="1">
        <v>198</v>
      </c>
      <c r="J1421" s="1">
        <v>159</v>
      </c>
      <c r="K1421" s="1">
        <v>68</v>
      </c>
      <c r="L1421" s="1">
        <v>60</v>
      </c>
      <c r="M1421" s="1" t="s">
        <v>31</v>
      </c>
      <c r="N1421" s="1" t="s">
        <v>42</v>
      </c>
      <c r="O1421" t="s">
        <v>473</v>
      </c>
      <c r="P1421" s="2">
        <v>231.73</v>
      </c>
      <c r="Q1421" s="1" t="str">
        <f>IF(J519&gt;K519,"YES","NO")</f>
        <v>YES</v>
      </c>
      <c r="R1421" s="2">
        <f>IF(Q519="YES",G519*0.9,G519)</f>
        <v>297.93600000000004</v>
      </c>
      <c r="S1421" s="2">
        <f>J519*G519</f>
        <v>52635.360000000001</v>
      </c>
      <c r="T1421" s="1">
        <f ca="1">TODAY()-DATE(MID(O519,7,4),MID(O519,4,2),LEFT(O519,2))</f>
        <v>146</v>
      </c>
      <c r="U1421" s="1" t="s">
        <v>34</v>
      </c>
      <c r="V1421" s="1" t="s">
        <v>34</v>
      </c>
      <c r="W1421" s="1" t="s">
        <v>34</v>
      </c>
      <c r="X1421" t="s">
        <v>2724</v>
      </c>
      <c r="Y1421" s="1">
        <v>9.5</v>
      </c>
    </row>
    <row r="1422" spans="1:25" x14ac:dyDescent="0.3">
      <c r="A1422" s="1" t="s">
        <v>2436</v>
      </c>
      <c r="B1422" s="1" t="s">
        <v>118</v>
      </c>
      <c r="C1422" s="1" t="s">
        <v>119</v>
      </c>
      <c r="D1422" s="1" t="s">
        <v>97</v>
      </c>
      <c r="E1422" s="1" t="s">
        <v>29</v>
      </c>
      <c r="F1422" s="1" t="s">
        <v>54</v>
      </c>
      <c r="G1422" s="2">
        <v>481.51</v>
      </c>
      <c r="H1422" s="1">
        <v>11</v>
      </c>
      <c r="I1422" s="1">
        <v>141</v>
      </c>
      <c r="J1422" s="1">
        <v>127</v>
      </c>
      <c r="K1422" s="1">
        <v>114</v>
      </c>
      <c r="L1422" s="1">
        <v>85</v>
      </c>
      <c r="M1422" s="1" t="s">
        <v>31</v>
      </c>
      <c r="N1422" s="1" t="s">
        <v>32</v>
      </c>
      <c r="O1422" t="s">
        <v>311</v>
      </c>
      <c r="P1422" s="2">
        <v>337.06</v>
      </c>
      <c r="Q1422" s="1" t="str">
        <f>IF(J525&gt;K525,"YES","NO")</f>
        <v>YES</v>
      </c>
      <c r="R1422" s="2">
        <f>IF(Q525="YES",G525*0.9,G525)</f>
        <v>433.35899999999998</v>
      </c>
      <c r="S1422" s="2">
        <f>J525*G525</f>
        <v>61151.77</v>
      </c>
      <c r="T1422" s="1">
        <f ca="1">TODAY()-DATE(MID(O525,7,4),MID(O525,4,2),LEFT(O525,2))</f>
        <v>80</v>
      </c>
      <c r="U1422" s="1" t="s">
        <v>34</v>
      </c>
      <c r="V1422" s="1" t="s">
        <v>34</v>
      </c>
      <c r="W1422" s="1" t="s">
        <v>34</v>
      </c>
      <c r="X1422" t="s">
        <v>2567</v>
      </c>
      <c r="Y1422" s="1">
        <v>7.5</v>
      </c>
    </row>
    <row r="1423" spans="1:25" x14ac:dyDescent="0.3">
      <c r="A1423" s="1" t="s">
        <v>2437</v>
      </c>
      <c r="B1423" s="1" t="s">
        <v>57</v>
      </c>
      <c r="C1423" s="1" t="s">
        <v>58</v>
      </c>
      <c r="D1423" s="1" t="s">
        <v>59</v>
      </c>
      <c r="E1423" s="1" t="s">
        <v>74</v>
      </c>
      <c r="F1423" s="1" t="s">
        <v>48</v>
      </c>
      <c r="G1423" s="2">
        <v>71.239999999999995</v>
      </c>
      <c r="H1423" s="1">
        <v>21</v>
      </c>
      <c r="I1423" s="1">
        <v>134</v>
      </c>
      <c r="J1423" s="1">
        <v>128</v>
      </c>
      <c r="K1423" s="1">
        <v>42</v>
      </c>
      <c r="L1423" s="1">
        <v>98</v>
      </c>
      <c r="M1423" s="1" t="s">
        <v>31</v>
      </c>
      <c r="N1423" s="1" t="s">
        <v>42</v>
      </c>
      <c r="O1423" t="s">
        <v>410</v>
      </c>
      <c r="P1423" s="2">
        <v>49.87</v>
      </c>
      <c r="Q1423" s="1" t="str">
        <f>IF(J454&gt;K454,"YES","NO")</f>
        <v>YES</v>
      </c>
      <c r="R1423" s="2">
        <f>IF(Q454="YES",G454*0.9,G454)</f>
        <v>64.116</v>
      </c>
      <c r="S1423" s="2">
        <f>J454*G454</f>
        <v>9118.7199999999993</v>
      </c>
      <c r="T1423" s="1">
        <f ca="1">TODAY()-DATE(MID(O454,7,4),MID(O454,4,2),LEFT(O454,2))</f>
        <v>136</v>
      </c>
      <c r="U1423" s="1" t="s">
        <v>34</v>
      </c>
      <c r="V1423" s="1" t="s">
        <v>34</v>
      </c>
      <c r="W1423" s="1" t="s">
        <v>34</v>
      </c>
      <c r="X1423" t="s">
        <v>2760</v>
      </c>
      <c r="Y1423" s="1">
        <v>7</v>
      </c>
    </row>
    <row r="1424" spans="1:25" x14ac:dyDescent="0.3">
      <c r="A1424" s="1" t="s">
        <v>2438</v>
      </c>
      <c r="B1424" s="1" t="s">
        <v>95</v>
      </c>
      <c r="C1424" s="1" t="s">
        <v>96</v>
      </c>
      <c r="D1424" s="1" t="s">
        <v>97</v>
      </c>
      <c r="E1424" s="1" t="s">
        <v>74</v>
      </c>
      <c r="F1424" s="1" t="s">
        <v>54</v>
      </c>
      <c r="G1424" s="2">
        <v>445.94</v>
      </c>
      <c r="H1424" s="1">
        <v>3</v>
      </c>
      <c r="I1424" s="1">
        <v>185</v>
      </c>
      <c r="J1424" s="1">
        <v>182</v>
      </c>
      <c r="K1424" s="1">
        <v>91</v>
      </c>
      <c r="L1424" s="1">
        <v>60</v>
      </c>
      <c r="M1424" s="1" t="s">
        <v>31</v>
      </c>
      <c r="N1424" s="1" t="s">
        <v>32</v>
      </c>
      <c r="O1424" t="s">
        <v>145</v>
      </c>
      <c r="P1424" s="2">
        <v>312.16000000000003</v>
      </c>
      <c r="Q1424" s="1" t="str">
        <f>IF(J581&gt;K581,"YES","NO")</f>
        <v>YES</v>
      </c>
      <c r="R1424" s="2">
        <f>IF(Q581="YES",G581*0.9,G581)</f>
        <v>401.346</v>
      </c>
      <c r="S1424" s="2">
        <f>J581*G581</f>
        <v>81161.08</v>
      </c>
      <c r="T1424" s="1">
        <f ca="1">TODAY()-DATE(MID(O581,7,4),MID(O581,4,2),LEFT(O581,2))</f>
        <v>68</v>
      </c>
      <c r="U1424" s="1" t="s">
        <v>34</v>
      </c>
      <c r="V1424" s="1" t="s">
        <v>34</v>
      </c>
      <c r="W1424" s="1" t="s">
        <v>34</v>
      </c>
      <c r="X1424" t="s">
        <v>2650</v>
      </c>
      <c r="Y1424" s="1">
        <v>5.5</v>
      </c>
    </row>
    <row r="1425" spans="1:25" x14ac:dyDescent="0.3">
      <c r="A1425" s="1" t="s">
        <v>2439</v>
      </c>
      <c r="B1425" s="1" t="s">
        <v>26</v>
      </c>
      <c r="C1425" s="1" t="s">
        <v>27</v>
      </c>
      <c r="D1425" s="1" t="s">
        <v>28</v>
      </c>
      <c r="E1425" s="1" t="s">
        <v>29</v>
      </c>
      <c r="F1425" s="1" t="s">
        <v>48</v>
      </c>
      <c r="G1425" s="2">
        <v>215.97</v>
      </c>
      <c r="H1425" s="1">
        <v>12</v>
      </c>
      <c r="I1425" s="1">
        <v>160</v>
      </c>
      <c r="J1425" s="1">
        <v>132</v>
      </c>
      <c r="K1425" s="1">
        <v>115</v>
      </c>
      <c r="L1425" s="1">
        <v>134</v>
      </c>
      <c r="M1425" s="1" t="s">
        <v>41</v>
      </c>
      <c r="N1425" s="1" t="s">
        <v>32</v>
      </c>
      <c r="O1425" t="s">
        <v>361</v>
      </c>
      <c r="P1425" s="2">
        <v>151.18</v>
      </c>
      <c r="Q1425" s="1" t="str">
        <f>IF(J537&gt;K537,"YES","NO")</f>
        <v>YES</v>
      </c>
      <c r="R1425" s="2">
        <f>IF(Q537="YES",G537*0.9,G537)</f>
        <v>194.37299999999999</v>
      </c>
      <c r="S1425" s="2">
        <f>J537*G537</f>
        <v>28508.04</v>
      </c>
      <c r="T1425" s="1">
        <f ca="1">TODAY()-DATE(MID(O537,7,4),MID(O537,4,2),LEFT(O537,2))</f>
        <v>99</v>
      </c>
      <c r="U1425" s="1" t="s">
        <v>34</v>
      </c>
      <c r="V1425" s="1" t="s">
        <v>34</v>
      </c>
      <c r="W1425" s="1" t="s">
        <v>34</v>
      </c>
      <c r="X1425" t="s">
        <v>2626</v>
      </c>
      <c r="Y1425" s="1">
        <v>8.5</v>
      </c>
    </row>
    <row r="1426" spans="1:25" x14ac:dyDescent="0.3">
      <c r="A1426" s="1" t="s">
        <v>2440</v>
      </c>
      <c r="B1426" s="1" t="s">
        <v>111</v>
      </c>
      <c r="C1426" s="1" t="s">
        <v>112</v>
      </c>
      <c r="D1426" s="1" t="s">
        <v>97</v>
      </c>
      <c r="E1426" s="1" t="s">
        <v>40</v>
      </c>
      <c r="F1426" s="1" t="s">
        <v>48</v>
      </c>
      <c r="G1426" s="2">
        <v>315.77999999999997</v>
      </c>
      <c r="H1426" s="1">
        <v>6</v>
      </c>
      <c r="I1426" s="1">
        <v>162</v>
      </c>
      <c r="J1426" s="1">
        <v>152</v>
      </c>
      <c r="K1426" s="1">
        <v>82</v>
      </c>
      <c r="L1426" s="1">
        <v>105</v>
      </c>
      <c r="M1426" s="1" t="s">
        <v>31</v>
      </c>
      <c r="N1426" s="1" t="s">
        <v>32</v>
      </c>
      <c r="O1426" t="s">
        <v>229</v>
      </c>
      <c r="P1426" s="2">
        <v>221.05</v>
      </c>
      <c r="Q1426" s="1" t="str">
        <f>IF(J300&gt;K300,"YES","NO")</f>
        <v>YES</v>
      </c>
      <c r="R1426" s="2">
        <f>IF(Q300="YES",G300*0.9,G300)</f>
        <v>284.202</v>
      </c>
      <c r="S1426" s="2">
        <f>J300*G300</f>
        <v>47998.559999999998</v>
      </c>
      <c r="T1426" s="1">
        <f ca="1">TODAY()-DATE(MID(O300,7,4),MID(O300,4,2),LEFT(O300,2))</f>
        <v>128</v>
      </c>
      <c r="U1426" s="1" t="s">
        <v>34</v>
      </c>
      <c r="V1426" s="1" t="s">
        <v>34</v>
      </c>
      <c r="W1426" s="1" t="s">
        <v>34</v>
      </c>
      <c r="X1426" t="s">
        <v>2544</v>
      </c>
      <c r="Y1426" s="1">
        <v>5</v>
      </c>
    </row>
    <row r="1427" spans="1:25" x14ac:dyDescent="0.3">
      <c r="A1427" s="1" t="s">
        <v>2441</v>
      </c>
      <c r="B1427" s="1" t="s">
        <v>52</v>
      </c>
      <c r="C1427" s="1" t="s">
        <v>53</v>
      </c>
      <c r="D1427" s="1" t="s">
        <v>47</v>
      </c>
      <c r="E1427" s="1" t="s">
        <v>40</v>
      </c>
      <c r="F1427" s="1" t="s">
        <v>30</v>
      </c>
      <c r="G1427" s="2">
        <v>94.76</v>
      </c>
      <c r="H1427" s="1">
        <v>19</v>
      </c>
      <c r="I1427" s="1">
        <v>273</v>
      </c>
      <c r="J1427" s="1">
        <v>234</v>
      </c>
      <c r="K1427" s="1">
        <v>102</v>
      </c>
      <c r="L1427" s="1">
        <v>67</v>
      </c>
      <c r="M1427" s="1" t="s">
        <v>31</v>
      </c>
      <c r="N1427" s="1" t="s">
        <v>60</v>
      </c>
      <c r="O1427" t="s">
        <v>79</v>
      </c>
      <c r="P1427" s="2">
        <v>66.33</v>
      </c>
      <c r="Q1427" s="1" t="str">
        <f>IF(J116&gt;K116,"YES","NO")</f>
        <v>YES</v>
      </c>
      <c r="R1427" s="2">
        <f>IF(Q116="YES",G116*0.9,G116)</f>
        <v>85.284000000000006</v>
      </c>
      <c r="S1427" s="2">
        <f>J116*G116</f>
        <v>22173.84</v>
      </c>
      <c r="T1427" s="1">
        <f ca="1">TODAY()-DATE(MID(O116,7,4),MID(O116,4,2),LEFT(O116,2))</f>
        <v>93</v>
      </c>
      <c r="U1427" s="1" t="s">
        <v>34</v>
      </c>
      <c r="V1427" s="1" t="s">
        <v>34</v>
      </c>
      <c r="W1427" s="1" t="s">
        <v>34</v>
      </c>
      <c r="X1427" t="s">
        <v>2619</v>
      </c>
      <c r="Y1427" s="1">
        <v>8</v>
      </c>
    </row>
    <row r="1428" spans="1:25" x14ac:dyDescent="0.3">
      <c r="A1428" s="1" t="s">
        <v>2442</v>
      </c>
      <c r="B1428" s="1" t="s">
        <v>192</v>
      </c>
      <c r="C1428" s="1" t="s">
        <v>193</v>
      </c>
      <c r="D1428" s="1" t="s">
        <v>85</v>
      </c>
      <c r="E1428" s="1" t="s">
        <v>40</v>
      </c>
      <c r="F1428" s="1" t="s">
        <v>30</v>
      </c>
      <c r="G1428" s="2">
        <v>63.4</v>
      </c>
      <c r="H1428" s="1">
        <v>5</v>
      </c>
      <c r="I1428" s="1">
        <v>241</v>
      </c>
      <c r="J1428" s="1">
        <v>214</v>
      </c>
      <c r="K1428" s="1">
        <v>69</v>
      </c>
      <c r="L1428" s="1">
        <v>120</v>
      </c>
      <c r="M1428" s="1" t="s">
        <v>49</v>
      </c>
      <c r="N1428" s="1" t="s">
        <v>42</v>
      </c>
      <c r="O1428" t="s">
        <v>395</v>
      </c>
      <c r="P1428" s="2">
        <v>44.38</v>
      </c>
      <c r="Q1428" s="1" t="str">
        <f>IF(J457&gt;K457,"YES","NO")</f>
        <v>YES</v>
      </c>
      <c r="R1428" s="2">
        <f>IF(Q457="YES",G457*0.9,G457)</f>
        <v>57.06</v>
      </c>
      <c r="S1428" s="2">
        <f>J457*G457</f>
        <v>13567.6</v>
      </c>
      <c r="T1428" s="1">
        <f ca="1">TODAY()-DATE(MID(O457,7,4),MID(O457,4,2),LEFT(O457,2))</f>
        <v>101</v>
      </c>
      <c r="U1428" s="1" t="s">
        <v>34</v>
      </c>
      <c r="V1428" s="1" t="s">
        <v>34</v>
      </c>
      <c r="W1428" s="1" t="s">
        <v>34</v>
      </c>
      <c r="X1428" t="s">
        <v>2674</v>
      </c>
      <c r="Y1428" s="1">
        <v>8.5</v>
      </c>
    </row>
    <row r="1429" spans="1:25" x14ac:dyDescent="0.3">
      <c r="A1429" s="1" t="s">
        <v>2443</v>
      </c>
      <c r="B1429" s="1" t="s">
        <v>189</v>
      </c>
      <c r="C1429" s="1" t="s">
        <v>190</v>
      </c>
      <c r="D1429" s="1" t="s">
        <v>59</v>
      </c>
      <c r="E1429" s="1" t="s">
        <v>74</v>
      </c>
      <c r="F1429" s="1" t="s">
        <v>54</v>
      </c>
      <c r="G1429" s="2">
        <v>192.95</v>
      </c>
      <c r="H1429" s="1">
        <v>25</v>
      </c>
      <c r="I1429" s="1">
        <v>139</v>
      </c>
      <c r="J1429" s="1">
        <v>133</v>
      </c>
      <c r="K1429" s="1">
        <v>104</v>
      </c>
      <c r="L1429" s="1">
        <v>121</v>
      </c>
      <c r="M1429" s="1" t="s">
        <v>31</v>
      </c>
      <c r="N1429" s="1" t="s">
        <v>42</v>
      </c>
      <c r="O1429" t="s">
        <v>153</v>
      </c>
      <c r="P1429" s="2">
        <v>135.06</v>
      </c>
      <c r="Q1429" s="1" t="str">
        <f>IF(J207&gt;K207,"YES","NO")</f>
        <v>YES</v>
      </c>
      <c r="R1429" s="2">
        <f>IF(Q207="YES",G207*0.9,G207)</f>
        <v>173.655</v>
      </c>
      <c r="S1429" s="2">
        <f>J207*G207</f>
        <v>25662.35</v>
      </c>
      <c r="T1429" s="1">
        <f ca="1">TODAY()-DATE(MID(O207,7,4),MID(O207,4,2),LEFT(O207,2))</f>
        <v>135</v>
      </c>
      <c r="U1429" s="1" t="s">
        <v>34</v>
      </c>
      <c r="V1429" s="1" t="s">
        <v>34</v>
      </c>
      <c r="W1429" s="1" t="s">
        <v>34</v>
      </c>
      <c r="X1429" t="s">
        <v>2846</v>
      </c>
      <c r="Y1429" s="1">
        <v>8.5</v>
      </c>
    </row>
    <row r="1430" spans="1:25" x14ac:dyDescent="0.3">
      <c r="A1430" s="1" t="s">
        <v>2444</v>
      </c>
      <c r="B1430" s="1" t="s">
        <v>57</v>
      </c>
      <c r="C1430" s="1" t="s">
        <v>58</v>
      </c>
      <c r="D1430" s="1" t="s">
        <v>59</v>
      </c>
      <c r="E1430" s="1" t="s">
        <v>74</v>
      </c>
      <c r="F1430" s="1" t="s">
        <v>48</v>
      </c>
      <c r="G1430" s="2">
        <v>411.27</v>
      </c>
      <c r="H1430" s="1">
        <v>22</v>
      </c>
      <c r="I1430" s="1">
        <v>219</v>
      </c>
      <c r="J1430" s="1">
        <v>197</v>
      </c>
      <c r="K1430" s="1">
        <v>116</v>
      </c>
      <c r="L1430" s="1">
        <v>58</v>
      </c>
      <c r="M1430" s="1" t="s">
        <v>41</v>
      </c>
      <c r="N1430" s="1" t="s">
        <v>32</v>
      </c>
      <c r="O1430" t="s">
        <v>473</v>
      </c>
      <c r="P1430" s="2">
        <v>287.89</v>
      </c>
      <c r="Q1430" s="1" t="str">
        <f>IF(J289&gt;K289,"YES","NO")</f>
        <v>YES</v>
      </c>
      <c r="R1430" s="2">
        <f>IF(Q289="YES",G289*0.9,G289)</f>
        <v>370.14299999999997</v>
      </c>
      <c r="S1430" s="2">
        <f>J289*G289</f>
        <v>81020.19</v>
      </c>
      <c r="T1430" s="1">
        <f ca="1">TODAY()-DATE(MID(O289,7,4),MID(O289,4,2),LEFT(O289,2))</f>
        <v>146</v>
      </c>
      <c r="U1430" s="1" t="s">
        <v>34</v>
      </c>
      <c r="V1430" s="1" t="s">
        <v>34</v>
      </c>
      <c r="W1430" s="1" t="s">
        <v>34</v>
      </c>
      <c r="X1430" t="s">
        <v>2520</v>
      </c>
      <c r="Y1430" s="1">
        <v>9.5</v>
      </c>
    </row>
    <row r="1431" spans="1:25" x14ac:dyDescent="0.3">
      <c r="A1431" s="1" t="s">
        <v>2445</v>
      </c>
      <c r="B1431" s="1" t="s">
        <v>237</v>
      </c>
      <c r="C1431" s="1" t="s">
        <v>238</v>
      </c>
      <c r="D1431" s="1" t="s">
        <v>85</v>
      </c>
      <c r="E1431" s="1" t="s">
        <v>74</v>
      </c>
      <c r="F1431" s="1" t="s">
        <v>48</v>
      </c>
      <c r="G1431" s="2">
        <v>228.66</v>
      </c>
      <c r="H1431" s="1">
        <v>2</v>
      </c>
      <c r="I1431" s="1">
        <v>170</v>
      </c>
      <c r="J1431" s="1">
        <v>153</v>
      </c>
      <c r="K1431" s="1">
        <v>42</v>
      </c>
      <c r="L1431" s="1">
        <v>117</v>
      </c>
      <c r="M1431" s="1" t="s">
        <v>41</v>
      </c>
      <c r="N1431" s="1" t="s">
        <v>60</v>
      </c>
      <c r="O1431" t="s">
        <v>242</v>
      </c>
      <c r="P1431" s="2">
        <v>160.06</v>
      </c>
      <c r="Q1431" s="1" t="str">
        <f>IF(J768&gt;K768,"YES","NO")</f>
        <v>YES</v>
      </c>
      <c r="R1431" s="2">
        <f>IF(Q768="YES",G768*0.9,G768)</f>
        <v>205.79400000000001</v>
      </c>
      <c r="S1431" s="2">
        <f>J768*G768</f>
        <v>34984.979999999996</v>
      </c>
      <c r="T1431" s="1">
        <f ca="1">TODAY()-DATE(MID(O768,7,4),MID(O768,4,2),LEFT(O768,2))</f>
        <v>105</v>
      </c>
      <c r="U1431" s="1" t="s">
        <v>34</v>
      </c>
      <c r="V1431" s="1" t="s">
        <v>34</v>
      </c>
      <c r="W1431" s="1" t="s">
        <v>34</v>
      </c>
      <c r="X1431" t="s">
        <v>2748</v>
      </c>
      <c r="Y1431" s="1">
        <v>9</v>
      </c>
    </row>
    <row r="1432" spans="1:25" x14ac:dyDescent="0.3">
      <c r="A1432" s="1" t="s">
        <v>2446</v>
      </c>
      <c r="B1432" s="1" t="s">
        <v>37</v>
      </c>
      <c r="C1432" s="1" t="s">
        <v>38</v>
      </c>
      <c r="D1432" s="1" t="s">
        <v>39</v>
      </c>
      <c r="E1432" s="1" t="s">
        <v>74</v>
      </c>
      <c r="F1432" s="1" t="s">
        <v>48</v>
      </c>
      <c r="G1432" s="2">
        <v>107.14</v>
      </c>
      <c r="H1432" s="1">
        <v>13</v>
      </c>
      <c r="I1432" s="1">
        <v>282</v>
      </c>
      <c r="J1432" s="1">
        <v>245</v>
      </c>
      <c r="K1432" s="1">
        <v>99</v>
      </c>
      <c r="L1432" s="1">
        <v>125</v>
      </c>
      <c r="M1432" s="1" t="s">
        <v>31</v>
      </c>
      <c r="N1432" s="1" t="s">
        <v>60</v>
      </c>
      <c r="O1432" t="s">
        <v>133</v>
      </c>
      <c r="P1432" s="2">
        <v>75</v>
      </c>
      <c r="Q1432" s="1" t="str">
        <f>IF(J425&gt;K425,"YES","NO")</f>
        <v>YES</v>
      </c>
      <c r="R1432" s="2">
        <f>IF(Q425="YES",G425*0.9,G425)</f>
        <v>96.426000000000002</v>
      </c>
      <c r="S1432" s="2">
        <f>J425*G425</f>
        <v>26249.3</v>
      </c>
      <c r="T1432" s="1">
        <f ca="1">TODAY()-DATE(MID(O425,7,4),MID(O425,4,2),LEFT(O425,2))</f>
        <v>76</v>
      </c>
      <c r="U1432" s="1" t="s">
        <v>34</v>
      </c>
      <c r="V1432" s="1" t="s">
        <v>34</v>
      </c>
      <c r="W1432" s="1" t="s">
        <v>34</v>
      </c>
      <c r="X1432" t="s">
        <v>2530</v>
      </c>
      <c r="Y1432" s="1">
        <v>7.5</v>
      </c>
    </row>
    <row r="1433" spans="1:25" x14ac:dyDescent="0.3">
      <c r="A1433" s="1" t="s">
        <v>2447</v>
      </c>
      <c r="B1433" s="1" t="s">
        <v>197</v>
      </c>
      <c r="C1433" s="1" t="s">
        <v>198</v>
      </c>
      <c r="D1433" s="1" t="s">
        <v>104</v>
      </c>
      <c r="E1433" s="1" t="s">
        <v>29</v>
      </c>
      <c r="F1433" s="1" t="s">
        <v>54</v>
      </c>
      <c r="G1433" s="2">
        <v>107.56</v>
      </c>
      <c r="H1433" s="1">
        <v>3</v>
      </c>
      <c r="I1433" s="1">
        <v>183</v>
      </c>
      <c r="J1433" s="1">
        <v>154</v>
      </c>
      <c r="K1433" s="1">
        <v>73</v>
      </c>
      <c r="L1433" s="1">
        <v>50</v>
      </c>
      <c r="M1433" s="1" t="s">
        <v>31</v>
      </c>
      <c r="N1433" s="1" t="s">
        <v>32</v>
      </c>
      <c r="O1433" t="s">
        <v>55</v>
      </c>
      <c r="P1433" s="2">
        <v>75.290000000000006</v>
      </c>
      <c r="Q1433" s="1" t="str">
        <f>IF(J112&gt;K112,"YES","NO")</f>
        <v>YES</v>
      </c>
      <c r="R1433" s="2">
        <f>IF(Q112="YES",G112*0.9,G112)</f>
        <v>96.804000000000002</v>
      </c>
      <c r="S1433" s="2">
        <f>J112*G112</f>
        <v>16564.240000000002</v>
      </c>
      <c r="T1433" s="1">
        <f ca="1">TODAY()-DATE(MID(O112,7,4),MID(O112,4,2),LEFT(O112,2))</f>
        <v>91</v>
      </c>
      <c r="U1433" s="1" t="s">
        <v>34</v>
      </c>
      <c r="V1433" s="1" t="s">
        <v>34</v>
      </c>
      <c r="W1433" s="1" t="s">
        <v>34</v>
      </c>
      <c r="X1433" t="s">
        <v>2885</v>
      </c>
      <c r="Y1433" s="1">
        <v>6</v>
      </c>
    </row>
    <row r="1434" spans="1:25" x14ac:dyDescent="0.3">
      <c r="A1434" s="1" t="s">
        <v>2448</v>
      </c>
      <c r="B1434" s="1" t="s">
        <v>52</v>
      </c>
      <c r="C1434" s="1" t="s">
        <v>53</v>
      </c>
      <c r="D1434" s="1" t="s">
        <v>47</v>
      </c>
      <c r="E1434" s="1" t="s">
        <v>29</v>
      </c>
      <c r="F1434" s="1" t="s">
        <v>54</v>
      </c>
      <c r="G1434" s="2">
        <v>344.75</v>
      </c>
      <c r="H1434" s="1">
        <v>17</v>
      </c>
      <c r="I1434" s="1">
        <v>212</v>
      </c>
      <c r="J1434" s="1">
        <v>201</v>
      </c>
      <c r="K1434" s="1">
        <v>49</v>
      </c>
      <c r="L1434" s="1">
        <v>125</v>
      </c>
      <c r="M1434" s="1" t="s">
        <v>41</v>
      </c>
      <c r="N1434" s="1" t="s">
        <v>60</v>
      </c>
      <c r="O1434" t="s">
        <v>240</v>
      </c>
      <c r="P1434" s="2">
        <v>241.32</v>
      </c>
      <c r="Q1434" s="1" t="str">
        <f>IF(J137&gt;K137,"YES","NO")</f>
        <v>YES</v>
      </c>
      <c r="R1434" s="2">
        <f>IF(Q137="YES",G137*0.9,G137)</f>
        <v>310.27500000000003</v>
      </c>
      <c r="S1434" s="2">
        <f>J137*G137</f>
        <v>69294.75</v>
      </c>
      <c r="T1434" s="1">
        <f ca="1">TODAY()-DATE(MID(O137,7,4),MID(O137,4,2),LEFT(O137,2))</f>
        <v>111</v>
      </c>
      <c r="U1434" s="1" t="s">
        <v>34</v>
      </c>
      <c r="V1434" s="1" t="s">
        <v>34</v>
      </c>
      <c r="W1434" s="1" t="s">
        <v>34</v>
      </c>
      <c r="X1434" t="s">
        <v>2523</v>
      </c>
      <c r="Y1434" s="1">
        <v>8.5</v>
      </c>
    </row>
    <row r="1435" spans="1:25" x14ac:dyDescent="0.3">
      <c r="A1435" s="1" t="s">
        <v>2449</v>
      </c>
      <c r="B1435" s="1" t="s">
        <v>72</v>
      </c>
      <c r="C1435" s="1" t="s">
        <v>73</v>
      </c>
      <c r="D1435" s="1" t="s">
        <v>47</v>
      </c>
      <c r="E1435" s="1" t="s">
        <v>40</v>
      </c>
      <c r="F1435" s="1" t="s">
        <v>48</v>
      </c>
      <c r="G1435" s="2">
        <v>318.5</v>
      </c>
      <c r="H1435" s="1">
        <v>17</v>
      </c>
      <c r="I1435" s="1">
        <v>264</v>
      </c>
      <c r="J1435" s="1">
        <v>260</v>
      </c>
      <c r="K1435" s="1">
        <v>90</v>
      </c>
      <c r="L1435" s="1">
        <v>61</v>
      </c>
      <c r="M1435" s="1" t="s">
        <v>41</v>
      </c>
      <c r="N1435" s="1" t="s">
        <v>42</v>
      </c>
      <c r="O1435" t="s">
        <v>161</v>
      </c>
      <c r="P1435" s="2">
        <v>222.95</v>
      </c>
      <c r="Q1435" s="1" t="str">
        <f>IF(J258&gt;K258,"YES","NO")</f>
        <v>YES</v>
      </c>
      <c r="R1435" s="2">
        <f>IF(Q258="YES",G258*0.9,G258)</f>
        <v>286.65000000000003</v>
      </c>
      <c r="S1435" s="2">
        <f>J258*G258</f>
        <v>82810</v>
      </c>
      <c r="T1435" s="1">
        <f ca="1">TODAY()-DATE(MID(O258,7,4),MID(O258,4,2),LEFT(O258,2))</f>
        <v>69</v>
      </c>
      <c r="U1435" s="1" t="s">
        <v>34</v>
      </c>
      <c r="V1435" s="1" t="s">
        <v>34</v>
      </c>
      <c r="W1435" s="1" t="s">
        <v>34</v>
      </c>
      <c r="X1435" t="s">
        <v>2851</v>
      </c>
      <c r="Y1435" s="1">
        <v>9</v>
      </c>
    </row>
    <row r="1436" spans="1:25" x14ac:dyDescent="0.3">
      <c r="A1436" s="1" t="s">
        <v>2450</v>
      </c>
      <c r="B1436" s="1" t="s">
        <v>189</v>
      </c>
      <c r="C1436" s="1" t="s">
        <v>190</v>
      </c>
      <c r="D1436" s="1" t="s">
        <v>59</v>
      </c>
      <c r="E1436" s="1" t="s">
        <v>40</v>
      </c>
      <c r="F1436" s="1" t="s">
        <v>30</v>
      </c>
      <c r="G1436" s="2">
        <v>250.85</v>
      </c>
      <c r="H1436" s="1">
        <v>4</v>
      </c>
      <c r="I1436" s="1">
        <v>258</v>
      </c>
      <c r="J1436" s="1">
        <v>239</v>
      </c>
      <c r="K1436" s="1">
        <v>77</v>
      </c>
      <c r="L1436" s="1">
        <v>50</v>
      </c>
      <c r="M1436" s="1" t="s">
        <v>41</v>
      </c>
      <c r="N1436" s="1" t="s">
        <v>32</v>
      </c>
      <c r="O1436" t="s">
        <v>302</v>
      </c>
      <c r="P1436" s="2">
        <v>175.59</v>
      </c>
      <c r="Q1436" s="1" t="str">
        <f>IF(J241&gt;K241,"YES","NO")</f>
        <v>YES</v>
      </c>
      <c r="R1436" s="2">
        <f>IF(Q241="YES",G241*0.9,G241)</f>
        <v>225.76499999999999</v>
      </c>
      <c r="S1436" s="2">
        <f>J241*G241</f>
        <v>59953.15</v>
      </c>
      <c r="T1436" s="1">
        <f ca="1">TODAY()-DATE(MID(O241,7,4),MID(O241,4,2),LEFT(O241,2))</f>
        <v>133</v>
      </c>
      <c r="U1436" s="1" t="s">
        <v>34</v>
      </c>
      <c r="V1436" s="1" t="s">
        <v>34</v>
      </c>
      <c r="W1436" s="1" t="s">
        <v>34</v>
      </c>
      <c r="X1436" t="s">
        <v>2632</v>
      </c>
      <c r="Y1436" s="1">
        <v>5.5</v>
      </c>
    </row>
    <row r="1437" spans="1:25" x14ac:dyDescent="0.3">
      <c r="A1437" s="1" t="s">
        <v>2451</v>
      </c>
      <c r="B1437" s="1" t="s">
        <v>130</v>
      </c>
      <c r="C1437" s="1" t="s">
        <v>131</v>
      </c>
      <c r="D1437" s="1" t="s">
        <v>132</v>
      </c>
      <c r="E1437" s="1" t="s">
        <v>74</v>
      </c>
      <c r="F1437" s="1" t="s">
        <v>48</v>
      </c>
      <c r="G1437" s="2">
        <v>278.86</v>
      </c>
      <c r="H1437" s="1">
        <v>14</v>
      </c>
      <c r="I1437" s="1">
        <v>273</v>
      </c>
      <c r="J1437" s="1">
        <v>271</v>
      </c>
      <c r="K1437" s="1">
        <v>86</v>
      </c>
      <c r="L1437" s="1">
        <v>73</v>
      </c>
      <c r="M1437" s="1" t="s">
        <v>41</v>
      </c>
      <c r="N1437" s="1" t="s">
        <v>60</v>
      </c>
      <c r="O1437" t="s">
        <v>209</v>
      </c>
      <c r="P1437" s="2">
        <v>195.2</v>
      </c>
      <c r="Q1437" s="1" t="str">
        <f>IF(J254&gt;K254,"YES","NO")</f>
        <v>YES</v>
      </c>
      <c r="R1437" s="2">
        <f>IF(Q254="YES",G254*0.9,G254)</f>
        <v>250.97400000000002</v>
      </c>
      <c r="S1437" s="2">
        <f>J254*G254</f>
        <v>75571.06</v>
      </c>
      <c r="T1437" s="1">
        <f ca="1">TODAY()-DATE(MID(O254,7,4),MID(O254,4,2),LEFT(O254,2))</f>
        <v>127</v>
      </c>
      <c r="U1437" s="1" t="s">
        <v>34</v>
      </c>
      <c r="V1437" s="1" t="s">
        <v>34</v>
      </c>
      <c r="W1437" s="1" t="s">
        <v>34</v>
      </c>
      <c r="X1437" t="s">
        <v>2810</v>
      </c>
      <c r="Y1437" s="1">
        <v>7</v>
      </c>
    </row>
    <row r="1438" spans="1:25" x14ac:dyDescent="0.3">
      <c r="A1438" s="1" t="s">
        <v>2452</v>
      </c>
      <c r="B1438" s="1" t="s">
        <v>237</v>
      </c>
      <c r="C1438" s="1" t="s">
        <v>238</v>
      </c>
      <c r="D1438" s="1" t="s">
        <v>85</v>
      </c>
      <c r="E1438" s="1" t="s">
        <v>74</v>
      </c>
      <c r="F1438" s="1" t="s">
        <v>48</v>
      </c>
      <c r="G1438" s="2">
        <v>44.3</v>
      </c>
      <c r="H1438" s="1">
        <v>17</v>
      </c>
      <c r="I1438" s="1">
        <v>287</v>
      </c>
      <c r="J1438" s="1">
        <v>281</v>
      </c>
      <c r="K1438" s="1">
        <v>116</v>
      </c>
      <c r="L1438" s="1">
        <v>74</v>
      </c>
      <c r="M1438" s="1" t="s">
        <v>41</v>
      </c>
      <c r="N1438" s="1" t="s">
        <v>60</v>
      </c>
      <c r="O1438" t="s">
        <v>227</v>
      </c>
      <c r="P1438" s="2">
        <v>31.01</v>
      </c>
      <c r="Q1438" s="1" t="str">
        <f>IF(J91&gt;K91,"YES","NO")</f>
        <v>YES</v>
      </c>
      <c r="R1438" s="2">
        <f>IF(Q91="YES",G91*0.9,G91)</f>
        <v>39.869999999999997</v>
      </c>
      <c r="S1438" s="2">
        <f>J91*G91</f>
        <v>12448.3</v>
      </c>
      <c r="T1438" s="1">
        <f ca="1">TODAY()-DATE(MID(O91,7,4),MID(O91,4,2),LEFT(O91,2))</f>
        <v>132</v>
      </c>
      <c r="U1438" s="1" t="s">
        <v>34</v>
      </c>
      <c r="V1438" s="1" t="s">
        <v>34</v>
      </c>
      <c r="W1438" s="1" t="s">
        <v>34</v>
      </c>
      <c r="X1438" t="s">
        <v>2616</v>
      </c>
      <c r="Y1438" s="1">
        <v>5.5</v>
      </c>
    </row>
    <row r="1439" spans="1:25" x14ac:dyDescent="0.3">
      <c r="A1439" s="1" t="s">
        <v>2453</v>
      </c>
      <c r="B1439" s="1" t="s">
        <v>130</v>
      </c>
      <c r="C1439" s="1" t="s">
        <v>131</v>
      </c>
      <c r="D1439" s="1" t="s">
        <v>132</v>
      </c>
      <c r="E1439" s="1" t="s">
        <v>74</v>
      </c>
      <c r="F1439" s="1" t="s">
        <v>48</v>
      </c>
      <c r="G1439" s="2">
        <v>143.88999999999999</v>
      </c>
      <c r="H1439" s="1">
        <v>15</v>
      </c>
      <c r="I1439" s="1">
        <v>147</v>
      </c>
      <c r="J1439" s="1">
        <v>124</v>
      </c>
      <c r="K1439" s="1">
        <v>83</v>
      </c>
      <c r="L1439" s="1">
        <v>135</v>
      </c>
      <c r="M1439" s="1" t="s">
        <v>41</v>
      </c>
      <c r="N1439" s="1" t="s">
        <v>42</v>
      </c>
      <c r="O1439" t="s">
        <v>133</v>
      </c>
      <c r="P1439" s="2">
        <v>100.72</v>
      </c>
      <c r="Q1439" s="1" t="str">
        <f>IF(J29&gt;K29,"YES","NO")</f>
        <v>YES</v>
      </c>
      <c r="R1439" s="2">
        <f>IF(Q29="YES",G29*0.9,G29)</f>
        <v>129.501</v>
      </c>
      <c r="S1439" s="2">
        <f>J29*G29</f>
        <v>17842.359999999997</v>
      </c>
      <c r="T1439" s="1">
        <f ca="1">TODAY()-DATE(MID(O29,7,4),MID(O29,4,2),LEFT(O29,2))</f>
        <v>76</v>
      </c>
      <c r="U1439" s="1" t="s">
        <v>34</v>
      </c>
      <c r="V1439" s="1" t="s">
        <v>34</v>
      </c>
      <c r="W1439" s="1" t="s">
        <v>34</v>
      </c>
      <c r="X1439" t="s">
        <v>2735</v>
      </c>
      <c r="Y1439" s="1">
        <v>9.5</v>
      </c>
    </row>
    <row r="1440" spans="1:25" x14ac:dyDescent="0.3">
      <c r="A1440" s="1" t="s">
        <v>2454</v>
      </c>
      <c r="B1440" s="1" t="s">
        <v>72</v>
      </c>
      <c r="C1440" s="1" t="s">
        <v>73</v>
      </c>
      <c r="D1440" s="1" t="s">
        <v>47</v>
      </c>
      <c r="E1440" s="1" t="s">
        <v>29</v>
      </c>
      <c r="F1440" s="1" t="s">
        <v>54</v>
      </c>
      <c r="G1440" s="2">
        <v>407.16</v>
      </c>
      <c r="H1440" s="1">
        <v>16</v>
      </c>
      <c r="I1440" s="1">
        <v>96</v>
      </c>
      <c r="J1440" s="1">
        <v>96</v>
      </c>
      <c r="K1440" s="1">
        <v>58</v>
      </c>
      <c r="L1440" s="1">
        <v>76</v>
      </c>
      <c r="M1440" s="1" t="s">
        <v>41</v>
      </c>
      <c r="N1440" s="1" t="s">
        <v>32</v>
      </c>
      <c r="O1440" t="s">
        <v>209</v>
      </c>
      <c r="P1440" s="2">
        <v>285.01</v>
      </c>
      <c r="Q1440" s="1" t="str">
        <f>IF(J474&gt;K474,"YES","NO")</f>
        <v>YES</v>
      </c>
      <c r="R1440" s="2">
        <f>IF(Q474="YES",G474*0.9,G474)</f>
        <v>366.44400000000002</v>
      </c>
      <c r="S1440" s="2">
        <f>J474*G474</f>
        <v>39087.360000000001</v>
      </c>
      <c r="T1440" s="1">
        <f ca="1">TODAY()-DATE(MID(O474,7,4),MID(O474,4,2),LEFT(O474,2))</f>
        <v>127</v>
      </c>
      <c r="U1440" s="1" t="s">
        <v>34</v>
      </c>
      <c r="V1440" s="1" t="s">
        <v>34</v>
      </c>
      <c r="W1440" s="1" t="s">
        <v>34</v>
      </c>
      <c r="X1440" t="s">
        <v>2722</v>
      </c>
      <c r="Y1440" s="1">
        <v>7</v>
      </c>
    </row>
    <row r="1441" spans="1:25" x14ac:dyDescent="0.3">
      <c r="A1441" s="1" t="s">
        <v>2455</v>
      </c>
      <c r="B1441" s="1" t="s">
        <v>123</v>
      </c>
      <c r="C1441" s="1" t="s">
        <v>124</v>
      </c>
      <c r="D1441" s="1" t="s">
        <v>47</v>
      </c>
      <c r="E1441" s="1" t="s">
        <v>29</v>
      </c>
      <c r="F1441" s="1" t="s">
        <v>48</v>
      </c>
      <c r="G1441" s="2">
        <v>394.34</v>
      </c>
      <c r="H1441" s="1">
        <v>16</v>
      </c>
      <c r="I1441" s="1">
        <v>104</v>
      </c>
      <c r="J1441" s="1">
        <v>77</v>
      </c>
      <c r="K1441" s="1">
        <v>80</v>
      </c>
      <c r="L1441" s="1">
        <v>108</v>
      </c>
      <c r="M1441" s="1" t="s">
        <v>49</v>
      </c>
      <c r="N1441" s="1" t="s">
        <v>60</v>
      </c>
      <c r="O1441" t="s">
        <v>113</v>
      </c>
      <c r="P1441" s="2">
        <v>276.04000000000002</v>
      </c>
      <c r="Q1441" s="1" t="str">
        <f>IF(J301&gt;K301,"YES","NO")</f>
        <v>NO</v>
      </c>
      <c r="R1441" s="2">
        <f>IF(Q301="YES",G301*0.9,G301)</f>
        <v>394.34</v>
      </c>
      <c r="S1441" s="2">
        <f>J301*G301</f>
        <v>30364.179999999997</v>
      </c>
      <c r="T1441" s="1">
        <f ca="1">TODAY()-DATE(MID(O301,7,4),MID(O301,4,2),LEFT(O301,2))</f>
        <v>82</v>
      </c>
      <c r="U1441" s="1" t="s">
        <v>34</v>
      </c>
      <c r="V1441" s="1" t="s">
        <v>34</v>
      </c>
      <c r="W1441" s="1" t="s">
        <v>34</v>
      </c>
      <c r="X1441" t="s">
        <v>2574</v>
      </c>
      <c r="Y1441" s="1">
        <v>5.5</v>
      </c>
    </row>
    <row r="1442" spans="1:25" x14ac:dyDescent="0.3">
      <c r="A1442" s="1" t="s">
        <v>2456</v>
      </c>
      <c r="B1442" s="1" t="s">
        <v>166</v>
      </c>
      <c r="C1442" s="1" t="s">
        <v>167</v>
      </c>
      <c r="D1442" s="1" t="s">
        <v>59</v>
      </c>
      <c r="E1442" s="1" t="s">
        <v>74</v>
      </c>
      <c r="F1442" s="1" t="s">
        <v>48</v>
      </c>
      <c r="G1442" s="2">
        <v>107.5</v>
      </c>
      <c r="H1442" s="1">
        <v>19</v>
      </c>
      <c r="I1442" s="1">
        <v>282</v>
      </c>
      <c r="J1442" s="1">
        <v>282</v>
      </c>
      <c r="K1442" s="1">
        <v>115</v>
      </c>
      <c r="L1442" s="1">
        <v>50</v>
      </c>
      <c r="M1442" s="1" t="s">
        <v>49</v>
      </c>
      <c r="N1442" s="1" t="s">
        <v>60</v>
      </c>
      <c r="O1442" t="s">
        <v>185</v>
      </c>
      <c r="P1442" s="2">
        <v>75.25</v>
      </c>
      <c r="Q1442" s="1" t="str">
        <f>IF(J600&gt;K600,"YES","NO")</f>
        <v>YES</v>
      </c>
      <c r="R1442" s="2">
        <f>IF(Q600="YES",G600*0.9,G600)</f>
        <v>96.75</v>
      </c>
      <c r="S1442" s="2">
        <f>J600*G600</f>
        <v>30315</v>
      </c>
      <c r="T1442" s="1">
        <f ca="1">TODAY()-DATE(MID(O600,7,4),MID(O600,4,2),LEFT(O600,2))</f>
        <v>104</v>
      </c>
      <c r="U1442" s="1" t="s">
        <v>34</v>
      </c>
      <c r="V1442" s="1" t="s">
        <v>34</v>
      </c>
      <c r="W1442" s="1" t="s">
        <v>34</v>
      </c>
      <c r="X1442" t="s">
        <v>2762</v>
      </c>
      <c r="Y1442" s="1">
        <v>5</v>
      </c>
    </row>
    <row r="1443" spans="1:25" x14ac:dyDescent="0.3">
      <c r="A1443" s="1" t="s">
        <v>2457</v>
      </c>
      <c r="B1443" s="1" t="s">
        <v>69</v>
      </c>
      <c r="C1443" s="1" t="s">
        <v>70</v>
      </c>
      <c r="D1443" s="1" t="s">
        <v>59</v>
      </c>
      <c r="E1443" s="1" t="s">
        <v>40</v>
      </c>
      <c r="F1443" s="1" t="s">
        <v>54</v>
      </c>
      <c r="G1443" s="2">
        <v>195.71</v>
      </c>
      <c r="H1443" s="1">
        <v>1</v>
      </c>
      <c r="I1443" s="1">
        <v>193</v>
      </c>
      <c r="J1443" s="1">
        <v>160</v>
      </c>
      <c r="K1443" s="1">
        <v>92</v>
      </c>
      <c r="L1443" s="1">
        <v>101</v>
      </c>
      <c r="M1443" s="1" t="s">
        <v>49</v>
      </c>
      <c r="N1443" s="1" t="s">
        <v>60</v>
      </c>
      <c r="O1443" t="s">
        <v>203</v>
      </c>
      <c r="P1443" s="2">
        <v>137</v>
      </c>
      <c r="Q1443" s="1" t="str">
        <f>IF(J527&gt;K527,"YES","NO")</f>
        <v>YES</v>
      </c>
      <c r="R1443" s="2">
        <f>IF(Q527="YES",G527*0.9,G527)</f>
        <v>176.13900000000001</v>
      </c>
      <c r="S1443" s="2">
        <f>J527*G527</f>
        <v>31313.600000000002</v>
      </c>
      <c r="T1443" s="1">
        <f ca="1">TODAY()-DATE(MID(O527,7,4),MID(O527,4,2),LEFT(O527,2))</f>
        <v>102</v>
      </c>
      <c r="U1443" s="1" t="s">
        <v>34</v>
      </c>
      <c r="V1443" s="1" t="s">
        <v>34</v>
      </c>
      <c r="W1443" s="1" t="s">
        <v>34</v>
      </c>
      <c r="X1443" t="s">
        <v>2662</v>
      </c>
      <c r="Y1443" s="1">
        <v>8.5</v>
      </c>
    </row>
    <row r="1444" spans="1:25" x14ac:dyDescent="0.3">
      <c r="A1444" s="1" t="s">
        <v>2458</v>
      </c>
      <c r="B1444" s="1" t="s">
        <v>77</v>
      </c>
      <c r="C1444" s="1" t="s">
        <v>78</v>
      </c>
      <c r="D1444" s="1" t="s">
        <v>47</v>
      </c>
      <c r="E1444" s="1" t="s">
        <v>74</v>
      </c>
      <c r="F1444" s="1" t="s">
        <v>48</v>
      </c>
      <c r="G1444" s="2">
        <v>333.68</v>
      </c>
      <c r="H1444" s="1">
        <v>18</v>
      </c>
      <c r="I1444" s="1">
        <v>125</v>
      </c>
      <c r="J1444" s="1">
        <v>112</v>
      </c>
      <c r="K1444" s="1">
        <v>57</v>
      </c>
      <c r="L1444" s="1">
        <v>145</v>
      </c>
      <c r="M1444" s="1" t="s">
        <v>49</v>
      </c>
      <c r="N1444" s="1" t="s">
        <v>60</v>
      </c>
      <c r="O1444" t="s">
        <v>133</v>
      </c>
      <c r="P1444" s="2">
        <v>233.58</v>
      </c>
      <c r="Q1444" s="1" t="str">
        <f>IF(J632&gt;K632,"YES","NO")</f>
        <v>YES</v>
      </c>
      <c r="R1444" s="2">
        <f>IF(Q632="YES",G632*0.9,G632)</f>
        <v>300.31200000000001</v>
      </c>
      <c r="S1444" s="2">
        <f>J632*G632</f>
        <v>37372.160000000003</v>
      </c>
      <c r="T1444" s="1">
        <f ca="1">TODAY()-DATE(MID(O632,7,4),MID(O632,4,2),LEFT(O632,2))</f>
        <v>76</v>
      </c>
      <c r="U1444" s="1" t="s">
        <v>34</v>
      </c>
      <c r="V1444" s="1" t="s">
        <v>34</v>
      </c>
      <c r="W1444" s="1" t="s">
        <v>34</v>
      </c>
      <c r="X1444" t="s">
        <v>2635</v>
      </c>
      <c r="Y1444" s="1">
        <v>6</v>
      </c>
    </row>
    <row r="1445" spans="1:25" x14ac:dyDescent="0.3">
      <c r="A1445" s="1" t="s">
        <v>2459</v>
      </c>
      <c r="B1445" s="1" t="s">
        <v>262</v>
      </c>
      <c r="C1445" s="1" t="s">
        <v>263</v>
      </c>
      <c r="D1445" s="1" t="s">
        <v>104</v>
      </c>
      <c r="E1445" s="1" t="s">
        <v>40</v>
      </c>
      <c r="F1445" s="1" t="s">
        <v>48</v>
      </c>
      <c r="G1445" s="2">
        <v>392.32</v>
      </c>
      <c r="H1445" s="1">
        <v>19</v>
      </c>
      <c r="I1445" s="1">
        <v>182</v>
      </c>
      <c r="J1445" s="1">
        <v>175</v>
      </c>
      <c r="K1445" s="1">
        <v>71</v>
      </c>
      <c r="L1445" s="1">
        <v>56</v>
      </c>
      <c r="M1445" s="1" t="s">
        <v>41</v>
      </c>
      <c r="N1445" s="1" t="s">
        <v>32</v>
      </c>
      <c r="O1445" t="s">
        <v>857</v>
      </c>
      <c r="P1445" s="2">
        <v>274.62</v>
      </c>
      <c r="Q1445" s="1" t="str">
        <f>IF(J671&gt;K671,"YES","NO")</f>
        <v>YES</v>
      </c>
      <c r="R1445" s="2">
        <f>IF(Q671="YES",G671*0.9,G671)</f>
        <v>353.08800000000002</v>
      </c>
      <c r="S1445" s="2">
        <f>J671*G671</f>
        <v>68656</v>
      </c>
      <c r="T1445" s="1">
        <f ca="1">TODAY()-DATE(MID(O671,7,4),MID(O671,4,2),LEFT(O671,2))</f>
        <v>66</v>
      </c>
      <c r="U1445" s="1" t="s">
        <v>34</v>
      </c>
      <c r="V1445" s="1" t="s">
        <v>34</v>
      </c>
      <c r="W1445" s="1" t="s">
        <v>34</v>
      </c>
      <c r="X1445" t="s">
        <v>2750</v>
      </c>
      <c r="Y1445" s="1">
        <v>5.5</v>
      </c>
    </row>
    <row r="1446" spans="1:25" x14ac:dyDescent="0.3">
      <c r="A1446" s="1" t="s">
        <v>2460</v>
      </c>
      <c r="B1446" s="1" t="s">
        <v>172</v>
      </c>
      <c r="C1446" s="1" t="s">
        <v>173</v>
      </c>
      <c r="D1446" s="1" t="s">
        <v>132</v>
      </c>
      <c r="E1446" s="1" t="s">
        <v>40</v>
      </c>
      <c r="F1446" s="1" t="s">
        <v>54</v>
      </c>
      <c r="G1446" s="2">
        <v>446.07</v>
      </c>
      <c r="H1446" s="1">
        <v>20</v>
      </c>
      <c r="I1446" s="1">
        <v>84</v>
      </c>
      <c r="J1446" s="1">
        <v>80</v>
      </c>
      <c r="K1446" s="1">
        <v>71</v>
      </c>
      <c r="L1446" s="1">
        <v>92</v>
      </c>
      <c r="M1446" s="1" t="s">
        <v>41</v>
      </c>
      <c r="N1446" s="1" t="s">
        <v>60</v>
      </c>
      <c r="O1446" t="s">
        <v>135</v>
      </c>
      <c r="P1446" s="2">
        <v>312.25</v>
      </c>
      <c r="Q1446" s="1" t="str">
        <f>IF(J347&gt;K347,"YES","NO")</f>
        <v>YES</v>
      </c>
      <c r="R1446" s="2">
        <f>IF(Q347="YES",G347*0.9,G347)</f>
        <v>401.46300000000002</v>
      </c>
      <c r="S1446" s="2">
        <f>J347*G347</f>
        <v>35685.599999999999</v>
      </c>
      <c r="T1446" s="1">
        <f ca="1">TODAY()-DATE(MID(O347,7,4),MID(O347,4,2),LEFT(O347,2))</f>
        <v>71</v>
      </c>
      <c r="U1446" s="1" t="s">
        <v>34</v>
      </c>
      <c r="V1446" s="1" t="s">
        <v>34</v>
      </c>
      <c r="W1446" s="1" t="s">
        <v>34</v>
      </c>
      <c r="X1446" t="s">
        <v>2752</v>
      </c>
      <c r="Y1446" s="1">
        <v>8.5</v>
      </c>
    </row>
    <row r="1447" spans="1:25" x14ac:dyDescent="0.3">
      <c r="A1447" s="1" t="s">
        <v>2461</v>
      </c>
      <c r="B1447" s="1" t="s">
        <v>262</v>
      </c>
      <c r="C1447" s="1" t="s">
        <v>263</v>
      </c>
      <c r="D1447" s="1" t="s">
        <v>104</v>
      </c>
      <c r="E1447" s="1" t="s">
        <v>40</v>
      </c>
      <c r="F1447" s="1" t="s">
        <v>30</v>
      </c>
      <c r="G1447" s="2">
        <v>486.74</v>
      </c>
      <c r="H1447" s="1">
        <v>3</v>
      </c>
      <c r="I1447" s="1">
        <v>123</v>
      </c>
      <c r="J1447" s="1">
        <v>105</v>
      </c>
      <c r="K1447" s="1">
        <v>85</v>
      </c>
      <c r="L1447" s="1">
        <v>127</v>
      </c>
      <c r="M1447" s="1" t="s">
        <v>41</v>
      </c>
      <c r="N1447" s="1" t="s">
        <v>60</v>
      </c>
      <c r="O1447" t="s">
        <v>157</v>
      </c>
      <c r="P1447" s="2">
        <v>340.72</v>
      </c>
      <c r="Q1447" s="1" t="str">
        <f>IF(J363&gt;K363,"YES","NO")</f>
        <v>YES</v>
      </c>
      <c r="R1447" s="2">
        <f>IF(Q363="YES",G363*0.9,G363)</f>
        <v>438.06600000000003</v>
      </c>
      <c r="S1447" s="2">
        <f>J363*G363</f>
        <v>51107.700000000004</v>
      </c>
      <c r="T1447" s="1">
        <f ca="1">TODAY()-DATE(MID(O363,7,4),MID(O363,4,2),LEFT(O363,2))</f>
        <v>103</v>
      </c>
      <c r="U1447" s="1" t="s">
        <v>34</v>
      </c>
      <c r="V1447" s="1" t="s">
        <v>34</v>
      </c>
      <c r="W1447" s="1" t="s">
        <v>34</v>
      </c>
      <c r="X1447" t="s">
        <v>2768</v>
      </c>
      <c r="Y1447" s="1">
        <v>6.5</v>
      </c>
    </row>
    <row r="1448" spans="1:25" x14ac:dyDescent="0.3">
      <c r="A1448" s="1" t="s">
        <v>2462</v>
      </c>
      <c r="B1448" s="1" t="s">
        <v>45</v>
      </c>
      <c r="C1448" s="1" t="s">
        <v>46</v>
      </c>
      <c r="D1448" s="1" t="s">
        <v>47</v>
      </c>
      <c r="E1448" s="1" t="s">
        <v>29</v>
      </c>
      <c r="F1448" s="1" t="s">
        <v>48</v>
      </c>
      <c r="G1448" s="2">
        <v>57.66</v>
      </c>
      <c r="H1448" s="1">
        <v>4</v>
      </c>
      <c r="I1448" s="1">
        <v>292</v>
      </c>
      <c r="J1448" s="1">
        <v>262</v>
      </c>
      <c r="K1448" s="1">
        <v>65</v>
      </c>
      <c r="L1448" s="1">
        <v>123</v>
      </c>
      <c r="M1448" s="1" t="s">
        <v>41</v>
      </c>
      <c r="N1448" s="1" t="s">
        <v>60</v>
      </c>
      <c r="O1448" t="s">
        <v>292</v>
      </c>
      <c r="P1448" s="2">
        <v>40.36</v>
      </c>
      <c r="Q1448" s="1" t="str">
        <f>IF(J787&gt;K787,"YES","NO")</f>
        <v>YES</v>
      </c>
      <c r="R1448" s="2">
        <f>IF(Q787="YES",G787*0.9,G787)</f>
        <v>51.893999999999998</v>
      </c>
      <c r="S1448" s="2">
        <f>J787*G787</f>
        <v>15106.919999999998</v>
      </c>
      <c r="T1448" s="1">
        <f ca="1">TODAY()-DATE(MID(O787,7,4),MID(O787,4,2),LEFT(O787,2))</f>
        <v>83</v>
      </c>
      <c r="U1448" s="1" t="s">
        <v>34</v>
      </c>
      <c r="V1448" s="1" t="s">
        <v>34</v>
      </c>
      <c r="W1448" s="1" t="s">
        <v>34</v>
      </c>
      <c r="X1448" t="s">
        <v>2700</v>
      </c>
      <c r="Y1448" s="1">
        <v>8.5</v>
      </c>
    </row>
    <row r="1449" spans="1:25" x14ac:dyDescent="0.3">
      <c r="A1449" s="1" t="s">
        <v>2463</v>
      </c>
      <c r="B1449" s="1" t="s">
        <v>176</v>
      </c>
      <c r="C1449" s="1" t="s">
        <v>177</v>
      </c>
      <c r="D1449" s="1" t="s">
        <v>39</v>
      </c>
      <c r="E1449" s="1" t="s">
        <v>29</v>
      </c>
      <c r="F1449" s="1" t="s">
        <v>54</v>
      </c>
      <c r="G1449" s="2">
        <v>465.54</v>
      </c>
      <c r="H1449" s="1">
        <v>19</v>
      </c>
      <c r="I1449" s="1">
        <v>205</v>
      </c>
      <c r="J1449" s="1">
        <v>181</v>
      </c>
      <c r="K1449" s="1">
        <v>45</v>
      </c>
      <c r="L1449" s="1">
        <v>136</v>
      </c>
      <c r="M1449" s="1" t="s">
        <v>49</v>
      </c>
      <c r="N1449" s="1" t="s">
        <v>60</v>
      </c>
      <c r="O1449" t="s">
        <v>272</v>
      </c>
      <c r="P1449" s="2">
        <v>325.88</v>
      </c>
      <c r="Q1449" s="1" t="str">
        <f>IF(J487&gt;K487,"YES","NO")</f>
        <v>YES</v>
      </c>
      <c r="R1449" s="2">
        <f>IF(Q487="YES",G487*0.9,G487)</f>
        <v>418.98600000000005</v>
      </c>
      <c r="S1449" s="2">
        <f>J487*G487</f>
        <v>84262.74</v>
      </c>
      <c r="T1449" s="1">
        <f ca="1">TODAY()-DATE(MID(O487,7,4),MID(O487,4,2),LEFT(O487,2))</f>
        <v>72</v>
      </c>
      <c r="U1449" s="1" t="s">
        <v>34</v>
      </c>
      <c r="V1449" s="1" t="s">
        <v>34</v>
      </c>
      <c r="W1449" s="1" t="s">
        <v>34</v>
      </c>
      <c r="X1449" t="s">
        <v>2629</v>
      </c>
      <c r="Y1449" s="1">
        <v>8.5</v>
      </c>
    </row>
    <row r="1450" spans="1:25" x14ac:dyDescent="0.3">
      <c r="A1450" s="1" t="s">
        <v>2464</v>
      </c>
      <c r="B1450" s="1" t="s">
        <v>37</v>
      </c>
      <c r="C1450" s="1" t="s">
        <v>38</v>
      </c>
      <c r="D1450" s="1" t="s">
        <v>39</v>
      </c>
      <c r="E1450" s="1" t="s">
        <v>40</v>
      </c>
      <c r="F1450" s="1" t="s">
        <v>54</v>
      </c>
      <c r="G1450" s="2">
        <v>353.91</v>
      </c>
      <c r="H1450" s="1">
        <v>16</v>
      </c>
      <c r="I1450" s="1">
        <v>144</v>
      </c>
      <c r="J1450" s="1">
        <v>138</v>
      </c>
      <c r="K1450" s="1">
        <v>100</v>
      </c>
      <c r="L1450" s="1">
        <v>119</v>
      </c>
      <c r="M1450" s="1" t="s">
        <v>49</v>
      </c>
      <c r="N1450" s="1" t="s">
        <v>42</v>
      </c>
      <c r="O1450" t="s">
        <v>302</v>
      </c>
      <c r="P1450" s="2">
        <v>247.74</v>
      </c>
      <c r="Q1450" s="1" t="str">
        <f>IF(J680&gt;K680,"YES","NO")</f>
        <v>YES</v>
      </c>
      <c r="R1450" s="2">
        <f>IF(Q680="YES",G680*0.9,G680)</f>
        <v>318.51900000000001</v>
      </c>
      <c r="S1450" s="2">
        <f>J680*G680</f>
        <v>48839.58</v>
      </c>
      <c r="T1450" s="1">
        <f ca="1">TODAY()-DATE(MID(O680,7,4),MID(O680,4,2),LEFT(O680,2))</f>
        <v>133</v>
      </c>
      <c r="U1450" s="1" t="s">
        <v>34</v>
      </c>
      <c r="V1450" s="1" t="s">
        <v>34</v>
      </c>
      <c r="W1450" s="1" t="s">
        <v>34</v>
      </c>
      <c r="X1450" t="s">
        <v>2745</v>
      </c>
      <c r="Y1450" s="1">
        <v>5</v>
      </c>
    </row>
    <row r="1451" spans="1:25" x14ac:dyDescent="0.3">
      <c r="A1451" s="1" t="s">
        <v>2465</v>
      </c>
      <c r="B1451" s="1" t="s">
        <v>262</v>
      </c>
      <c r="C1451" s="1" t="s">
        <v>263</v>
      </c>
      <c r="D1451" s="1" t="s">
        <v>104</v>
      </c>
      <c r="E1451" s="1" t="s">
        <v>40</v>
      </c>
      <c r="F1451" s="1" t="s">
        <v>30</v>
      </c>
      <c r="G1451" s="2">
        <v>70.599999999999994</v>
      </c>
      <c r="H1451" s="1">
        <v>2</v>
      </c>
      <c r="I1451" s="1">
        <v>151</v>
      </c>
      <c r="J1451" s="1">
        <v>134</v>
      </c>
      <c r="K1451" s="1">
        <v>40</v>
      </c>
      <c r="L1451" s="1">
        <v>88</v>
      </c>
      <c r="M1451" s="1" t="s">
        <v>49</v>
      </c>
      <c r="N1451" s="1" t="s">
        <v>32</v>
      </c>
      <c r="O1451" t="s">
        <v>207</v>
      </c>
      <c r="P1451" s="2">
        <v>49.42</v>
      </c>
      <c r="Q1451" s="1" t="str">
        <f>IF(J714&gt;K714,"YES","NO")</f>
        <v>YES</v>
      </c>
      <c r="R1451" s="2">
        <f>IF(Q714="YES",G714*0.9,G714)</f>
        <v>63.54</v>
      </c>
      <c r="S1451" s="2">
        <f>J714*G714</f>
        <v>9460.4</v>
      </c>
      <c r="T1451" s="1">
        <f ca="1">TODAY()-DATE(MID(O714,7,4),MID(O714,4,2),LEFT(O714,2))</f>
        <v>98</v>
      </c>
      <c r="U1451" s="1" t="s">
        <v>34</v>
      </c>
      <c r="V1451" s="1" t="s">
        <v>34</v>
      </c>
      <c r="W1451" s="1" t="s">
        <v>34</v>
      </c>
      <c r="X1451" t="s">
        <v>2593</v>
      </c>
      <c r="Y1451" s="1">
        <v>7</v>
      </c>
    </row>
    <row r="1452" spans="1:25" x14ac:dyDescent="0.3">
      <c r="A1452" s="1" t="s">
        <v>2466</v>
      </c>
      <c r="B1452" s="1" t="s">
        <v>172</v>
      </c>
      <c r="C1452" s="1" t="s">
        <v>173</v>
      </c>
      <c r="D1452" s="1" t="s">
        <v>132</v>
      </c>
      <c r="E1452" s="1" t="s">
        <v>40</v>
      </c>
      <c r="F1452" s="1" t="s">
        <v>54</v>
      </c>
      <c r="G1452" s="2">
        <v>446.07</v>
      </c>
      <c r="H1452" s="1">
        <v>20</v>
      </c>
      <c r="I1452" s="1">
        <v>84</v>
      </c>
      <c r="J1452" s="1">
        <v>80</v>
      </c>
      <c r="K1452" s="1">
        <v>71</v>
      </c>
      <c r="L1452" s="1">
        <v>92</v>
      </c>
      <c r="M1452" s="1" t="s">
        <v>41</v>
      </c>
      <c r="N1452" s="1" t="s">
        <v>60</v>
      </c>
      <c r="O1452" t="s">
        <v>135</v>
      </c>
      <c r="P1452" s="2">
        <v>312.25</v>
      </c>
      <c r="Q1452" s="1" t="str">
        <f>IF(J347&gt;K347,"YES","NO")</f>
        <v>YES</v>
      </c>
      <c r="R1452" s="2">
        <f>IF(Q347="YES",G347*0.9,G347)</f>
        <v>401.46300000000002</v>
      </c>
      <c r="S1452" s="2">
        <f>J347*G347</f>
        <v>35685.599999999999</v>
      </c>
      <c r="T1452" s="1">
        <f ca="1">TODAY()-DATE(MID(O347,7,4),MID(O347,4,2),LEFT(O347,2))</f>
        <v>71</v>
      </c>
      <c r="U1452" s="1" t="s">
        <v>34</v>
      </c>
      <c r="V1452" s="1" t="s">
        <v>34</v>
      </c>
      <c r="W1452" s="1" t="s">
        <v>34</v>
      </c>
      <c r="X1452" t="s">
        <v>2926</v>
      </c>
      <c r="Y1452" s="1">
        <v>8.5</v>
      </c>
    </row>
    <row r="1453" spans="1:25" x14ac:dyDescent="0.3">
      <c r="A1453" s="1" t="s">
        <v>2467</v>
      </c>
      <c r="B1453" s="1" t="s">
        <v>123</v>
      </c>
      <c r="C1453" s="1" t="s">
        <v>124</v>
      </c>
      <c r="D1453" s="1" t="s">
        <v>47</v>
      </c>
      <c r="E1453" s="1" t="s">
        <v>29</v>
      </c>
      <c r="F1453" s="1" t="s">
        <v>30</v>
      </c>
      <c r="G1453" s="2">
        <v>396.83</v>
      </c>
      <c r="H1453" s="1">
        <v>7</v>
      </c>
      <c r="I1453" s="1">
        <v>219</v>
      </c>
      <c r="J1453" s="1">
        <v>181</v>
      </c>
      <c r="K1453" s="1">
        <v>78</v>
      </c>
      <c r="L1453" s="1">
        <v>51</v>
      </c>
      <c r="M1453" s="1" t="s">
        <v>31</v>
      </c>
      <c r="N1453" s="1" t="s">
        <v>42</v>
      </c>
      <c r="O1453" t="s">
        <v>227</v>
      </c>
      <c r="P1453" s="2">
        <v>277.77999999999997</v>
      </c>
      <c r="Q1453" s="1" t="str">
        <f>IF(J128&gt;K128,"YES","NO")</f>
        <v>YES</v>
      </c>
      <c r="R1453" s="2">
        <f>IF(Q128="YES",G128*0.9,G128)</f>
        <v>357.14699999999999</v>
      </c>
      <c r="S1453" s="2">
        <f>J128*G128</f>
        <v>71826.23</v>
      </c>
      <c r="T1453" s="1">
        <f ca="1">TODAY()-DATE(MID(O128,7,4),MID(O128,4,2),LEFT(O128,2))</f>
        <v>132</v>
      </c>
      <c r="U1453" s="1" t="s">
        <v>34</v>
      </c>
      <c r="V1453" s="1" t="s">
        <v>34</v>
      </c>
      <c r="W1453" s="1" t="s">
        <v>34</v>
      </c>
      <c r="X1453" t="s">
        <v>2847</v>
      </c>
      <c r="Y1453" s="1">
        <v>9</v>
      </c>
    </row>
    <row r="1454" spans="1:25" x14ac:dyDescent="0.3">
      <c r="A1454" s="1" t="s">
        <v>2468</v>
      </c>
      <c r="B1454" s="1" t="s">
        <v>197</v>
      </c>
      <c r="C1454" s="1" t="s">
        <v>198</v>
      </c>
      <c r="D1454" s="1" t="s">
        <v>104</v>
      </c>
      <c r="E1454" s="1" t="s">
        <v>40</v>
      </c>
      <c r="F1454" s="1" t="s">
        <v>54</v>
      </c>
      <c r="G1454" s="2">
        <v>496.17</v>
      </c>
      <c r="H1454" s="1">
        <v>5</v>
      </c>
      <c r="I1454" s="1">
        <v>287</v>
      </c>
      <c r="J1454" s="1">
        <v>261</v>
      </c>
      <c r="K1454" s="1">
        <v>61</v>
      </c>
      <c r="L1454" s="1">
        <v>102</v>
      </c>
      <c r="M1454" s="1" t="s">
        <v>41</v>
      </c>
      <c r="N1454" s="1" t="s">
        <v>42</v>
      </c>
      <c r="O1454" t="s">
        <v>289</v>
      </c>
      <c r="P1454" s="2">
        <v>347.32</v>
      </c>
      <c r="Q1454" s="1" t="str">
        <f>IF(J719&gt;K719,"YES","NO")</f>
        <v>YES</v>
      </c>
      <c r="R1454" s="2">
        <f>IF(Q719="YES",G719*0.9,G719)</f>
        <v>446.553</v>
      </c>
      <c r="S1454" s="2">
        <f>J719*G719</f>
        <v>129500.37000000001</v>
      </c>
      <c r="T1454" s="1">
        <f ca="1">TODAY()-DATE(MID(O719,7,4),MID(O719,4,2),LEFT(O719,2))</f>
        <v>92</v>
      </c>
      <c r="U1454" s="1" t="s">
        <v>34</v>
      </c>
      <c r="V1454" s="1" t="s">
        <v>34</v>
      </c>
      <c r="W1454" s="1" t="s">
        <v>34</v>
      </c>
      <c r="X1454" t="s">
        <v>2897</v>
      </c>
      <c r="Y1454" s="1">
        <v>9.5</v>
      </c>
    </row>
    <row r="1455" spans="1:25" x14ac:dyDescent="0.3">
      <c r="A1455" s="1" t="s">
        <v>2469</v>
      </c>
      <c r="B1455" s="1" t="s">
        <v>72</v>
      </c>
      <c r="C1455" s="1" t="s">
        <v>73</v>
      </c>
      <c r="D1455" s="1" t="s">
        <v>47</v>
      </c>
      <c r="E1455" s="1" t="s">
        <v>74</v>
      </c>
      <c r="F1455" s="1" t="s">
        <v>54</v>
      </c>
      <c r="G1455" s="2">
        <v>263.94</v>
      </c>
      <c r="H1455" s="1">
        <v>22</v>
      </c>
      <c r="I1455" s="1">
        <v>178</v>
      </c>
      <c r="J1455" s="1">
        <v>144</v>
      </c>
      <c r="K1455" s="1">
        <v>84</v>
      </c>
      <c r="L1455" s="1">
        <v>134</v>
      </c>
      <c r="M1455" s="1" t="s">
        <v>41</v>
      </c>
      <c r="N1455" s="1" t="s">
        <v>60</v>
      </c>
      <c r="O1455" t="s">
        <v>292</v>
      </c>
      <c r="P1455" s="2">
        <v>184.76</v>
      </c>
      <c r="Q1455" s="1" t="str">
        <f>IF(J790&gt;K790,"YES","NO")</f>
        <v>YES</v>
      </c>
      <c r="R1455" s="2">
        <f>IF(Q790="YES",G790*0.9,G790)</f>
        <v>237.54599999999999</v>
      </c>
      <c r="S1455" s="2">
        <f>J790*G790</f>
        <v>38007.360000000001</v>
      </c>
      <c r="T1455" s="1">
        <f ca="1">TODAY()-DATE(MID(O790,7,4),MID(O790,4,2),LEFT(O790,2))</f>
        <v>83</v>
      </c>
      <c r="U1455" s="1" t="s">
        <v>34</v>
      </c>
      <c r="V1455" s="1" t="s">
        <v>34</v>
      </c>
      <c r="W1455" s="1" t="s">
        <v>34</v>
      </c>
      <c r="X1455" t="s">
        <v>2688</v>
      </c>
      <c r="Y1455" s="1">
        <v>5</v>
      </c>
    </row>
    <row r="1456" spans="1:25" x14ac:dyDescent="0.3">
      <c r="A1456" s="1" t="s">
        <v>2470</v>
      </c>
      <c r="B1456" s="1" t="s">
        <v>192</v>
      </c>
      <c r="C1456" s="1" t="s">
        <v>193</v>
      </c>
      <c r="D1456" s="1" t="s">
        <v>85</v>
      </c>
      <c r="E1456" s="1" t="s">
        <v>40</v>
      </c>
      <c r="F1456" s="1" t="s">
        <v>30</v>
      </c>
      <c r="G1456" s="2">
        <v>492.36</v>
      </c>
      <c r="H1456" s="1">
        <v>0</v>
      </c>
      <c r="I1456" s="1">
        <v>185</v>
      </c>
      <c r="J1456" s="1">
        <v>150</v>
      </c>
      <c r="K1456" s="1">
        <v>58</v>
      </c>
      <c r="L1456" s="1">
        <v>123</v>
      </c>
      <c r="M1456" s="1" t="s">
        <v>31</v>
      </c>
      <c r="N1456" s="1" t="s">
        <v>42</v>
      </c>
      <c r="O1456" t="s">
        <v>43</v>
      </c>
      <c r="P1456" s="2">
        <v>344.65</v>
      </c>
      <c r="Q1456" s="1" t="str">
        <f>IF(J236&gt;K236,"YES","NO")</f>
        <v>YES</v>
      </c>
      <c r="R1456" s="2">
        <f>IF(Q236="YES",G236*0.9,G236)</f>
        <v>443.12400000000002</v>
      </c>
      <c r="S1456" s="2">
        <f>J236*G236</f>
        <v>73854</v>
      </c>
      <c r="T1456" s="1">
        <f ca="1">TODAY()-DATE(MID(O236,7,4),MID(O236,4,2),LEFT(O236,2))</f>
        <v>117</v>
      </c>
      <c r="U1456" s="1" t="s">
        <v>34</v>
      </c>
      <c r="V1456" s="1" t="s">
        <v>34</v>
      </c>
      <c r="W1456" s="1" t="s">
        <v>34</v>
      </c>
      <c r="X1456" t="s">
        <v>2544</v>
      </c>
      <c r="Y1456" s="1">
        <v>8</v>
      </c>
    </row>
    <row r="1457" spans="1:25" x14ac:dyDescent="0.3">
      <c r="A1457" s="1" t="s">
        <v>2471</v>
      </c>
      <c r="B1457" s="1" t="s">
        <v>176</v>
      </c>
      <c r="C1457" s="1" t="s">
        <v>177</v>
      </c>
      <c r="D1457" s="1" t="s">
        <v>39</v>
      </c>
      <c r="E1457" s="1" t="s">
        <v>74</v>
      </c>
      <c r="F1457" s="1" t="s">
        <v>30</v>
      </c>
      <c r="G1457" s="2">
        <v>430.33</v>
      </c>
      <c r="H1457" s="1">
        <v>22</v>
      </c>
      <c r="I1457" s="1">
        <v>125</v>
      </c>
      <c r="J1457" s="1">
        <v>87</v>
      </c>
      <c r="K1457" s="1">
        <v>100</v>
      </c>
      <c r="L1457" s="1">
        <v>94</v>
      </c>
      <c r="M1457" s="1" t="s">
        <v>49</v>
      </c>
      <c r="N1457" s="1" t="s">
        <v>32</v>
      </c>
      <c r="O1457" t="s">
        <v>185</v>
      </c>
      <c r="P1457" s="2">
        <v>301.23</v>
      </c>
      <c r="Q1457" s="1" t="str">
        <f>IF(J260&gt;K260,"YES","NO")</f>
        <v>NO</v>
      </c>
      <c r="R1457" s="2">
        <f>IF(Q260="YES",G260*0.9,G260)</f>
        <v>430.33</v>
      </c>
      <c r="S1457" s="2">
        <f>J260*G260</f>
        <v>37438.71</v>
      </c>
      <c r="T1457" s="1">
        <f ca="1">TODAY()-DATE(MID(O260,7,4),MID(O260,4,2),LEFT(O260,2))</f>
        <v>104</v>
      </c>
      <c r="U1457" s="1" t="s">
        <v>34</v>
      </c>
      <c r="V1457" s="1" t="s">
        <v>34</v>
      </c>
      <c r="W1457" s="1" t="s">
        <v>34</v>
      </c>
      <c r="X1457" t="s">
        <v>2517</v>
      </c>
      <c r="Y1457" s="1">
        <v>5</v>
      </c>
    </row>
    <row r="1458" spans="1:25" x14ac:dyDescent="0.3">
      <c r="A1458" s="1" t="s">
        <v>2472</v>
      </c>
      <c r="B1458" s="1" t="s">
        <v>57</v>
      </c>
      <c r="C1458" s="1" t="s">
        <v>58</v>
      </c>
      <c r="D1458" s="1" t="s">
        <v>59</v>
      </c>
      <c r="E1458" s="1" t="s">
        <v>40</v>
      </c>
      <c r="F1458" s="1" t="s">
        <v>48</v>
      </c>
      <c r="G1458" s="2">
        <v>171.41</v>
      </c>
      <c r="H1458" s="1">
        <v>17</v>
      </c>
      <c r="I1458" s="1">
        <v>131</v>
      </c>
      <c r="J1458" s="1">
        <v>117</v>
      </c>
      <c r="K1458" s="1">
        <v>79</v>
      </c>
      <c r="L1458" s="1">
        <v>145</v>
      </c>
      <c r="M1458" s="1" t="s">
        <v>31</v>
      </c>
      <c r="N1458" s="1" t="s">
        <v>60</v>
      </c>
      <c r="O1458" t="s">
        <v>61</v>
      </c>
      <c r="P1458" s="2">
        <v>119.99</v>
      </c>
      <c r="Q1458" s="1" t="str">
        <f>IF(J6&gt;K6,"YES","NO")</f>
        <v>YES</v>
      </c>
      <c r="R1458" s="2">
        <f>IF(Q6="YES",G6*0.9,G6)</f>
        <v>154.26900000000001</v>
      </c>
      <c r="S1458" s="2">
        <f>J6*G6</f>
        <v>20054.97</v>
      </c>
      <c r="T1458" s="1">
        <f ca="1">TODAY()-DATE(MID(O6,7,4),MID(O6,4,2),LEFT(O6,2))</f>
        <v>73</v>
      </c>
      <c r="U1458" s="1" t="s">
        <v>34</v>
      </c>
      <c r="V1458" s="1" t="s">
        <v>34</v>
      </c>
      <c r="W1458" s="1" t="s">
        <v>34</v>
      </c>
      <c r="X1458" t="s">
        <v>2596</v>
      </c>
      <c r="Y1458" s="1">
        <v>8</v>
      </c>
    </row>
    <row r="1459" spans="1:25" x14ac:dyDescent="0.3">
      <c r="A1459" s="1" t="s">
        <v>2473</v>
      </c>
      <c r="B1459" s="1" t="s">
        <v>77</v>
      </c>
      <c r="C1459" s="1" t="s">
        <v>78</v>
      </c>
      <c r="D1459" s="1" t="s">
        <v>47</v>
      </c>
      <c r="E1459" s="1" t="s">
        <v>74</v>
      </c>
      <c r="F1459" s="1" t="s">
        <v>48</v>
      </c>
      <c r="G1459" s="2">
        <v>280.89999999999998</v>
      </c>
      <c r="H1459" s="1">
        <v>1</v>
      </c>
      <c r="I1459" s="1">
        <v>277</v>
      </c>
      <c r="J1459" s="1">
        <v>269</v>
      </c>
      <c r="K1459" s="1">
        <v>116</v>
      </c>
      <c r="L1459" s="1">
        <v>111</v>
      </c>
      <c r="M1459" s="1" t="s">
        <v>49</v>
      </c>
      <c r="N1459" s="1" t="s">
        <v>60</v>
      </c>
      <c r="O1459" t="s">
        <v>384</v>
      </c>
      <c r="P1459" s="2">
        <v>196.63</v>
      </c>
      <c r="Q1459" s="1" t="str">
        <f>IF(J206&gt;K206,"YES","NO")</f>
        <v>YES</v>
      </c>
      <c r="R1459" s="2">
        <f>IF(Q206="YES",G206*0.9,G206)</f>
        <v>252.80999999999997</v>
      </c>
      <c r="S1459" s="2">
        <f>J206*G206</f>
        <v>75562.099999999991</v>
      </c>
      <c r="T1459" s="1">
        <f ca="1">TODAY()-DATE(MID(O206,7,4),MID(O206,4,2),LEFT(O206,2))</f>
        <v>147</v>
      </c>
      <c r="U1459" s="1" t="s">
        <v>34</v>
      </c>
      <c r="V1459" s="1" t="s">
        <v>34</v>
      </c>
      <c r="W1459" s="1" t="s">
        <v>34</v>
      </c>
      <c r="X1459" t="s">
        <v>2669</v>
      </c>
      <c r="Y1459" s="1">
        <v>8</v>
      </c>
    </row>
    <row r="1460" spans="1:25" x14ac:dyDescent="0.3">
      <c r="A1460" s="1" t="s">
        <v>2474</v>
      </c>
      <c r="B1460" s="1" t="s">
        <v>143</v>
      </c>
      <c r="C1460" s="1" t="s">
        <v>144</v>
      </c>
      <c r="D1460" s="1" t="s">
        <v>47</v>
      </c>
      <c r="E1460" s="1" t="s">
        <v>74</v>
      </c>
      <c r="F1460" s="1" t="s">
        <v>30</v>
      </c>
      <c r="G1460" s="2">
        <v>240.74</v>
      </c>
      <c r="H1460" s="1">
        <v>4</v>
      </c>
      <c r="I1460" s="1">
        <v>234</v>
      </c>
      <c r="J1460" s="1">
        <v>227</v>
      </c>
      <c r="K1460" s="1">
        <v>60</v>
      </c>
      <c r="L1460" s="1">
        <v>53</v>
      </c>
      <c r="M1460" s="1" t="s">
        <v>41</v>
      </c>
      <c r="N1460" s="1" t="s">
        <v>42</v>
      </c>
      <c r="O1460" t="s">
        <v>203</v>
      </c>
      <c r="P1460" s="2">
        <v>168.52</v>
      </c>
      <c r="Q1460" s="1" t="str">
        <f>IF(J64&gt;K64,"YES","NO")</f>
        <v>YES</v>
      </c>
      <c r="R1460" s="2">
        <f>IF(Q64="YES",G64*0.9,G64)</f>
        <v>216.66600000000003</v>
      </c>
      <c r="S1460" s="2">
        <f>J64*G64</f>
        <v>54647.98</v>
      </c>
      <c r="T1460" s="1">
        <f ca="1">TODAY()-DATE(MID(O64,7,4),MID(O64,4,2),LEFT(O64,2))</f>
        <v>102</v>
      </c>
      <c r="U1460" s="1" t="s">
        <v>34</v>
      </c>
      <c r="V1460" s="1" t="s">
        <v>34</v>
      </c>
      <c r="W1460" s="1" t="s">
        <v>34</v>
      </c>
      <c r="X1460" t="s">
        <v>2927</v>
      </c>
      <c r="Y1460" s="1">
        <v>7</v>
      </c>
    </row>
    <row r="1461" spans="1:25" x14ac:dyDescent="0.3">
      <c r="A1461" s="1" t="s">
        <v>2475</v>
      </c>
      <c r="B1461" s="1" t="s">
        <v>111</v>
      </c>
      <c r="C1461" s="1" t="s">
        <v>112</v>
      </c>
      <c r="D1461" s="1" t="s">
        <v>97</v>
      </c>
      <c r="E1461" s="1" t="s">
        <v>74</v>
      </c>
      <c r="F1461" s="1" t="s">
        <v>48</v>
      </c>
      <c r="G1461" s="2">
        <v>438.33</v>
      </c>
      <c r="H1461" s="1">
        <v>22</v>
      </c>
      <c r="I1461" s="1">
        <v>164</v>
      </c>
      <c r="J1461" s="1">
        <v>126</v>
      </c>
      <c r="K1461" s="1">
        <v>94</v>
      </c>
      <c r="L1461" s="1">
        <v>149</v>
      </c>
      <c r="M1461" s="1" t="s">
        <v>49</v>
      </c>
      <c r="N1461" s="1" t="s">
        <v>32</v>
      </c>
      <c r="O1461" t="s">
        <v>333</v>
      </c>
      <c r="P1461" s="2">
        <v>306.83</v>
      </c>
      <c r="Q1461" s="1" t="str">
        <f>IF(J797&gt;K797,"YES","NO")</f>
        <v>YES</v>
      </c>
      <c r="R1461" s="2">
        <f>IF(Q797="YES",G797*0.9,G797)</f>
        <v>394.49700000000001</v>
      </c>
      <c r="S1461" s="2">
        <f>J797*G797</f>
        <v>55229.579999999994</v>
      </c>
      <c r="T1461" s="1">
        <f ca="1">TODAY()-DATE(MID(O797,7,4),MID(O797,4,2),LEFT(O797,2))</f>
        <v>109</v>
      </c>
      <c r="U1461" s="1" t="s">
        <v>34</v>
      </c>
      <c r="V1461" s="1" t="s">
        <v>34</v>
      </c>
      <c r="W1461" s="1" t="s">
        <v>34</v>
      </c>
      <c r="X1461" t="s">
        <v>2887</v>
      </c>
      <c r="Y1461" s="1">
        <v>8.5</v>
      </c>
    </row>
    <row r="1462" spans="1:25" x14ac:dyDescent="0.3">
      <c r="A1462" s="1" t="s">
        <v>2476</v>
      </c>
      <c r="B1462" s="1" t="s">
        <v>107</v>
      </c>
      <c r="C1462" s="1" t="s">
        <v>108</v>
      </c>
      <c r="D1462" s="1" t="s">
        <v>39</v>
      </c>
      <c r="E1462" s="1" t="s">
        <v>74</v>
      </c>
      <c r="F1462" s="1" t="s">
        <v>54</v>
      </c>
      <c r="G1462" s="2">
        <v>257.07</v>
      </c>
      <c r="H1462" s="1">
        <v>4</v>
      </c>
      <c r="I1462" s="1">
        <v>261</v>
      </c>
      <c r="J1462" s="1">
        <v>228</v>
      </c>
      <c r="K1462" s="1">
        <v>83</v>
      </c>
      <c r="L1462" s="1">
        <v>75</v>
      </c>
      <c r="M1462" s="1" t="s">
        <v>41</v>
      </c>
      <c r="N1462" s="1" t="s">
        <v>32</v>
      </c>
      <c r="O1462" t="s">
        <v>384</v>
      </c>
      <c r="P1462" s="2">
        <v>179.95</v>
      </c>
      <c r="Q1462" s="1" t="str">
        <f>IF(J460&gt;K460,"YES","NO")</f>
        <v>YES</v>
      </c>
      <c r="R1462" s="2">
        <f>IF(Q460="YES",G460*0.9,G460)</f>
        <v>231.363</v>
      </c>
      <c r="S1462" s="2">
        <f>J460*G460</f>
        <v>58611.96</v>
      </c>
      <c r="T1462" s="1">
        <f ca="1">TODAY()-DATE(MID(O460,7,4),MID(O460,4,2),LEFT(O460,2))</f>
        <v>147</v>
      </c>
      <c r="U1462" s="1" t="s">
        <v>34</v>
      </c>
      <c r="V1462" s="1" t="s">
        <v>34</v>
      </c>
      <c r="W1462" s="1" t="s">
        <v>34</v>
      </c>
      <c r="X1462" t="s">
        <v>2617</v>
      </c>
      <c r="Y1462" s="1">
        <v>5</v>
      </c>
    </row>
    <row r="1463" spans="1:25" x14ac:dyDescent="0.3">
      <c r="A1463" s="1" t="s">
        <v>2477</v>
      </c>
      <c r="B1463" s="1" t="s">
        <v>26</v>
      </c>
      <c r="C1463" s="1" t="s">
        <v>27</v>
      </c>
      <c r="D1463" s="1" t="s">
        <v>28</v>
      </c>
      <c r="E1463" s="1" t="s">
        <v>29</v>
      </c>
      <c r="F1463" s="1" t="s">
        <v>54</v>
      </c>
      <c r="G1463" s="2">
        <v>459.97</v>
      </c>
      <c r="H1463" s="1">
        <v>8</v>
      </c>
      <c r="I1463" s="1">
        <v>296</v>
      </c>
      <c r="J1463" s="1">
        <v>285</v>
      </c>
      <c r="K1463" s="1">
        <v>95</v>
      </c>
      <c r="L1463" s="1">
        <v>72</v>
      </c>
      <c r="M1463" s="1" t="s">
        <v>41</v>
      </c>
      <c r="N1463" s="1" t="s">
        <v>42</v>
      </c>
      <c r="O1463" t="s">
        <v>287</v>
      </c>
      <c r="P1463" s="2">
        <v>321.98</v>
      </c>
      <c r="Q1463" s="1" t="str">
        <f>IF(J203&gt;K203,"YES","NO")</f>
        <v>YES</v>
      </c>
      <c r="R1463" s="2">
        <f>IF(Q203="YES",G203*0.9,G203)</f>
        <v>413.97300000000001</v>
      </c>
      <c r="S1463" s="2">
        <f>J203*G203</f>
        <v>131091.45000000001</v>
      </c>
      <c r="T1463" s="1">
        <f ca="1">TODAY()-DATE(MID(O203,7,4),MID(O203,4,2),LEFT(O203,2))</f>
        <v>143</v>
      </c>
      <c r="U1463" s="1" t="s">
        <v>34</v>
      </c>
      <c r="V1463" s="1" t="s">
        <v>34</v>
      </c>
      <c r="W1463" s="1" t="s">
        <v>34</v>
      </c>
      <c r="X1463" t="s">
        <v>2844</v>
      </c>
      <c r="Y1463" s="1">
        <v>6.5</v>
      </c>
    </row>
    <row r="1464" spans="1:25" x14ac:dyDescent="0.3">
      <c r="A1464" s="1" t="s">
        <v>2478</v>
      </c>
      <c r="B1464" s="1" t="s">
        <v>63</v>
      </c>
      <c r="C1464" s="1" t="s">
        <v>64</v>
      </c>
      <c r="D1464" s="1" t="s">
        <v>28</v>
      </c>
      <c r="E1464" s="1" t="s">
        <v>74</v>
      </c>
      <c r="F1464" s="1" t="s">
        <v>54</v>
      </c>
      <c r="G1464" s="2">
        <v>87.03</v>
      </c>
      <c r="H1464" s="1">
        <v>15</v>
      </c>
      <c r="I1464" s="1">
        <v>88</v>
      </c>
      <c r="J1464" s="1">
        <v>48</v>
      </c>
      <c r="K1464" s="1">
        <v>89</v>
      </c>
      <c r="L1464" s="1">
        <v>125</v>
      </c>
      <c r="M1464" s="1" t="s">
        <v>49</v>
      </c>
      <c r="N1464" s="1" t="s">
        <v>42</v>
      </c>
      <c r="O1464" t="s">
        <v>75</v>
      </c>
      <c r="P1464" s="2">
        <v>60.92</v>
      </c>
      <c r="Q1464" s="1" t="str">
        <f>IF(J365&gt;K365,"YES","NO")</f>
        <v>NO</v>
      </c>
      <c r="R1464" s="2">
        <f>IF(Q365="YES",G365*0.9,G365)</f>
        <v>87.03</v>
      </c>
      <c r="S1464" s="2">
        <f>J365*G365</f>
        <v>4177.4400000000005</v>
      </c>
      <c r="T1464" s="1">
        <f ca="1">TODAY()-DATE(MID(O365,7,4),MID(O365,4,2),LEFT(O365,2))</f>
        <v>123</v>
      </c>
      <c r="U1464" s="1" t="s">
        <v>34</v>
      </c>
      <c r="V1464" s="1" t="s">
        <v>34</v>
      </c>
      <c r="W1464" s="1" t="s">
        <v>34</v>
      </c>
      <c r="X1464" t="s">
        <v>2537</v>
      </c>
      <c r="Y1464" s="1">
        <v>7.5</v>
      </c>
    </row>
    <row r="1465" spans="1:25" x14ac:dyDescent="0.3">
      <c r="A1465" s="1" t="s">
        <v>2479</v>
      </c>
      <c r="B1465" s="1" t="s">
        <v>72</v>
      </c>
      <c r="C1465" s="1" t="s">
        <v>73</v>
      </c>
      <c r="D1465" s="1" t="s">
        <v>47</v>
      </c>
      <c r="E1465" s="1" t="s">
        <v>74</v>
      </c>
      <c r="F1465" s="1" t="s">
        <v>30</v>
      </c>
      <c r="G1465" s="2">
        <v>110.63</v>
      </c>
      <c r="H1465" s="1">
        <v>3</v>
      </c>
      <c r="I1465" s="1">
        <v>244</v>
      </c>
      <c r="J1465" s="1">
        <v>242</v>
      </c>
      <c r="K1465" s="1">
        <v>119</v>
      </c>
      <c r="L1465" s="1">
        <v>124</v>
      </c>
      <c r="M1465" s="1" t="s">
        <v>49</v>
      </c>
      <c r="N1465" s="1" t="s">
        <v>32</v>
      </c>
      <c r="O1465" t="s">
        <v>205</v>
      </c>
      <c r="P1465" s="2">
        <v>77.44</v>
      </c>
      <c r="Q1465" s="1" t="str">
        <f>IF(J689&gt;K689,"YES","NO")</f>
        <v>YES</v>
      </c>
      <c r="R1465" s="2">
        <f>IF(Q689="YES",G689*0.9,G689)</f>
        <v>99.566999999999993</v>
      </c>
      <c r="S1465" s="2">
        <f>J689*G689</f>
        <v>26772.46</v>
      </c>
      <c r="T1465" s="1">
        <f ca="1">TODAY()-DATE(MID(O689,7,4),MID(O689,4,2),LEFT(O689,2))</f>
        <v>74</v>
      </c>
      <c r="U1465" s="1" t="s">
        <v>34</v>
      </c>
      <c r="V1465" s="1" t="s">
        <v>34</v>
      </c>
      <c r="W1465" s="1" t="s">
        <v>34</v>
      </c>
      <c r="X1465" t="s">
        <v>2739</v>
      </c>
      <c r="Y1465" s="1">
        <v>9.5</v>
      </c>
    </row>
    <row r="1466" spans="1:25" x14ac:dyDescent="0.3">
      <c r="A1466" s="1" t="s">
        <v>2480</v>
      </c>
      <c r="B1466" s="1" t="s">
        <v>176</v>
      </c>
      <c r="C1466" s="1" t="s">
        <v>177</v>
      </c>
      <c r="D1466" s="1" t="s">
        <v>39</v>
      </c>
      <c r="E1466" s="1" t="s">
        <v>29</v>
      </c>
      <c r="F1466" s="1" t="s">
        <v>30</v>
      </c>
      <c r="G1466" s="2">
        <v>93.38</v>
      </c>
      <c r="H1466" s="1">
        <v>0</v>
      </c>
      <c r="I1466" s="1">
        <v>211</v>
      </c>
      <c r="J1466" s="1">
        <v>200</v>
      </c>
      <c r="K1466" s="1">
        <v>66</v>
      </c>
      <c r="L1466" s="1">
        <v>97</v>
      </c>
      <c r="M1466" s="1" t="s">
        <v>31</v>
      </c>
      <c r="N1466" s="1" t="s">
        <v>32</v>
      </c>
      <c r="O1466" t="s">
        <v>105</v>
      </c>
      <c r="P1466" s="2">
        <v>65.37</v>
      </c>
      <c r="Q1466" s="1" t="str">
        <f>IF(J242&gt;K242,"YES","NO")</f>
        <v>YES</v>
      </c>
      <c r="R1466" s="2">
        <f>IF(Q242="YES",G242*0.9,G242)</f>
        <v>84.042000000000002</v>
      </c>
      <c r="S1466" s="2">
        <f>J242*G242</f>
        <v>18676</v>
      </c>
      <c r="T1466" s="1">
        <f ca="1">TODAY()-DATE(MID(O242,7,4),MID(O242,4,2),LEFT(O242,2))</f>
        <v>144</v>
      </c>
      <c r="U1466" s="1" t="s">
        <v>34</v>
      </c>
      <c r="V1466" s="1" t="s">
        <v>34</v>
      </c>
      <c r="W1466" s="1" t="s">
        <v>34</v>
      </c>
      <c r="X1466" t="s">
        <v>2862</v>
      </c>
      <c r="Y1466" s="1">
        <v>6</v>
      </c>
    </row>
    <row r="1467" spans="1:25" x14ac:dyDescent="0.3">
      <c r="A1467" s="1" t="s">
        <v>2481</v>
      </c>
      <c r="B1467" s="1" t="s">
        <v>72</v>
      </c>
      <c r="C1467" s="1" t="s">
        <v>73</v>
      </c>
      <c r="D1467" s="1" t="s">
        <v>47</v>
      </c>
      <c r="E1467" s="1" t="s">
        <v>29</v>
      </c>
      <c r="F1467" s="1" t="s">
        <v>48</v>
      </c>
      <c r="G1467" s="2">
        <v>185.33</v>
      </c>
      <c r="H1467" s="1">
        <v>6</v>
      </c>
      <c r="I1467" s="1">
        <v>192</v>
      </c>
      <c r="J1467" s="1">
        <v>181</v>
      </c>
      <c r="K1467" s="1">
        <v>97</v>
      </c>
      <c r="L1467" s="1">
        <v>56</v>
      </c>
      <c r="M1467" s="1" t="s">
        <v>41</v>
      </c>
      <c r="N1467" s="1" t="s">
        <v>32</v>
      </c>
      <c r="O1467" t="s">
        <v>164</v>
      </c>
      <c r="P1467" s="2">
        <v>129.72999999999999</v>
      </c>
      <c r="Q1467" s="1" t="str">
        <f>IF(J251&gt;K251,"YES","NO")</f>
        <v>YES</v>
      </c>
      <c r="R1467" s="2">
        <f>IF(Q251="YES",G251*0.9,G251)</f>
        <v>166.79700000000003</v>
      </c>
      <c r="S1467" s="2">
        <f>J251*G251</f>
        <v>33544.730000000003</v>
      </c>
      <c r="T1467" s="1">
        <f ca="1">TODAY()-DATE(MID(O251,7,4),MID(O251,4,2),LEFT(O251,2))</f>
        <v>126</v>
      </c>
      <c r="U1467" s="1" t="s">
        <v>34</v>
      </c>
      <c r="V1467" s="1" t="s">
        <v>34</v>
      </c>
      <c r="W1467" s="1" t="s">
        <v>34</v>
      </c>
      <c r="X1467" t="s">
        <v>2859</v>
      </c>
      <c r="Y1467" s="1">
        <v>5.5</v>
      </c>
    </row>
    <row r="1468" spans="1:25" x14ac:dyDescent="0.3">
      <c r="A1468" s="1" t="s">
        <v>2482</v>
      </c>
      <c r="B1468" s="1" t="s">
        <v>69</v>
      </c>
      <c r="C1468" s="1" t="s">
        <v>70</v>
      </c>
      <c r="D1468" s="1" t="s">
        <v>59</v>
      </c>
      <c r="E1468" s="1" t="s">
        <v>40</v>
      </c>
      <c r="F1468" s="1" t="s">
        <v>54</v>
      </c>
      <c r="G1468" s="2">
        <v>283.73</v>
      </c>
      <c r="H1468" s="1">
        <v>12</v>
      </c>
      <c r="I1468" s="1">
        <v>87</v>
      </c>
      <c r="J1468" s="1">
        <v>59</v>
      </c>
      <c r="K1468" s="1">
        <v>103</v>
      </c>
      <c r="L1468" s="1">
        <v>105</v>
      </c>
      <c r="M1468" s="1" t="s">
        <v>49</v>
      </c>
      <c r="N1468" s="1" t="s">
        <v>32</v>
      </c>
      <c r="O1468" t="s">
        <v>164</v>
      </c>
      <c r="P1468" s="2">
        <v>198.61</v>
      </c>
      <c r="Q1468" s="1" t="str">
        <f>IF(J411&gt;K411,"YES","NO")</f>
        <v>NO</v>
      </c>
      <c r="R1468" s="2">
        <f>IF(Q411="YES",G411*0.9,G411)</f>
        <v>283.73</v>
      </c>
      <c r="S1468" s="2">
        <f>J411*G411</f>
        <v>16740.07</v>
      </c>
      <c r="T1468" s="1">
        <f ca="1">TODAY()-DATE(MID(O411,7,4),MID(O411,4,2),LEFT(O411,2))</f>
        <v>126</v>
      </c>
      <c r="U1468" s="1" t="s">
        <v>34</v>
      </c>
      <c r="V1468" s="1" t="s">
        <v>34</v>
      </c>
      <c r="W1468" s="1" t="s">
        <v>34</v>
      </c>
      <c r="X1468" t="s">
        <v>2569</v>
      </c>
      <c r="Y1468" s="1">
        <v>5.5</v>
      </c>
    </row>
    <row r="1469" spans="1:25" x14ac:dyDescent="0.3">
      <c r="A1469" s="1" t="s">
        <v>2483</v>
      </c>
      <c r="B1469" s="1" t="s">
        <v>262</v>
      </c>
      <c r="C1469" s="1" t="s">
        <v>263</v>
      </c>
      <c r="D1469" s="1" t="s">
        <v>104</v>
      </c>
      <c r="E1469" s="1" t="s">
        <v>74</v>
      </c>
      <c r="F1469" s="1" t="s">
        <v>54</v>
      </c>
      <c r="G1469" s="2">
        <v>236.22</v>
      </c>
      <c r="H1469" s="1">
        <v>13</v>
      </c>
      <c r="I1469" s="1">
        <v>154</v>
      </c>
      <c r="J1469" s="1">
        <v>129</v>
      </c>
      <c r="K1469" s="1">
        <v>46</v>
      </c>
      <c r="L1469" s="1">
        <v>139</v>
      </c>
      <c r="M1469" s="1" t="s">
        <v>31</v>
      </c>
      <c r="N1469" s="1" t="s">
        <v>60</v>
      </c>
      <c r="O1469" t="s">
        <v>220</v>
      </c>
      <c r="P1469" s="2">
        <v>165.35</v>
      </c>
      <c r="Q1469" s="1" t="str">
        <f>IF(J389&gt;K389,"YES","NO")</f>
        <v>YES</v>
      </c>
      <c r="R1469" s="2">
        <f>IF(Q389="YES",G389*0.9,G389)</f>
        <v>212.59800000000001</v>
      </c>
      <c r="S1469" s="2">
        <f>J389*G389</f>
        <v>30472.38</v>
      </c>
      <c r="T1469" s="1">
        <f ca="1">TODAY()-DATE(MID(O389,7,4),MID(O389,4,2),LEFT(O389,2))</f>
        <v>106</v>
      </c>
      <c r="U1469" s="1" t="s">
        <v>34</v>
      </c>
      <c r="V1469" s="1" t="s">
        <v>34</v>
      </c>
      <c r="W1469" s="1" t="s">
        <v>34</v>
      </c>
      <c r="X1469" t="s">
        <v>2772</v>
      </c>
      <c r="Y1469" s="1">
        <v>9.5</v>
      </c>
    </row>
    <row r="1470" spans="1:25" x14ac:dyDescent="0.3">
      <c r="A1470" s="1" t="s">
        <v>2484</v>
      </c>
      <c r="B1470" s="1" t="s">
        <v>166</v>
      </c>
      <c r="C1470" s="1" t="s">
        <v>167</v>
      </c>
      <c r="D1470" s="1" t="s">
        <v>59</v>
      </c>
      <c r="E1470" s="1" t="s">
        <v>74</v>
      </c>
      <c r="F1470" s="1" t="s">
        <v>48</v>
      </c>
      <c r="G1470" s="2">
        <v>276.64999999999998</v>
      </c>
      <c r="H1470" s="1">
        <v>10</v>
      </c>
      <c r="I1470" s="1">
        <v>101</v>
      </c>
      <c r="J1470" s="1">
        <v>65</v>
      </c>
      <c r="K1470" s="1">
        <v>82</v>
      </c>
      <c r="L1470" s="1">
        <v>63</v>
      </c>
      <c r="M1470" s="1" t="s">
        <v>31</v>
      </c>
      <c r="N1470" s="1" t="s">
        <v>60</v>
      </c>
      <c r="O1470" t="s">
        <v>398</v>
      </c>
      <c r="P1470" s="2">
        <v>193.65</v>
      </c>
      <c r="Q1470" s="1" t="str">
        <f>IF(J528&gt;K528,"YES","NO")</f>
        <v>NO</v>
      </c>
      <c r="R1470" s="2">
        <f>IF(Q528="YES",G528*0.9,G528)</f>
        <v>276.64999999999998</v>
      </c>
      <c r="S1470" s="2">
        <f>J528*G528</f>
        <v>17982.25</v>
      </c>
      <c r="T1470" s="1">
        <f ca="1">TODAY()-DATE(MID(O528,7,4),MID(O528,4,2),LEFT(O528,2))</f>
        <v>86</v>
      </c>
      <c r="U1470" s="1" t="s">
        <v>34</v>
      </c>
      <c r="V1470" s="1" t="s">
        <v>34</v>
      </c>
      <c r="W1470" s="1" t="s">
        <v>34</v>
      </c>
      <c r="X1470" t="s">
        <v>2789</v>
      </c>
      <c r="Y1470" s="1">
        <v>9</v>
      </c>
    </row>
    <row r="1471" spans="1:25" x14ac:dyDescent="0.3">
      <c r="A1471" s="1" t="s">
        <v>2485</v>
      </c>
      <c r="B1471" s="1" t="s">
        <v>102</v>
      </c>
      <c r="C1471" s="1" t="s">
        <v>103</v>
      </c>
      <c r="D1471" s="1" t="s">
        <v>104</v>
      </c>
      <c r="E1471" s="1" t="s">
        <v>74</v>
      </c>
      <c r="F1471" s="1" t="s">
        <v>48</v>
      </c>
      <c r="G1471" s="2">
        <v>400.36</v>
      </c>
      <c r="H1471" s="1">
        <v>0</v>
      </c>
      <c r="I1471" s="1">
        <v>165</v>
      </c>
      <c r="J1471" s="1">
        <v>137</v>
      </c>
      <c r="K1471" s="1">
        <v>50</v>
      </c>
      <c r="L1471" s="1">
        <v>101</v>
      </c>
      <c r="M1471" s="1" t="s">
        <v>41</v>
      </c>
      <c r="N1471" s="1" t="s">
        <v>32</v>
      </c>
      <c r="O1471" t="s">
        <v>185</v>
      </c>
      <c r="P1471" s="2">
        <v>280.25</v>
      </c>
      <c r="Q1471" s="1" t="str">
        <f>IF(J179&gt;K179,"YES","NO")</f>
        <v>YES</v>
      </c>
      <c r="R1471" s="2">
        <f>IF(Q179="YES",G179*0.9,G179)</f>
        <v>360.32400000000001</v>
      </c>
      <c r="S1471" s="2">
        <f>J179*G179</f>
        <v>54849.32</v>
      </c>
      <c r="T1471" s="1">
        <f ca="1">TODAY()-DATE(MID(O179,7,4),MID(O179,4,2),LEFT(O179,2))</f>
        <v>104</v>
      </c>
      <c r="U1471" s="1" t="s">
        <v>34</v>
      </c>
      <c r="V1471" s="1" t="s">
        <v>34</v>
      </c>
      <c r="W1471" s="1" t="s">
        <v>34</v>
      </c>
      <c r="X1471" t="s">
        <v>2851</v>
      </c>
      <c r="Y1471" s="1">
        <v>9.5</v>
      </c>
    </row>
    <row r="1472" spans="1:25" x14ac:dyDescent="0.3">
      <c r="A1472" s="1" t="s">
        <v>2486</v>
      </c>
      <c r="B1472" s="1" t="s">
        <v>172</v>
      </c>
      <c r="C1472" s="1" t="s">
        <v>173</v>
      </c>
      <c r="D1472" s="1" t="s">
        <v>132</v>
      </c>
      <c r="E1472" s="1" t="s">
        <v>40</v>
      </c>
      <c r="F1472" s="1" t="s">
        <v>54</v>
      </c>
      <c r="G1472" s="2">
        <v>313.81</v>
      </c>
      <c r="H1472" s="1">
        <v>22</v>
      </c>
      <c r="I1472" s="1">
        <v>111</v>
      </c>
      <c r="J1472" s="1">
        <v>74</v>
      </c>
      <c r="K1472" s="1">
        <v>87</v>
      </c>
      <c r="L1472" s="1">
        <v>63</v>
      </c>
      <c r="M1472" s="1" t="s">
        <v>49</v>
      </c>
      <c r="N1472" s="1" t="s">
        <v>42</v>
      </c>
      <c r="O1472" t="s">
        <v>224</v>
      </c>
      <c r="P1472" s="2">
        <v>219.67</v>
      </c>
      <c r="Q1472" s="1" t="str">
        <f>IF(J713&gt;K713,"YES","NO")</f>
        <v>NO</v>
      </c>
      <c r="R1472" s="2">
        <f>IF(Q713="YES",G713*0.9,G713)</f>
        <v>313.81</v>
      </c>
      <c r="S1472" s="2">
        <f>J713*G713</f>
        <v>23221.94</v>
      </c>
      <c r="T1472" s="1">
        <f ca="1">TODAY()-DATE(MID(O713,7,4),MID(O713,4,2),LEFT(O713,2))</f>
        <v>140</v>
      </c>
      <c r="U1472" s="1" t="s">
        <v>34</v>
      </c>
      <c r="V1472" s="1" t="s">
        <v>34</v>
      </c>
      <c r="W1472" s="1" t="s">
        <v>34</v>
      </c>
      <c r="X1472" t="s">
        <v>2893</v>
      </c>
      <c r="Y1472" s="1">
        <v>6.5</v>
      </c>
    </row>
    <row r="1473" spans="1:25" x14ac:dyDescent="0.3">
      <c r="A1473" s="1" t="s">
        <v>2487</v>
      </c>
      <c r="B1473" s="1" t="s">
        <v>45</v>
      </c>
      <c r="C1473" s="1" t="s">
        <v>46</v>
      </c>
      <c r="D1473" s="1" t="s">
        <v>47</v>
      </c>
      <c r="E1473" s="1" t="s">
        <v>29</v>
      </c>
      <c r="F1473" s="1" t="s">
        <v>48</v>
      </c>
      <c r="G1473" s="2">
        <v>57.66</v>
      </c>
      <c r="H1473" s="1">
        <v>4</v>
      </c>
      <c r="I1473" s="1">
        <v>292</v>
      </c>
      <c r="J1473" s="1">
        <v>262</v>
      </c>
      <c r="K1473" s="1">
        <v>65</v>
      </c>
      <c r="L1473" s="1">
        <v>123</v>
      </c>
      <c r="M1473" s="1" t="s">
        <v>41</v>
      </c>
      <c r="N1473" s="1" t="s">
        <v>60</v>
      </c>
      <c r="O1473" t="s">
        <v>292</v>
      </c>
      <c r="P1473" s="2">
        <v>40.36</v>
      </c>
      <c r="Q1473" s="1" t="str">
        <f>IF(J787&gt;K787,"YES","NO")</f>
        <v>YES</v>
      </c>
      <c r="R1473" s="2">
        <f>IF(Q787="YES",G787*0.9,G787)</f>
        <v>51.893999999999998</v>
      </c>
      <c r="S1473" s="2">
        <f>J787*G787</f>
        <v>15106.919999999998</v>
      </c>
      <c r="T1473" s="1">
        <f ca="1">TODAY()-DATE(MID(O787,7,4),MID(O787,4,2),LEFT(O787,2))</f>
        <v>83</v>
      </c>
      <c r="U1473" s="1" t="s">
        <v>34</v>
      </c>
      <c r="V1473" s="1" t="s">
        <v>34</v>
      </c>
      <c r="W1473" s="1" t="s">
        <v>34</v>
      </c>
      <c r="X1473" t="s">
        <v>2726</v>
      </c>
      <c r="Y1473" s="1">
        <v>8.5</v>
      </c>
    </row>
    <row r="1474" spans="1:25" x14ac:dyDescent="0.3">
      <c r="A1474" s="1" t="s">
        <v>2488</v>
      </c>
      <c r="B1474" s="1" t="s">
        <v>126</v>
      </c>
      <c r="C1474" s="1" t="s">
        <v>127</v>
      </c>
      <c r="D1474" s="1" t="s">
        <v>85</v>
      </c>
      <c r="E1474" s="1" t="s">
        <v>74</v>
      </c>
      <c r="F1474" s="1" t="s">
        <v>30</v>
      </c>
      <c r="G1474" s="2">
        <v>409.05</v>
      </c>
      <c r="H1474" s="1">
        <v>16</v>
      </c>
      <c r="I1474" s="1">
        <v>134</v>
      </c>
      <c r="J1474" s="1">
        <v>116</v>
      </c>
      <c r="K1474" s="1">
        <v>48</v>
      </c>
      <c r="L1474" s="1">
        <v>101</v>
      </c>
      <c r="M1474" s="1" t="s">
        <v>41</v>
      </c>
      <c r="N1474" s="1" t="s">
        <v>32</v>
      </c>
      <c r="O1474" t="s">
        <v>361</v>
      </c>
      <c r="P1474" s="2">
        <v>286.33</v>
      </c>
      <c r="Q1474" s="1" t="str">
        <f>IF(J490&gt;K490,"YES","NO")</f>
        <v>YES</v>
      </c>
      <c r="R1474" s="2">
        <f>IF(Q490="YES",G490*0.9,G490)</f>
        <v>368.14500000000004</v>
      </c>
      <c r="S1474" s="2">
        <f>J490*G490</f>
        <v>47449.8</v>
      </c>
      <c r="T1474" s="1">
        <f ca="1">TODAY()-DATE(MID(O490,7,4),MID(O490,4,2),LEFT(O490,2))</f>
        <v>99</v>
      </c>
      <c r="U1474" s="1" t="s">
        <v>34</v>
      </c>
      <c r="V1474" s="1" t="s">
        <v>34</v>
      </c>
      <c r="W1474" s="1" t="s">
        <v>34</v>
      </c>
      <c r="X1474" t="s">
        <v>2855</v>
      </c>
      <c r="Y1474" s="1">
        <v>5</v>
      </c>
    </row>
    <row r="1475" spans="1:25" x14ac:dyDescent="0.3">
      <c r="A1475" s="1" t="s">
        <v>2489</v>
      </c>
      <c r="B1475" s="1" t="s">
        <v>262</v>
      </c>
      <c r="C1475" s="1" t="s">
        <v>263</v>
      </c>
      <c r="D1475" s="1" t="s">
        <v>104</v>
      </c>
      <c r="E1475" s="1" t="s">
        <v>40</v>
      </c>
      <c r="F1475" s="1" t="s">
        <v>48</v>
      </c>
      <c r="G1475" s="2">
        <v>448.37</v>
      </c>
      <c r="H1475" s="1">
        <v>16</v>
      </c>
      <c r="I1475" s="1">
        <v>89</v>
      </c>
      <c r="J1475" s="1">
        <v>73</v>
      </c>
      <c r="K1475" s="1">
        <v>44</v>
      </c>
      <c r="L1475" s="1">
        <v>92</v>
      </c>
      <c r="M1475" s="1" t="s">
        <v>49</v>
      </c>
      <c r="N1475" s="1" t="s">
        <v>42</v>
      </c>
      <c r="O1475" t="s">
        <v>292</v>
      </c>
      <c r="P1475" s="2">
        <v>313.86</v>
      </c>
      <c r="Q1475" s="1" t="str">
        <f>IF(J263&gt;K263,"YES","NO")</f>
        <v>YES</v>
      </c>
      <c r="R1475" s="2">
        <f>IF(Q263="YES",G263*0.9,G263)</f>
        <v>403.53300000000002</v>
      </c>
      <c r="S1475" s="2">
        <f>J263*G263</f>
        <v>32731.010000000002</v>
      </c>
      <c r="T1475" s="1">
        <f ca="1">TODAY()-DATE(MID(O263,7,4),MID(O263,4,2),LEFT(O263,2))</f>
        <v>83</v>
      </c>
      <c r="U1475" s="1" t="s">
        <v>34</v>
      </c>
      <c r="V1475" s="1" t="s">
        <v>34</v>
      </c>
      <c r="W1475" s="1" t="s">
        <v>34</v>
      </c>
      <c r="X1475" t="s">
        <v>2621</v>
      </c>
      <c r="Y1475" s="1">
        <v>6.5</v>
      </c>
    </row>
    <row r="1476" spans="1:25" x14ac:dyDescent="0.3">
      <c r="A1476" s="1" t="s">
        <v>2490</v>
      </c>
      <c r="B1476" s="1" t="s">
        <v>95</v>
      </c>
      <c r="C1476" s="1" t="s">
        <v>96</v>
      </c>
      <c r="D1476" s="1" t="s">
        <v>97</v>
      </c>
      <c r="E1476" s="1" t="s">
        <v>74</v>
      </c>
      <c r="F1476" s="1" t="s">
        <v>48</v>
      </c>
      <c r="G1476" s="2">
        <v>201.17</v>
      </c>
      <c r="H1476" s="1">
        <v>5</v>
      </c>
      <c r="I1476" s="1">
        <v>276</v>
      </c>
      <c r="J1476" s="1">
        <v>273</v>
      </c>
      <c r="K1476" s="1">
        <v>53</v>
      </c>
      <c r="L1476" s="1">
        <v>128</v>
      </c>
      <c r="M1476" s="1" t="s">
        <v>41</v>
      </c>
      <c r="N1476" s="1" t="s">
        <v>42</v>
      </c>
      <c r="O1476" t="s">
        <v>113</v>
      </c>
      <c r="P1476" s="2">
        <v>140.82</v>
      </c>
      <c r="Q1476" s="1" t="str">
        <f>IF(J173&gt;K173,"YES","NO")</f>
        <v>YES</v>
      </c>
      <c r="R1476" s="2">
        <f>IF(Q173="YES",G173*0.9,G173)</f>
        <v>181.053</v>
      </c>
      <c r="S1476" s="2">
        <f>J173*G173</f>
        <v>54919.409999999996</v>
      </c>
      <c r="T1476" s="1">
        <f ca="1">TODAY()-DATE(MID(O173,7,4),MID(O173,4,2),LEFT(O173,2))</f>
        <v>82</v>
      </c>
      <c r="U1476" s="1" t="s">
        <v>34</v>
      </c>
      <c r="V1476" s="1" t="s">
        <v>34</v>
      </c>
      <c r="W1476" s="1" t="s">
        <v>34</v>
      </c>
      <c r="X1476" t="s">
        <v>2663</v>
      </c>
      <c r="Y1476" s="1">
        <v>6.5</v>
      </c>
    </row>
    <row r="1477" spans="1:25" x14ac:dyDescent="0.3">
      <c r="A1477" s="1" t="s">
        <v>2491</v>
      </c>
      <c r="B1477" s="1" t="s">
        <v>123</v>
      </c>
      <c r="C1477" s="1" t="s">
        <v>124</v>
      </c>
      <c r="D1477" s="1" t="s">
        <v>47</v>
      </c>
      <c r="E1477" s="1" t="s">
        <v>40</v>
      </c>
      <c r="F1477" s="1" t="s">
        <v>54</v>
      </c>
      <c r="G1477" s="2">
        <v>135.19999999999999</v>
      </c>
      <c r="H1477" s="1">
        <v>7</v>
      </c>
      <c r="I1477" s="1">
        <v>128</v>
      </c>
      <c r="J1477" s="1">
        <v>96</v>
      </c>
      <c r="K1477" s="1">
        <v>105</v>
      </c>
      <c r="L1477" s="1">
        <v>109</v>
      </c>
      <c r="M1477" s="1" t="s">
        <v>49</v>
      </c>
      <c r="N1477" s="1" t="s">
        <v>42</v>
      </c>
      <c r="O1477" t="s">
        <v>81</v>
      </c>
      <c r="P1477" s="2">
        <v>94.64</v>
      </c>
      <c r="Q1477" s="1" t="str">
        <f>IF(J62&gt;K62,"YES","NO")</f>
        <v>NO</v>
      </c>
      <c r="R1477" s="2">
        <f>IF(Q62="YES",G62*0.9,G62)</f>
        <v>135.19999999999999</v>
      </c>
      <c r="S1477" s="2">
        <f>J62*G62</f>
        <v>12979.199999999999</v>
      </c>
      <c r="T1477" s="1">
        <f ca="1">TODAY()-DATE(MID(O62,7,4),MID(O62,4,2),LEFT(O62,2))</f>
        <v>81</v>
      </c>
      <c r="U1477" s="1" t="s">
        <v>34</v>
      </c>
      <c r="V1477" s="1" t="s">
        <v>34</v>
      </c>
      <c r="W1477" s="1" t="s">
        <v>34</v>
      </c>
      <c r="X1477" t="s">
        <v>2775</v>
      </c>
      <c r="Y1477" s="1">
        <v>6</v>
      </c>
    </row>
    <row r="1478" spans="1:25" x14ac:dyDescent="0.3">
      <c r="A1478" s="1" t="s">
        <v>2492</v>
      </c>
      <c r="B1478" s="1" t="s">
        <v>107</v>
      </c>
      <c r="C1478" s="1" t="s">
        <v>108</v>
      </c>
      <c r="D1478" s="1" t="s">
        <v>39</v>
      </c>
      <c r="E1478" s="1" t="s">
        <v>74</v>
      </c>
      <c r="F1478" s="1" t="s">
        <v>54</v>
      </c>
      <c r="G1478" s="2">
        <v>463.35</v>
      </c>
      <c r="H1478" s="1">
        <v>3</v>
      </c>
      <c r="I1478" s="1">
        <v>211</v>
      </c>
      <c r="J1478" s="1">
        <v>188</v>
      </c>
      <c r="K1478" s="1">
        <v>100</v>
      </c>
      <c r="L1478" s="1">
        <v>64</v>
      </c>
      <c r="M1478" s="1" t="s">
        <v>31</v>
      </c>
      <c r="N1478" s="1" t="s">
        <v>60</v>
      </c>
      <c r="O1478" t="s">
        <v>272</v>
      </c>
      <c r="P1478" s="2">
        <v>324.33999999999997</v>
      </c>
      <c r="Q1478" s="1" t="str">
        <f>IF(J459&gt;K459,"YES","NO")</f>
        <v>YES</v>
      </c>
      <c r="R1478" s="2">
        <f>IF(Q459="YES",G459*0.9,G459)</f>
        <v>417.01500000000004</v>
      </c>
      <c r="S1478" s="2">
        <f>J459*G459</f>
        <v>87109.8</v>
      </c>
      <c r="T1478" s="1">
        <f ca="1">TODAY()-DATE(MID(O459,7,4),MID(O459,4,2),LEFT(O459,2))</f>
        <v>72</v>
      </c>
      <c r="U1478" s="1" t="s">
        <v>34</v>
      </c>
      <c r="V1478" s="1" t="s">
        <v>34</v>
      </c>
      <c r="W1478" s="1" t="s">
        <v>34</v>
      </c>
      <c r="X1478" t="s">
        <v>2810</v>
      </c>
      <c r="Y1478" s="1">
        <v>9.5</v>
      </c>
    </row>
    <row r="1479" spans="1:25" x14ac:dyDescent="0.3">
      <c r="A1479" s="1" t="s">
        <v>2493</v>
      </c>
      <c r="B1479" s="1" t="s">
        <v>57</v>
      </c>
      <c r="C1479" s="1" t="s">
        <v>58</v>
      </c>
      <c r="D1479" s="1" t="s">
        <v>59</v>
      </c>
      <c r="E1479" s="1" t="s">
        <v>40</v>
      </c>
      <c r="F1479" s="1" t="s">
        <v>54</v>
      </c>
      <c r="G1479" s="2">
        <v>479.73</v>
      </c>
      <c r="H1479" s="1">
        <v>3</v>
      </c>
      <c r="I1479" s="1">
        <v>137</v>
      </c>
      <c r="J1479" s="1">
        <v>124</v>
      </c>
      <c r="K1479" s="1">
        <v>87</v>
      </c>
      <c r="L1479" s="1">
        <v>92</v>
      </c>
      <c r="M1479" s="1" t="s">
        <v>31</v>
      </c>
      <c r="N1479" s="1" t="s">
        <v>32</v>
      </c>
      <c r="O1479" t="s">
        <v>257</v>
      </c>
      <c r="P1479" s="2">
        <v>335.81</v>
      </c>
      <c r="Q1479" s="1" t="str">
        <f>IF(J361&gt;K361,"YES","NO")</f>
        <v>YES</v>
      </c>
      <c r="R1479" s="2">
        <f>IF(Q361="YES",G361*0.9,G361)</f>
        <v>431.75700000000001</v>
      </c>
      <c r="S1479" s="2">
        <f>J361*G361</f>
        <v>59486.520000000004</v>
      </c>
      <c r="T1479" s="1">
        <f ca="1">TODAY()-DATE(MID(O361,7,4),MID(O361,4,2),LEFT(O361,2))</f>
        <v>113</v>
      </c>
      <c r="U1479" s="1" t="s">
        <v>34</v>
      </c>
      <c r="V1479" s="1" t="s">
        <v>34</v>
      </c>
      <c r="W1479" s="1" t="s">
        <v>34</v>
      </c>
      <c r="X1479" t="s">
        <v>2612</v>
      </c>
      <c r="Y1479" s="1">
        <v>5.5</v>
      </c>
    </row>
    <row r="1480" spans="1:25" x14ac:dyDescent="0.3">
      <c r="A1480" s="1" t="s">
        <v>2494</v>
      </c>
      <c r="B1480" s="1" t="s">
        <v>45</v>
      </c>
      <c r="C1480" s="1" t="s">
        <v>46</v>
      </c>
      <c r="D1480" s="1" t="s">
        <v>47</v>
      </c>
      <c r="E1480" s="1" t="s">
        <v>29</v>
      </c>
      <c r="F1480" s="1" t="s">
        <v>48</v>
      </c>
      <c r="G1480" s="2">
        <v>57.66</v>
      </c>
      <c r="H1480" s="1">
        <v>4</v>
      </c>
      <c r="I1480" s="1">
        <v>292</v>
      </c>
      <c r="J1480" s="1">
        <v>262</v>
      </c>
      <c r="K1480" s="1">
        <v>65</v>
      </c>
      <c r="L1480" s="1">
        <v>123</v>
      </c>
      <c r="M1480" s="1" t="s">
        <v>41</v>
      </c>
      <c r="N1480" s="1" t="s">
        <v>60</v>
      </c>
      <c r="O1480" t="s">
        <v>292</v>
      </c>
      <c r="P1480" s="2">
        <v>40.36</v>
      </c>
      <c r="Q1480" s="1" t="str">
        <f>IF(J787&gt;K787,"YES","NO")</f>
        <v>YES</v>
      </c>
      <c r="R1480" s="2">
        <f>IF(Q787="YES",G787*0.9,G787)</f>
        <v>51.893999999999998</v>
      </c>
      <c r="S1480" s="2">
        <f>J787*G787</f>
        <v>15106.919999999998</v>
      </c>
      <c r="T1480" s="1">
        <f ca="1">TODAY()-DATE(MID(O787,7,4),MID(O787,4,2),LEFT(O787,2))</f>
        <v>83</v>
      </c>
      <c r="U1480" s="1" t="s">
        <v>34</v>
      </c>
      <c r="V1480" s="1" t="s">
        <v>34</v>
      </c>
      <c r="W1480" s="1" t="s">
        <v>34</v>
      </c>
      <c r="X1480" t="s">
        <v>2811</v>
      </c>
      <c r="Y1480" s="1">
        <v>8.5</v>
      </c>
    </row>
    <row r="1481" spans="1:25" x14ac:dyDescent="0.3">
      <c r="A1481" s="1" t="s">
        <v>2495</v>
      </c>
      <c r="B1481" s="1" t="s">
        <v>63</v>
      </c>
      <c r="C1481" s="1" t="s">
        <v>64</v>
      </c>
      <c r="D1481" s="1" t="s">
        <v>28</v>
      </c>
      <c r="E1481" s="1" t="s">
        <v>29</v>
      </c>
      <c r="F1481" s="1" t="s">
        <v>54</v>
      </c>
      <c r="G1481" s="2">
        <v>69.48</v>
      </c>
      <c r="H1481" s="1">
        <v>20</v>
      </c>
      <c r="I1481" s="1">
        <v>90</v>
      </c>
      <c r="J1481" s="1">
        <v>79</v>
      </c>
      <c r="K1481" s="1">
        <v>76</v>
      </c>
      <c r="L1481" s="1">
        <v>111</v>
      </c>
      <c r="M1481" s="1" t="s">
        <v>41</v>
      </c>
      <c r="N1481" s="1" t="s">
        <v>60</v>
      </c>
      <c r="O1481" t="s">
        <v>86</v>
      </c>
      <c r="P1481" s="2">
        <v>48.64</v>
      </c>
      <c r="Q1481" s="1" t="str">
        <f>IF(J87&gt;K87,"YES","NO")</f>
        <v>YES</v>
      </c>
      <c r="R1481" s="2">
        <f>IF(Q87="YES",G87*0.9,G87)</f>
        <v>62.532000000000004</v>
      </c>
      <c r="S1481" s="2">
        <f>J87*G87</f>
        <v>5488.92</v>
      </c>
      <c r="T1481" s="1">
        <f ca="1">TODAY()-DATE(MID(O87,7,4),MID(O87,4,2),LEFT(O87,2))</f>
        <v>121</v>
      </c>
      <c r="U1481" s="1" t="s">
        <v>34</v>
      </c>
      <c r="V1481" s="1" t="s">
        <v>34</v>
      </c>
      <c r="W1481" s="1" t="s">
        <v>34</v>
      </c>
      <c r="X1481" t="s">
        <v>2802</v>
      </c>
      <c r="Y1481" s="1">
        <v>8.5</v>
      </c>
    </row>
    <row r="1482" spans="1:25" x14ac:dyDescent="0.3">
      <c r="A1482" s="1" t="s">
        <v>2496</v>
      </c>
      <c r="B1482" s="1" t="s">
        <v>143</v>
      </c>
      <c r="C1482" s="1" t="s">
        <v>144</v>
      </c>
      <c r="D1482" s="1" t="s">
        <v>47</v>
      </c>
      <c r="E1482" s="1" t="s">
        <v>40</v>
      </c>
      <c r="F1482" s="1" t="s">
        <v>30</v>
      </c>
      <c r="G1482" s="2">
        <v>319.64</v>
      </c>
      <c r="H1482" s="1">
        <v>8</v>
      </c>
      <c r="I1482" s="1">
        <v>137</v>
      </c>
      <c r="J1482" s="1">
        <v>102</v>
      </c>
      <c r="K1482" s="1">
        <v>84</v>
      </c>
      <c r="L1482" s="1">
        <v>90</v>
      </c>
      <c r="M1482" s="1" t="s">
        <v>49</v>
      </c>
      <c r="N1482" s="1" t="s">
        <v>32</v>
      </c>
      <c r="O1482" t="s">
        <v>135</v>
      </c>
      <c r="P1482" s="2">
        <v>223.75</v>
      </c>
      <c r="Q1482" s="1" t="str">
        <f>IF(J559&gt;K559,"YES","NO")</f>
        <v>YES</v>
      </c>
      <c r="R1482" s="2">
        <f>IF(Q559="YES",G559*0.9,G559)</f>
        <v>287.67599999999999</v>
      </c>
      <c r="S1482" s="2">
        <f>J559*G559</f>
        <v>32603.279999999999</v>
      </c>
      <c r="T1482" s="1">
        <f ca="1">TODAY()-DATE(MID(O559,7,4),MID(O559,4,2),LEFT(O559,2))</f>
        <v>71</v>
      </c>
      <c r="U1482" s="1" t="s">
        <v>34</v>
      </c>
      <c r="V1482" s="1" t="s">
        <v>34</v>
      </c>
      <c r="W1482" s="1" t="s">
        <v>34</v>
      </c>
      <c r="X1482" t="s">
        <v>2677</v>
      </c>
      <c r="Y1482" s="1">
        <v>9.5</v>
      </c>
    </row>
    <row r="1483" spans="1:25" x14ac:dyDescent="0.3">
      <c r="A1483" s="1" t="s">
        <v>2497</v>
      </c>
      <c r="B1483" s="1" t="s">
        <v>197</v>
      </c>
      <c r="C1483" s="1" t="s">
        <v>198</v>
      </c>
      <c r="D1483" s="1" t="s">
        <v>104</v>
      </c>
      <c r="E1483" s="1" t="s">
        <v>29</v>
      </c>
      <c r="F1483" s="1" t="s">
        <v>54</v>
      </c>
      <c r="G1483" s="2">
        <v>107.56</v>
      </c>
      <c r="H1483" s="1">
        <v>3</v>
      </c>
      <c r="I1483" s="1">
        <v>183</v>
      </c>
      <c r="J1483" s="1">
        <v>154</v>
      </c>
      <c r="K1483" s="1">
        <v>73</v>
      </c>
      <c r="L1483" s="1">
        <v>50</v>
      </c>
      <c r="M1483" s="1" t="s">
        <v>31</v>
      </c>
      <c r="N1483" s="1" t="s">
        <v>32</v>
      </c>
      <c r="O1483" t="s">
        <v>55</v>
      </c>
      <c r="P1483" s="2">
        <v>75.290000000000006</v>
      </c>
      <c r="Q1483" s="1" t="str">
        <f>IF(J112&gt;K112,"YES","NO")</f>
        <v>YES</v>
      </c>
      <c r="R1483" s="2">
        <f>IF(Q112="YES",G112*0.9,G112)</f>
        <v>96.804000000000002</v>
      </c>
      <c r="S1483" s="2">
        <f>J112*G112</f>
        <v>16564.240000000002</v>
      </c>
      <c r="T1483" s="1">
        <f ca="1">TODAY()-DATE(MID(O112,7,4),MID(O112,4,2),LEFT(O112,2))</f>
        <v>91</v>
      </c>
      <c r="U1483" s="1" t="s">
        <v>34</v>
      </c>
      <c r="V1483" s="1" t="s">
        <v>34</v>
      </c>
      <c r="W1483" s="1" t="s">
        <v>34</v>
      </c>
      <c r="X1483" t="s">
        <v>2612</v>
      </c>
      <c r="Y1483" s="1">
        <v>6</v>
      </c>
    </row>
    <row r="1484" spans="1:25" x14ac:dyDescent="0.3">
      <c r="A1484" s="1" t="s">
        <v>2498</v>
      </c>
      <c r="B1484" s="1" t="s">
        <v>77</v>
      </c>
      <c r="C1484" s="1" t="s">
        <v>78</v>
      </c>
      <c r="D1484" s="1" t="s">
        <v>47</v>
      </c>
      <c r="E1484" s="1" t="s">
        <v>74</v>
      </c>
      <c r="F1484" s="1" t="s">
        <v>48</v>
      </c>
      <c r="G1484" s="2">
        <v>280.89999999999998</v>
      </c>
      <c r="H1484" s="1">
        <v>1</v>
      </c>
      <c r="I1484" s="1">
        <v>277</v>
      </c>
      <c r="J1484" s="1">
        <v>269</v>
      </c>
      <c r="K1484" s="1">
        <v>116</v>
      </c>
      <c r="L1484" s="1">
        <v>111</v>
      </c>
      <c r="M1484" s="1" t="s">
        <v>49</v>
      </c>
      <c r="N1484" s="1" t="s">
        <v>60</v>
      </c>
      <c r="O1484" t="s">
        <v>384</v>
      </c>
      <c r="P1484" s="2">
        <v>196.63</v>
      </c>
      <c r="Q1484" s="1" t="str">
        <f>IF(J206&gt;K206,"YES","NO")</f>
        <v>YES</v>
      </c>
      <c r="R1484" s="2">
        <f>IF(Q206="YES",G206*0.9,G206)</f>
        <v>252.80999999999997</v>
      </c>
      <c r="S1484" s="2">
        <f>J206*G206</f>
        <v>75562.099999999991</v>
      </c>
      <c r="T1484" s="1">
        <f ca="1">TODAY()-DATE(MID(O206,7,4),MID(O206,4,2),LEFT(O206,2))</f>
        <v>147</v>
      </c>
      <c r="U1484" s="1" t="s">
        <v>34</v>
      </c>
      <c r="V1484" s="1" t="s">
        <v>34</v>
      </c>
      <c r="W1484" s="1" t="s">
        <v>34</v>
      </c>
      <c r="X1484" t="s">
        <v>2574</v>
      </c>
      <c r="Y1484" s="1">
        <v>8</v>
      </c>
    </row>
    <row r="1485" spans="1:25" x14ac:dyDescent="0.3">
      <c r="A1485" s="1" t="s">
        <v>2499</v>
      </c>
      <c r="B1485" s="1" t="s">
        <v>102</v>
      </c>
      <c r="C1485" s="1" t="s">
        <v>103</v>
      </c>
      <c r="D1485" s="1" t="s">
        <v>104</v>
      </c>
      <c r="E1485" s="1" t="s">
        <v>40</v>
      </c>
      <c r="F1485" s="1" t="s">
        <v>48</v>
      </c>
      <c r="G1485" s="2">
        <v>455.92</v>
      </c>
      <c r="H1485" s="1">
        <v>19</v>
      </c>
      <c r="I1485" s="1">
        <v>195</v>
      </c>
      <c r="J1485" s="1">
        <v>186</v>
      </c>
      <c r="K1485" s="1">
        <v>53</v>
      </c>
      <c r="L1485" s="1">
        <v>67</v>
      </c>
      <c r="M1485" s="1" t="s">
        <v>41</v>
      </c>
      <c r="N1485" s="1" t="s">
        <v>32</v>
      </c>
      <c r="O1485" t="s">
        <v>67</v>
      </c>
      <c r="P1485" s="2">
        <v>319.14</v>
      </c>
      <c r="Q1485" s="1" t="str">
        <f>IF(J127&gt;K127,"YES","NO")</f>
        <v>YES</v>
      </c>
      <c r="R1485" s="2">
        <f>IF(Q127="YES",G127*0.9,G127)</f>
        <v>410.32800000000003</v>
      </c>
      <c r="S1485" s="2">
        <f>J127*G127</f>
        <v>84801.12000000001</v>
      </c>
      <c r="T1485" s="1">
        <f ca="1">TODAY()-DATE(MID(O127,7,4),MID(O127,4,2),LEFT(O127,2))</f>
        <v>97</v>
      </c>
      <c r="U1485" s="1" t="s">
        <v>34</v>
      </c>
      <c r="V1485" s="1" t="s">
        <v>34</v>
      </c>
      <c r="W1485" s="1" t="s">
        <v>34</v>
      </c>
      <c r="X1485" t="s">
        <v>2629</v>
      </c>
      <c r="Y1485" s="1">
        <v>8.5</v>
      </c>
    </row>
    <row r="1486" spans="1:25" x14ac:dyDescent="0.3">
      <c r="A1486" s="1" t="s">
        <v>2500</v>
      </c>
      <c r="B1486" s="1" t="s">
        <v>102</v>
      </c>
      <c r="C1486" s="1" t="s">
        <v>103</v>
      </c>
      <c r="D1486" s="1" t="s">
        <v>104</v>
      </c>
      <c r="E1486" s="1" t="s">
        <v>40</v>
      </c>
      <c r="F1486" s="1" t="s">
        <v>48</v>
      </c>
      <c r="G1486" s="2">
        <v>455.92</v>
      </c>
      <c r="H1486" s="1">
        <v>19</v>
      </c>
      <c r="I1486" s="1">
        <v>195</v>
      </c>
      <c r="J1486" s="1">
        <v>186</v>
      </c>
      <c r="K1486" s="1">
        <v>53</v>
      </c>
      <c r="L1486" s="1">
        <v>67</v>
      </c>
      <c r="M1486" s="1" t="s">
        <v>41</v>
      </c>
      <c r="N1486" s="1" t="s">
        <v>32</v>
      </c>
      <c r="O1486" t="s">
        <v>67</v>
      </c>
      <c r="P1486" s="2">
        <v>319.14</v>
      </c>
      <c r="Q1486" s="1" t="str">
        <f>IF(J127&gt;K127,"YES","NO")</f>
        <v>YES</v>
      </c>
      <c r="R1486" s="2">
        <f>IF(Q127="YES",G127*0.9,G127)</f>
        <v>410.32800000000003</v>
      </c>
      <c r="S1486" s="2">
        <f>J127*G127</f>
        <v>84801.12000000001</v>
      </c>
      <c r="T1486" s="1">
        <f ca="1">TODAY()-DATE(MID(O127,7,4),MID(O127,4,2),LEFT(O127,2))</f>
        <v>97</v>
      </c>
      <c r="U1486" s="1" t="s">
        <v>34</v>
      </c>
      <c r="V1486" s="1" t="s">
        <v>34</v>
      </c>
      <c r="W1486" s="1" t="s">
        <v>34</v>
      </c>
      <c r="X1486" t="s">
        <v>2752</v>
      </c>
      <c r="Y1486" s="1">
        <v>8.5</v>
      </c>
    </row>
    <row r="1487" spans="1:25" x14ac:dyDescent="0.3">
      <c r="A1487" s="1" t="s">
        <v>2501</v>
      </c>
      <c r="B1487" s="1" t="s">
        <v>299</v>
      </c>
      <c r="C1487" s="1" t="s">
        <v>300</v>
      </c>
      <c r="D1487" s="1" t="s">
        <v>39</v>
      </c>
      <c r="E1487" s="1" t="s">
        <v>40</v>
      </c>
      <c r="F1487" s="1" t="s">
        <v>54</v>
      </c>
      <c r="G1487" s="2">
        <v>106.33</v>
      </c>
      <c r="H1487" s="1">
        <v>16</v>
      </c>
      <c r="I1487" s="1">
        <v>152</v>
      </c>
      <c r="J1487" s="1">
        <v>149</v>
      </c>
      <c r="K1487" s="1">
        <v>98</v>
      </c>
      <c r="L1487" s="1">
        <v>98</v>
      </c>
      <c r="M1487" s="1" t="s">
        <v>41</v>
      </c>
      <c r="N1487" s="1" t="s">
        <v>42</v>
      </c>
      <c r="O1487" t="s">
        <v>217</v>
      </c>
      <c r="P1487" s="2">
        <v>74.430000000000007</v>
      </c>
      <c r="Q1487" s="1" t="str">
        <f>IF(J132&gt;K132,"YES","NO")</f>
        <v>YES</v>
      </c>
      <c r="R1487" s="2">
        <f>IF(Q132="YES",G132*0.9,G132)</f>
        <v>95.697000000000003</v>
      </c>
      <c r="S1487" s="2">
        <f>J132*G132</f>
        <v>15843.17</v>
      </c>
      <c r="T1487" s="1">
        <f ca="1">TODAY()-DATE(MID(O132,7,4),MID(O132,4,2),LEFT(O132,2))</f>
        <v>100</v>
      </c>
      <c r="U1487" s="1" t="s">
        <v>34</v>
      </c>
      <c r="V1487" s="1" t="s">
        <v>34</v>
      </c>
      <c r="W1487" s="1" t="s">
        <v>34</v>
      </c>
      <c r="X1487" t="s">
        <v>2572</v>
      </c>
      <c r="Y1487" s="1">
        <v>6</v>
      </c>
    </row>
    <row r="1488" spans="1:25" x14ac:dyDescent="0.3">
      <c r="A1488" s="1" t="s">
        <v>2502</v>
      </c>
      <c r="B1488" s="1" t="s">
        <v>69</v>
      </c>
      <c r="C1488" s="1" t="s">
        <v>70</v>
      </c>
      <c r="D1488" s="1" t="s">
        <v>59</v>
      </c>
      <c r="E1488" s="1" t="s">
        <v>40</v>
      </c>
      <c r="F1488" s="1" t="s">
        <v>48</v>
      </c>
      <c r="G1488" s="2">
        <v>212.15</v>
      </c>
      <c r="H1488" s="1">
        <v>22</v>
      </c>
      <c r="I1488" s="1">
        <v>149</v>
      </c>
      <c r="J1488" s="1">
        <v>135</v>
      </c>
      <c r="K1488" s="1">
        <v>80</v>
      </c>
      <c r="L1488" s="1">
        <v>78</v>
      </c>
      <c r="M1488" s="1" t="s">
        <v>31</v>
      </c>
      <c r="N1488" s="1" t="s">
        <v>60</v>
      </c>
      <c r="O1488" t="s">
        <v>311</v>
      </c>
      <c r="P1488" s="2">
        <v>148.5</v>
      </c>
      <c r="Q1488" s="1" t="str">
        <f>IF(J471&gt;K471,"YES","NO")</f>
        <v>YES</v>
      </c>
      <c r="R1488" s="2">
        <f>IF(Q471="YES",G471*0.9,G471)</f>
        <v>190.935</v>
      </c>
      <c r="S1488" s="2">
        <f>J471*G471</f>
        <v>28640.25</v>
      </c>
      <c r="T1488" s="1">
        <f ca="1">TODAY()-DATE(MID(O471,7,4),MID(O471,4,2),LEFT(O471,2))</f>
        <v>80</v>
      </c>
      <c r="U1488" s="1" t="s">
        <v>34</v>
      </c>
      <c r="V1488" s="1" t="s">
        <v>34</v>
      </c>
      <c r="W1488" s="1" t="s">
        <v>34</v>
      </c>
      <c r="X1488" t="s">
        <v>2651</v>
      </c>
      <c r="Y1488" s="1">
        <v>5.5</v>
      </c>
    </row>
    <row r="1489" spans="1:25" x14ac:dyDescent="0.3">
      <c r="A1489" s="1" t="s">
        <v>2503</v>
      </c>
      <c r="B1489" s="1" t="s">
        <v>111</v>
      </c>
      <c r="C1489" s="1" t="s">
        <v>112</v>
      </c>
      <c r="D1489" s="1" t="s">
        <v>97</v>
      </c>
      <c r="E1489" s="1" t="s">
        <v>74</v>
      </c>
      <c r="F1489" s="1" t="s">
        <v>48</v>
      </c>
      <c r="G1489" s="2">
        <v>438.33</v>
      </c>
      <c r="H1489" s="1">
        <v>22</v>
      </c>
      <c r="I1489" s="1">
        <v>164</v>
      </c>
      <c r="J1489" s="1">
        <v>126</v>
      </c>
      <c r="K1489" s="1">
        <v>94</v>
      </c>
      <c r="L1489" s="1">
        <v>149</v>
      </c>
      <c r="M1489" s="1" t="s">
        <v>49</v>
      </c>
      <c r="N1489" s="1" t="s">
        <v>32</v>
      </c>
      <c r="O1489" t="s">
        <v>333</v>
      </c>
      <c r="P1489" s="2">
        <v>306.83</v>
      </c>
      <c r="Q1489" s="1" t="str">
        <f>IF(J797&gt;K797,"YES","NO")</f>
        <v>YES</v>
      </c>
      <c r="R1489" s="2">
        <f>IF(Q797="YES",G797*0.9,G797)</f>
        <v>394.49700000000001</v>
      </c>
      <c r="S1489" s="2">
        <f>J797*G797</f>
        <v>55229.579999999994</v>
      </c>
      <c r="T1489" s="1">
        <f ca="1">TODAY()-DATE(MID(O797,7,4),MID(O797,4,2),LEFT(O797,2))</f>
        <v>109</v>
      </c>
      <c r="U1489" s="1" t="s">
        <v>34</v>
      </c>
      <c r="V1489" s="1" t="s">
        <v>34</v>
      </c>
      <c r="W1489" s="1" t="s">
        <v>34</v>
      </c>
      <c r="X1489" t="s">
        <v>2526</v>
      </c>
      <c r="Y1489" s="1">
        <v>8.5</v>
      </c>
    </row>
    <row r="1490" spans="1:25" x14ac:dyDescent="0.3">
      <c r="A1490" s="1" t="s">
        <v>2504</v>
      </c>
      <c r="B1490" s="1" t="s">
        <v>72</v>
      </c>
      <c r="C1490" s="1" t="s">
        <v>73</v>
      </c>
      <c r="D1490" s="1" t="s">
        <v>47</v>
      </c>
      <c r="E1490" s="1" t="s">
        <v>74</v>
      </c>
      <c r="F1490" s="1" t="s">
        <v>48</v>
      </c>
      <c r="G1490" s="2">
        <v>444.28</v>
      </c>
      <c r="H1490" s="1">
        <v>21</v>
      </c>
      <c r="I1490" s="1">
        <v>270</v>
      </c>
      <c r="J1490" s="1">
        <v>234</v>
      </c>
      <c r="K1490" s="1">
        <v>120</v>
      </c>
      <c r="L1490" s="1">
        <v>56</v>
      </c>
      <c r="M1490" s="1" t="s">
        <v>31</v>
      </c>
      <c r="N1490" s="1" t="s">
        <v>60</v>
      </c>
      <c r="O1490" t="s">
        <v>75</v>
      </c>
      <c r="P1490" s="2">
        <v>311</v>
      </c>
      <c r="Q1490" s="1" t="str">
        <f>IF(J10&gt;K10,"YES","NO")</f>
        <v>YES</v>
      </c>
      <c r="R1490" s="2">
        <f>IF(Q10="YES",G10*0.9,G10)</f>
        <v>399.85199999999998</v>
      </c>
      <c r="S1490" s="2">
        <f>J10*G10</f>
        <v>103961.51999999999</v>
      </c>
      <c r="T1490" s="1">
        <f ca="1">TODAY()-DATE(MID(O10,7,4),MID(O10,4,2),LEFT(O10,2))</f>
        <v>123</v>
      </c>
      <c r="U1490" s="1" t="s">
        <v>34</v>
      </c>
      <c r="V1490" s="1" t="s">
        <v>34</v>
      </c>
      <c r="W1490" s="1" t="s">
        <v>34</v>
      </c>
      <c r="X1490" t="s">
        <v>2776</v>
      </c>
      <c r="Y1490" s="1">
        <v>5</v>
      </c>
    </row>
    <row r="1491" spans="1:25" x14ac:dyDescent="0.3">
      <c r="A1491" s="1" t="s">
        <v>2505</v>
      </c>
      <c r="B1491" s="1" t="s">
        <v>52</v>
      </c>
      <c r="C1491" s="1" t="s">
        <v>53</v>
      </c>
      <c r="D1491" s="1" t="s">
        <v>47</v>
      </c>
      <c r="E1491" s="1" t="s">
        <v>74</v>
      </c>
      <c r="F1491" s="1" t="s">
        <v>48</v>
      </c>
      <c r="G1491" s="2">
        <v>115.62</v>
      </c>
      <c r="H1491" s="1">
        <v>6</v>
      </c>
      <c r="I1491" s="1">
        <v>230</v>
      </c>
      <c r="J1491" s="1">
        <v>198</v>
      </c>
      <c r="K1491" s="1">
        <v>73</v>
      </c>
      <c r="L1491" s="1">
        <v>110</v>
      </c>
      <c r="M1491" s="1" t="s">
        <v>31</v>
      </c>
      <c r="N1491" s="1" t="s">
        <v>60</v>
      </c>
      <c r="O1491" t="s">
        <v>128</v>
      </c>
      <c r="P1491" s="2">
        <v>80.930000000000007</v>
      </c>
      <c r="Q1491" s="1" t="str">
        <f>IF(J615&gt;K615,"YES","NO")</f>
        <v>YES</v>
      </c>
      <c r="R1491" s="2">
        <f>IF(Q615="YES",G615*0.9,G615)</f>
        <v>104.05800000000001</v>
      </c>
      <c r="S1491" s="2">
        <f>J615*G615</f>
        <v>22892.760000000002</v>
      </c>
      <c r="T1491" s="1">
        <f ca="1">TODAY()-DATE(MID(O615,7,4),MID(O615,4,2),LEFT(O615,2))</f>
        <v>77</v>
      </c>
      <c r="U1491" s="1" t="s">
        <v>34</v>
      </c>
      <c r="V1491" s="1" t="s">
        <v>34</v>
      </c>
      <c r="W1491" s="1" t="s">
        <v>34</v>
      </c>
      <c r="X1491" t="s">
        <v>2726</v>
      </c>
      <c r="Y1491" s="1">
        <v>7.5</v>
      </c>
    </row>
    <row r="1492" spans="1:25" x14ac:dyDescent="0.3">
      <c r="A1492" s="1" t="s">
        <v>2506</v>
      </c>
      <c r="B1492" s="1" t="s">
        <v>189</v>
      </c>
      <c r="C1492" s="1" t="s">
        <v>190</v>
      </c>
      <c r="D1492" s="1" t="s">
        <v>59</v>
      </c>
      <c r="E1492" s="1" t="s">
        <v>74</v>
      </c>
      <c r="F1492" s="1" t="s">
        <v>30</v>
      </c>
      <c r="G1492" s="2">
        <v>275.60000000000002</v>
      </c>
      <c r="H1492" s="1">
        <v>12</v>
      </c>
      <c r="I1492" s="1">
        <v>223</v>
      </c>
      <c r="J1492" s="1">
        <v>218</v>
      </c>
      <c r="K1492" s="1">
        <v>88</v>
      </c>
      <c r="L1492" s="1">
        <v>125</v>
      </c>
      <c r="M1492" s="1" t="s">
        <v>41</v>
      </c>
      <c r="N1492" s="1" t="s">
        <v>42</v>
      </c>
      <c r="O1492" t="s">
        <v>209</v>
      </c>
      <c r="P1492" s="2">
        <v>192.92</v>
      </c>
      <c r="Q1492" s="1" t="str">
        <f>IF(J67&gt;K67,"YES","NO")</f>
        <v>YES</v>
      </c>
      <c r="R1492" s="2">
        <f>IF(Q67="YES",G67*0.9,G67)</f>
        <v>248.04000000000002</v>
      </c>
      <c r="S1492" s="2">
        <f>J67*G67</f>
        <v>60080.800000000003</v>
      </c>
      <c r="T1492" s="1">
        <f ca="1">TODAY()-DATE(MID(O67,7,4),MID(O67,4,2),LEFT(O67,2))</f>
        <v>127</v>
      </c>
      <c r="U1492" s="1" t="s">
        <v>34</v>
      </c>
      <c r="V1492" s="1" t="s">
        <v>34</v>
      </c>
      <c r="W1492" s="1" t="s">
        <v>34</v>
      </c>
      <c r="X1492" t="s">
        <v>2887</v>
      </c>
      <c r="Y1492" s="1">
        <v>8.5</v>
      </c>
    </row>
    <row r="1493" spans="1:25" x14ac:dyDescent="0.3">
      <c r="A1493" s="1" t="s">
        <v>2507</v>
      </c>
      <c r="B1493" s="1" t="s">
        <v>192</v>
      </c>
      <c r="C1493" s="1" t="s">
        <v>193</v>
      </c>
      <c r="D1493" s="1" t="s">
        <v>85</v>
      </c>
      <c r="E1493" s="1" t="s">
        <v>74</v>
      </c>
      <c r="F1493" s="1" t="s">
        <v>48</v>
      </c>
      <c r="G1493" s="2">
        <v>161.04</v>
      </c>
      <c r="H1493" s="1">
        <v>17</v>
      </c>
      <c r="I1493" s="1">
        <v>176</v>
      </c>
      <c r="J1493" s="1">
        <v>167</v>
      </c>
      <c r="K1493" s="1">
        <v>95</v>
      </c>
      <c r="L1493" s="1">
        <v>76</v>
      </c>
      <c r="M1493" s="1" t="s">
        <v>31</v>
      </c>
      <c r="N1493" s="1" t="s">
        <v>42</v>
      </c>
      <c r="O1493" t="s">
        <v>410</v>
      </c>
      <c r="P1493" s="2">
        <v>112.73</v>
      </c>
      <c r="Q1493" s="1" t="str">
        <f>IF(J227&gt;K227,"YES","NO")</f>
        <v>YES</v>
      </c>
      <c r="R1493" s="2">
        <f>IF(Q227="YES",G227*0.9,G227)</f>
        <v>144.93600000000001</v>
      </c>
      <c r="S1493" s="2">
        <f>J227*G227</f>
        <v>26893.68</v>
      </c>
      <c r="T1493" s="1">
        <f ca="1">TODAY()-DATE(MID(O227,7,4),MID(O227,4,2),LEFT(O227,2))</f>
        <v>136</v>
      </c>
      <c r="U1493" s="1" t="s">
        <v>34</v>
      </c>
      <c r="V1493" s="1" t="s">
        <v>34</v>
      </c>
      <c r="W1493" s="1" t="s">
        <v>34</v>
      </c>
      <c r="X1493" t="s">
        <v>2808</v>
      </c>
      <c r="Y1493" s="1">
        <v>8.5</v>
      </c>
    </row>
    <row r="1494" spans="1:25" x14ac:dyDescent="0.3">
      <c r="A1494" s="1" t="s">
        <v>2508</v>
      </c>
      <c r="B1494" s="1" t="s">
        <v>102</v>
      </c>
      <c r="C1494" s="1" t="s">
        <v>103</v>
      </c>
      <c r="D1494" s="1" t="s">
        <v>104</v>
      </c>
      <c r="E1494" s="1" t="s">
        <v>74</v>
      </c>
      <c r="F1494" s="1" t="s">
        <v>30</v>
      </c>
      <c r="G1494" s="2">
        <v>133.66</v>
      </c>
      <c r="H1494" s="1">
        <v>13</v>
      </c>
      <c r="I1494" s="1">
        <v>213</v>
      </c>
      <c r="J1494" s="1">
        <v>203</v>
      </c>
      <c r="K1494" s="1">
        <v>71</v>
      </c>
      <c r="L1494" s="1">
        <v>62</v>
      </c>
      <c r="M1494" s="1" t="s">
        <v>49</v>
      </c>
      <c r="N1494" s="1" t="s">
        <v>60</v>
      </c>
      <c r="O1494" t="s">
        <v>81</v>
      </c>
      <c r="P1494" s="2">
        <v>93.56</v>
      </c>
      <c r="Q1494" s="1" t="str">
        <f>IF(J544&gt;K544,"YES","NO")</f>
        <v>YES</v>
      </c>
      <c r="R1494" s="2">
        <f>IF(Q544="YES",G544*0.9,G544)</f>
        <v>120.294</v>
      </c>
      <c r="S1494" s="2">
        <f>J544*G544</f>
        <v>27132.98</v>
      </c>
      <c r="T1494" s="1">
        <f ca="1">TODAY()-DATE(MID(O544,7,4),MID(O544,4,2),LEFT(O544,2))</f>
        <v>81</v>
      </c>
      <c r="U1494" s="1" t="s">
        <v>34</v>
      </c>
      <c r="V1494" s="1" t="s">
        <v>34</v>
      </c>
      <c r="W1494" s="1" t="s">
        <v>34</v>
      </c>
      <c r="X1494" t="s">
        <v>2573</v>
      </c>
      <c r="Y1494" s="1">
        <v>7</v>
      </c>
    </row>
    <row r="1495" spans="1:25" x14ac:dyDescent="0.3">
      <c r="A1495" s="1" t="s">
        <v>2509</v>
      </c>
      <c r="B1495" s="1" t="s">
        <v>166</v>
      </c>
      <c r="C1495" s="1" t="s">
        <v>167</v>
      </c>
      <c r="D1495" s="1" t="s">
        <v>59</v>
      </c>
      <c r="E1495" s="1" t="s">
        <v>40</v>
      </c>
      <c r="F1495" s="1" t="s">
        <v>48</v>
      </c>
      <c r="G1495" s="2">
        <v>227.44</v>
      </c>
      <c r="H1495" s="1">
        <v>25</v>
      </c>
      <c r="I1495" s="1">
        <v>138</v>
      </c>
      <c r="J1495" s="1">
        <v>117</v>
      </c>
      <c r="K1495" s="1">
        <v>106</v>
      </c>
      <c r="L1495" s="1">
        <v>88</v>
      </c>
      <c r="M1495" s="1" t="s">
        <v>31</v>
      </c>
      <c r="N1495" s="1" t="s">
        <v>42</v>
      </c>
      <c r="O1495" t="s">
        <v>260</v>
      </c>
      <c r="P1495" s="2">
        <v>159.21</v>
      </c>
      <c r="Q1495" s="1" t="str">
        <f>IF(J104&gt;K104,"YES","NO")</f>
        <v>YES</v>
      </c>
      <c r="R1495" s="2">
        <f>IF(Q104="YES",G104*0.9,G104)</f>
        <v>204.696</v>
      </c>
      <c r="S1495" s="2">
        <f>J104*G104</f>
        <v>26610.48</v>
      </c>
      <c r="T1495" s="1">
        <f ca="1">TODAY()-DATE(MID(O104,7,4),MID(O104,4,2),LEFT(O104,2))</f>
        <v>70</v>
      </c>
      <c r="U1495" s="1" t="s">
        <v>34</v>
      </c>
      <c r="V1495" s="1" t="s">
        <v>34</v>
      </c>
      <c r="W1495" s="1" t="s">
        <v>34</v>
      </c>
      <c r="X1495" t="s">
        <v>2928</v>
      </c>
      <c r="Y1495" s="1">
        <v>7</v>
      </c>
    </row>
    <row r="1496" spans="1:25" x14ac:dyDescent="0.3">
      <c r="A1496" s="1" t="s">
        <v>2510</v>
      </c>
      <c r="B1496" s="1" t="s">
        <v>77</v>
      </c>
      <c r="C1496" s="1" t="s">
        <v>78</v>
      </c>
      <c r="D1496" s="1" t="s">
        <v>47</v>
      </c>
      <c r="E1496" s="1" t="s">
        <v>74</v>
      </c>
      <c r="F1496" s="1" t="s">
        <v>48</v>
      </c>
      <c r="G1496" s="2">
        <v>347.03</v>
      </c>
      <c r="H1496" s="1">
        <v>25</v>
      </c>
      <c r="I1496" s="1">
        <v>177</v>
      </c>
      <c r="J1496" s="1">
        <v>143</v>
      </c>
      <c r="K1496" s="1">
        <v>112</v>
      </c>
      <c r="L1496" s="1">
        <v>108</v>
      </c>
      <c r="M1496" s="1" t="s">
        <v>41</v>
      </c>
      <c r="N1496" s="1" t="s">
        <v>32</v>
      </c>
      <c r="O1496" t="s">
        <v>75</v>
      </c>
      <c r="P1496" s="2">
        <v>242.92</v>
      </c>
      <c r="Q1496" s="1" t="str">
        <f>IF(J623&gt;K623,"YES","NO")</f>
        <v>YES</v>
      </c>
      <c r="R1496" s="2">
        <f>IF(Q623="YES",G623*0.9,G623)</f>
        <v>312.327</v>
      </c>
      <c r="S1496" s="2">
        <f>J623*G623</f>
        <v>49625.289999999994</v>
      </c>
      <c r="T1496" s="1">
        <f ca="1">TODAY()-DATE(MID(O623,7,4),MID(O623,4,2),LEFT(O623,2))</f>
        <v>123</v>
      </c>
      <c r="U1496" s="1" t="s">
        <v>34</v>
      </c>
      <c r="V1496" s="1" t="s">
        <v>34</v>
      </c>
      <c r="W1496" s="1" t="s">
        <v>34</v>
      </c>
      <c r="X1496" t="s">
        <v>2732</v>
      </c>
      <c r="Y1496" s="1">
        <v>6.5</v>
      </c>
    </row>
    <row r="1497" spans="1:25" x14ac:dyDescent="0.3">
      <c r="A1497" s="1" t="s">
        <v>2511</v>
      </c>
      <c r="B1497" s="1" t="s">
        <v>45</v>
      </c>
      <c r="C1497" s="1" t="s">
        <v>46</v>
      </c>
      <c r="D1497" s="1" t="s">
        <v>47</v>
      </c>
      <c r="E1497" s="1" t="s">
        <v>29</v>
      </c>
      <c r="F1497" s="1" t="s">
        <v>48</v>
      </c>
      <c r="G1497" s="2">
        <v>416.67</v>
      </c>
      <c r="H1497" s="1">
        <v>19</v>
      </c>
      <c r="I1497" s="1">
        <v>90</v>
      </c>
      <c r="J1497" s="1">
        <v>78</v>
      </c>
      <c r="K1497" s="1">
        <v>72</v>
      </c>
      <c r="L1497" s="1">
        <v>97</v>
      </c>
      <c r="M1497" s="1" t="s">
        <v>31</v>
      </c>
      <c r="N1497" s="1" t="s">
        <v>32</v>
      </c>
      <c r="O1497" t="s">
        <v>100</v>
      </c>
      <c r="P1497" s="2">
        <v>291.67</v>
      </c>
      <c r="Q1497" s="1" t="str">
        <f>IF(J317&gt;K317,"YES","NO")</f>
        <v>YES</v>
      </c>
      <c r="R1497" s="2">
        <f>IF(Q317="YES",G317*0.9,G317)</f>
        <v>375.00300000000004</v>
      </c>
      <c r="S1497" s="2">
        <f>J317*G317</f>
        <v>32500.260000000002</v>
      </c>
      <c r="T1497" s="1">
        <f ca="1">TODAY()-DATE(MID(O317,7,4),MID(O317,4,2),LEFT(O317,2))</f>
        <v>137</v>
      </c>
      <c r="U1497" s="1" t="s">
        <v>34</v>
      </c>
      <c r="V1497" s="1" t="s">
        <v>34</v>
      </c>
      <c r="W1497" s="1" t="s">
        <v>34</v>
      </c>
      <c r="X1497" t="s">
        <v>2745</v>
      </c>
      <c r="Y1497" s="1">
        <v>8.5</v>
      </c>
    </row>
    <row r="1498" spans="1:25" x14ac:dyDescent="0.3">
      <c r="A1498" s="1" t="s">
        <v>2512</v>
      </c>
      <c r="B1498" s="1" t="s">
        <v>111</v>
      </c>
      <c r="C1498" s="1" t="s">
        <v>112</v>
      </c>
      <c r="D1498" s="1" t="s">
        <v>97</v>
      </c>
      <c r="E1498" s="1" t="s">
        <v>40</v>
      </c>
      <c r="F1498" s="1" t="s">
        <v>48</v>
      </c>
      <c r="G1498" s="2">
        <v>269.20999999999998</v>
      </c>
      <c r="H1498" s="1">
        <v>24</v>
      </c>
      <c r="I1498" s="1">
        <v>261</v>
      </c>
      <c r="J1498" s="1">
        <v>248</v>
      </c>
      <c r="K1498" s="1">
        <v>47</v>
      </c>
      <c r="L1498" s="1">
        <v>79</v>
      </c>
      <c r="M1498" s="1" t="s">
        <v>41</v>
      </c>
      <c r="N1498" s="1" t="s">
        <v>60</v>
      </c>
      <c r="O1498" t="s">
        <v>212</v>
      </c>
      <c r="P1498" s="2">
        <v>188.45</v>
      </c>
      <c r="Q1498" s="1" t="str">
        <f>IF(J385&gt;K385,"YES","NO")</f>
        <v>YES</v>
      </c>
      <c r="R1498" s="2">
        <f>IF(Q385="YES",G385*0.9,G385)</f>
        <v>242.28899999999999</v>
      </c>
      <c r="S1498" s="2">
        <f>J385*G385</f>
        <v>66764.08</v>
      </c>
      <c r="T1498" s="1">
        <f ca="1">TODAY()-DATE(MID(O385,7,4),MID(O385,4,2),LEFT(O385,2))</f>
        <v>78</v>
      </c>
      <c r="U1498" s="1" t="s">
        <v>34</v>
      </c>
      <c r="V1498" s="1" t="s">
        <v>34</v>
      </c>
      <c r="W1498" s="1" t="s">
        <v>34</v>
      </c>
      <c r="X1498" t="s">
        <v>2822</v>
      </c>
      <c r="Y1498" s="1">
        <v>7.5</v>
      </c>
    </row>
    <row r="1499" spans="1:25" x14ac:dyDescent="0.3">
      <c r="A1499" s="1" t="s">
        <v>2513</v>
      </c>
      <c r="B1499" s="1" t="s">
        <v>63</v>
      </c>
      <c r="C1499" s="1" t="s">
        <v>64</v>
      </c>
      <c r="D1499" s="1" t="s">
        <v>28</v>
      </c>
      <c r="E1499" s="1" t="s">
        <v>40</v>
      </c>
      <c r="F1499" s="1" t="s">
        <v>54</v>
      </c>
      <c r="G1499" s="2">
        <v>95.56</v>
      </c>
      <c r="H1499" s="1">
        <v>4</v>
      </c>
      <c r="I1499" s="1">
        <v>295</v>
      </c>
      <c r="J1499" s="1">
        <v>259</v>
      </c>
      <c r="K1499" s="1">
        <v>96</v>
      </c>
      <c r="L1499" s="1">
        <v>128</v>
      </c>
      <c r="M1499" s="1" t="s">
        <v>31</v>
      </c>
      <c r="N1499" s="1" t="s">
        <v>32</v>
      </c>
      <c r="O1499" t="s">
        <v>410</v>
      </c>
      <c r="P1499" s="2">
        <v>66.89</v>
      </c>
      <c r="Q1499" s="1" t="str">
        <f>IF(J744&gt;K744,"YES","NO")</f>
        <v>YES</v>
      </c>
      <c r="R1499" s="2">
        <f>IF(Q744="YES",G744*0.9,G744)</f>
        <v>86.004000000000005</v>
      </c>
      <c r="S1499" s="2">
        <f>J744*G744</f>
        <v>24750.04</v>
      </c>
      <c r="T1499" s="1">
        <f ca="1">TODAY()-DATE(MID(O744,7,4),MID(O744,4,2),LEFT(O744,2))</f>
        <v>136</v>
      </c>
      <c r="U1499" s="1" t="s">
        <v>34</v>
      </c>
      <c r="V1499" s="1" t="s">
        <v>34</v>
      </c>
      <c r="W1499" s="1" t="s">
        <v>34</v>
      </c>
      <c r="X1499" t="s">
        <v>2769</v>
      </c>
      <c r="Y1499" s="1">
        <v>7</v>
      </c>
    </row>
    <row r="1500" spans="1:25" x14ac:dyDescent="0.3">
      <c r="A1500" s="1" t="s">
        <v>2514</v>
      </c>
      <c r="B1500" s="1" t="s">
        <v>126</v>
      </c>
      <c r="C1500" s="1" t="s">
        <v>127</v>
      </c>
      <c r="D1500" s="1" t="s">
        <v>85</v>
      </c>
      <c r="E1500" s="1" t="s">
        <v>74</v>
      </c>
      <c r="F1500" s="1" t="s">
        <v>30</v>
      </c>
      <c r="G1500" s="2">
        <v>186.59</v>
      </c>
      <c r="H1500" s="1">
        <v>2</v>
      </c>
      <c r="I1500" s="1">
        <v>167</v>
      </c>
      <c r="J1500" s="1">
        <v>141</v>
      </c>
      <c r="K1500" s="1">
        <v>100</v>
      </c>
      <c r="L1500" s="1">
        <v>67</v>
      </c>
      <c r="M1500" s="1" t="s">
        <v>31</v>
      </c>
      <c r="N1500" s="1" t="s">
        <v>42</v>
      </c>
      <c r="O1500" t="s">
        <v>220</v>
      </c>
      <c r="P1500" s="2">
        <v>130.61000000000001</v>
      </c>
      <c r="Q1500" s="1" t="str">
        <f>IF(J539&gt;K539,"YES","NO")</f>
        <v>YES</v>
      </c>
      <c r="R1500" s="2">
        <f>IF(Q539="YES",G539*0.9,G539)</f>
        <v>167.93100000000001</v>
      </c>
      <c r="S1500" s="2">
        <f>J539*G539</f>
        <v>26309.19</v>
      </c>
      <c r="T1500" s="1">
        <f ca="1">TODAY()-DATE(MID(O539,7,4),MID(O539,4,2),LEFT(O539,2))</f>
        <v>106</v>
      </c>
      <c r="U1500" s="1" t="s">
        <v>34</v>
      </c>
      <c r="V1500" s="1" t="s">
        <v>34</v>
      </c>
      <c r="W1500" s="1" t="s">
        <v>34</v>
      </c>
      <c r="X1500" t="s">
        <v>2885</v>
      </c>
      <c r="Y1500" s="1">
        <v>9.5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01"/>
  <sheetViews>
    <sheetView topLeftCell="B1" workbookViewId="0">
      <selection activeCell="R1" sqref="R1:R1048576"/>
    </sheetView>
  </sheetViews>
  <sheetFormatPr defaultRowHeight="14.4" x14ac:dyDescent="0.3"/>
  <cols>
    <col min="3" max="3" width="12.5546875" bestFit="1" customWidth="1"/>
    <col min="4" max="4" width="13.5546875" bestFit="1" customWidth="1"/>
    <col min="5" max="5" width="10.88671875" bestFit="1" customWidth="1"/>
    <col min="6" max="6" width="9.6640625" bestFit="1" customWidth="1"/>
    <col min="7" max="7" width="12.88671875" bestFit="1" customWidth="1"/>
    <col min="8" max="8" width="15.109375" bestFit="1" customWidth="1"/>
    <col min="9" max="9" width="12.33203125" bestFit="1" customWidth="1"/>
    <col min="10" max="10" width="11.6640625" bestFit="1" customWidth="1"/>
    <col min="11" max="11" width="8.6640625" style="5" bestFit="1" customWidth="1"/>
    <col min="12" max="12" width="14.88671875" bestFit="1" customWidth="1"/>
    <col min="13" max="13" width="12.33203125" style="5" bestFit="1" customWidth="1"/>
    <col min="14" max="14" width="14.88671875" style="5" bestFit="1" customWidth="1"/>
    <col min="15" max="15" width="9.44140625" style="5" bestFit="1" customWidth="1"/>
    <col min="16" max="16" width="11.33203125" bestFit="1" customWidth="1"/>
    <col min="17" max="17" width="9.109375" style="5" bestFit="1" customWidth="1"/>
    <col min="18" max="18" width="9.44140625" style="5" bestFit="1" customWidth="1"/>
    <col min="19" max="19" width="11.109375" bestFit="1" customWidth="1"/>
    <col min="20" max="20" width="9.88671875" bestFit="1" customWidth="1"/>
    <col min="21" max="21" width="13.6640625" bestFit="1" customWidth="1"/>
  </cols>
  <sheetData>
    <row r="1" spans="1:2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988</v>
      </c>
      <c r="F1" s="3" t="s">
        <v>989</v>
      </c>
      <c r="G1" s="3" t="s">
        <v>990</v>
      </c>
      <c r="H1" s="3" t="s">
        <v>991</v>
      </c>
      <c r="I1" s="3" t="s">
        <v>992</v>
      </c>
      <c r="J1" s="3" t="s">
        <v>23</v>
      </c>
      <c r="K1" s="4" t="s">
        <v>6</v>
      </c>
      <c r="L1" s="7" t="s">
        <v>7</v>
      </c>
      <c r="M1" s="4" t="s">
        <v>993</v>
      </c>
      <c r="N1" s="4" t="s">
        <v>994</v>
      </c>
      <c r="O1" s="4" t="s">
        <v>995</v>
      </c>
      <c r="P1" s="3" t="s">
        <v>996</v>
      </c>
      <c r="Q1" s="4" t="s">
        <v>15</v>
      </c>
      <c r="R1" s="4" t="s">
        <v>997</v>
      </c>
      <c r="S1" s="3" t="s">
        <v>998</v>
      </c>
      <c r="T1" s="3" t="s">
        <v>20</v>
      </c>
      <c r="U1" s="3" t="s">
        <v>999</v>
      </c>
    </row>
    <row r="2" spans="1:21" x14ac:dyDescent="0.3">
      <c r="A2" s="1" t="s">
        <v>25</v>
      </c>
      <c r="B2" s="1" t="s">
        <v>26</v>
      </c>
      <c r="C2" s="1" t="s">
        <v>27</v>
      </c>
      <c r="D2" s="1" t="s">
        <v>28</v>
      </c>
      <c r="E2" s="1" t="s">
        <v>1000</v>
      </c>
      <c r="F2" s="1" t="s">
        <v>1001</v>
      </c>
      <c r="G2" s="1" t="s">
        <v>1002</v>
      </c>
      <c r="H2" s="1">
        <v>11</v>
      </c>
      <c r="I2" s="1">
        <v>2</v>
      </c>
      <c r="J2" s="1" t="s">
        <v>2515</v>
      </c>
      <c r="K2" s="2">
        <v>226.69</v>
      </c>
      <c r="L2" s="6">
        <v>7</v>
      </c>
      <c r="M2" s="2">
        <f t="shared" ref="M2:M65" si="0">H2*K2</f>
        <v>2493.59</v>
      </c>
      <c r="N2" s="2">
        <f t="shared" ref="N2:N65" si="1">M2*L2/100</f>
        <v>174.5513</v>
      </c>
      <c r="O2" s="2">
        <f t="shared" ref="O2:O65" si="2">M2-N2</f>
        <v>2319.0387000000001</v>
      </c>
      <c r="P2" s="1">
        <v>140</v>
      </c>
      <c r="Q2" s="2">
        <v>158.68</v>
      </c>
      <c r="R2" s="2">
        <f t="shared" ref="R2:R65" si="3">O2-(H2*Q2)</f>
        <v>573.55870000000004</v>
      </c>
      <c r="S2" s="1" t="s">
        <v>1003</v>
      </c>
      <c r="T2" s="1" t="s">
        <v>1004</v>
      </c>
      <c r="U2" s="1" t="str">
        <f t="shared" ref="U2:U65" si="4">IF(S2="Delivered","YES","NO")</f>
        <v>NO</v>
      </c>
    </row>
    <row r="3" spans="1:21" x14ac:dyDescent="0.3">
      <c r="A3" s="1" t="s">
        <v>36</v>
      </c>
      <c r="B3" s="1" t="s">
        <v>37</v>
      </c>
      <c r="C3" s="1" t="s">
        <v>38</v>
      </c>
      <c r="D3" s="1" t="s">
        <v>39</v>
      </c>
      <c r="E3" s="1" t="s">
        <v>1005</v>
      </c>
      <c r="F3" s="1" t="s">
        <v>1006</v>
      </c>
      <c r="G3" s="1" t="s">
        <v>1002</v>
      </c>
      <c r="H3" s="1">
        <v>8</v>
      </c>
      <c r="I3" s="1">
        <v>1</v>
      </c>
      <c r="J3" s="1" t="s">
        <v>2516</v>
      </c>
      <c r="K3" s="2">
        <v>259.39</v>
      </c>
      <c r="L3" s="6">
        <v>10</v>
      </c>
      <c r="M3" s="2">
        <f t="shared" si="0"/>
        <v>2075.12</v>
      </c>
      <c r="N3" s="2">
        <f t="shared" si="1"/>
        <v>207.51199999999997</v>
      </c>
      <c r="O3" s="2">
        <f t="shared" si="2"/>
        <v>1867.6079999999999</v>
      </c>
      <c r="P3" s="1">
        <v>112</v>
      </c>
      <c r="Q3" s="2">
        <v>181.57</v>
      </c>
      <c r="R3" s="2">
        <f t="shared" si="3"/>
        <v>415.048</v>
      </c>
      <c r="S3" s="1" t="s">
        <v>1003</v>
      </c>
      <c r="T3" s="1" t="s">
        <v>1007</v>
      </c>
      <c r="U3" s="1" t="str">
        <f t="shared" si="4"/>
        <v>NO</v>
      </c>
    </row>
    <row r="4" spans="1:21" x14ac:dyDescent="0.3">
      <c r="A4" s="1" t="s">
        <v>44</v>
      </c>
      <c r="B4" s="1" t="s">
        <v>45</v>
      </c>
      <c r="C4" s="1" t="s">
        <v>46</v>
      </c>
      <c r="D4" s="1" t="s">
        <v>47</v>
      </c>
      <c r="E4" s="1" t="s">
        <v>1008</v>
      </c>
      <c r="F4" s="1" t="s">
        <v>1009</v>
      </c>
      <c r="G4" s="1" t="s">
        <v>1010</v>
      </c>
      <c r="H4" s="1">
        <v>13</v>
      </c>
      <c r="I4" s="1">
        <v>5</v>
      </c>
      <c r="J4" s="1" t="s">
        <v>2517</v>
      </c>
      <c r="K4" s="2">
        <v>176.81</v>
      </c>
      <c r="L4" s="6">
        <v>16</v>
      </c>
      <c r="M4" s="2">
        <f t="shared" si="0"/>
        <v>2298.5300000000002</v>
      </c>
      <c r="N4" s="2">
        <f t="shared" si="1"/>
        <v>367.76480000000004</v>
      </c>
      <c r="O4" s="2">
        <f t="shared" si="2"/>
        <v>1930.7652000000003</v>
      </c>
      <c r="P4" s="1">
        <v>87</v>
      </c>
      <c r="Q4" s="2">
        <v>123.77</v>
      </c>
      <c r="R4" s="2">
        <f t="shared" si="3"/>
        <v>321.75520000000029</v>
      </c>
      <c r="S4" s="1" t="s">
        <v>1011</v>
      </c>
      <c r="T4" s="1" t="s">
        <v>1007</v>
      </c>
      <c r="U4" s="1" t="str">
        <f t="shared" si="4"/>
        <v>NO</v>
      </c>
    </row>
    <row r="5" spans="1:21" x14ac:dyDescent="0.3">
      <c r="A5" s="1" t="s">
        <v>51</v>
      </c>
      <c r="B5" s="1" t="s">
        <v>52</v>
      </c>
      <c r="C5" s="1" t="s">
        <v>53</v>
      </c>
      <c r="D5" s="1" t="s">
        <v>47</v>
      </c>
      <c r="E5" s="1" t="s">
        <v>1012</v>
      </c>
      <c r="F5" s="1" t="s">
        <v>1013</v>
      </c>
      <c r="G5" s="1" t="s">
        <v>1010</v>
      </c>
      <c r="H5" s="1">
        <v>15</v>
      </c>
      <c r="I5" s="1">
        <v>1</v>
      </c>
      <c r="J5" s="1" t="s">
        <v>2518</v>
      </c>
      <c r="K5" s="2">
        <v>452.98</v>
      </c>
      <c r="L5" s="6">
        <v>22</v>
      </c>
      <c r="M5" s="2">
        <f t="shared" si="0"/>
        <v>6794.7000000000007</v>
      </c>
      <c r="N5" s="2">
        <f t="shared" si="1"/>
        <v>1494.8340000000003</v>
      </c>
      <c r="O5" s="2">
        <f t="shared" si="2"/>
        <v>5299.866</v>
      </c>
      <c r="P5" s="1">
        <v>116</v>
      </c>
      <c r="Q5" s="2">
        <v>317.08999999999997</v>
      </c>
      <c r="R5" s="2">
        <f t="shared" si="3"/>
        <v>543.51600000000053</v>
      </c>
      <c r="S5" s="1" t="s">
        <v>1003</v>
      </c>
      <c r="T5" s="1" t="s">
        <v>1004</v>
      </c>
      <c r="U5" s="1" t="str">
        <f t="shared" si="4"/>
        <v>NO</v>
      </c>
    </row>
    <row r="6" spans="1:21" x14ac:dyDescent="0.3">
      <c r="A6" s="1" t="s">
        <v>56</v>
      </c>
      <c r="B6" s="1" t="s">
        <v>57</v>
      </c>
      <c r="C6" s="1" t="s">
        <v>58</v>
      </c>
      <c r="D6" s="1" t="s">
        <v>59</v>
      </c>
      <c r="E6" s="1" t="s">
        <v>1014</v>
      </c>
      <c r="F6" s="1" t="s">
        <v>1015</v>
      </c>
      <c r="G6" s="1" t="s">
        <v>1010</v>
      </c>
      <c r="H6" s="1">
        <v>13</v>
      </c>
      <c r="I6" s="1">
        <v>7</v>
      </c>
      <c r="J6" s="1" t="s">
        <v>2519</v>
      </c>
      <c r="K6" s="2">
        <v>171.41</v>
      </c>
      <c r="L6" s="6">
        <v>17</v>
      </c>
      <c r="M6" s="2">
        <f t="shared" si="0"/>
        <v>2228.33</v>
      </c>
      <c r="N6" s="2">
        <f t="shared" si="1"/>
        <v>378.81610000000001</v>
      </c>
      <c r="O6" s="2">
        <f t="shared" si="2"/>
        <v>1849.5138999999999</v>
      </c>
      <c r="P6" s="1">
        <v>104</v>
      </c>
      <c r="Q6" s="2">
        <v>119.99</v>
      </c>
      <c r="R6" s="2">
        <f t="shared" si="3"/>
        <v>289.64390000000003</v>
      </c>
      <c r="S6" s="1" t="s">
        <v>1016</v>
      </c>
      <c r="T6" s="1" t="s">
        <v>1007</v>
      </c>
      <c r="U6" s="1" t="str">
        <f t="shared" si="4"/>
        <v>YES</v>
      </c>
    </row>
    <row r="7" spans="1:21" x14ac:dyDescent="0.3">
      <c r="A7" s="1" t="s">
        <v>62</v>
      </c>
      <c r="B7" s="1" t="s">
        <v>63</v>
      </c>
      <c r="C7" s="1" t="s">
        <v>64</v>
      </c>
      <c r="D7" s="1" t="s">
        <v>28</v>
      </c>
      <c r="E7" s="1" t="s">
        <v>1017</v>
      </c>
      <c r="F7" s="1" t="s">
        <v>1009</v>
      </c>
      <c r="G7" s="1" t="s">
        <v>1010</v>
      </c>
      <c r="H7" s="1">
        <v>3</v>
      </c>
      <c r="I7" s="1">
        <v>6</v>
      </c>
      <c r="J7" s="1" t="s">
        <v>2520</v>
      </c>
      <c r="K7" s="2">
        <v>429.45</v>
      </c>
      <c r="L7" s="6">
        <v>16</v>
      </c>
      <c r="M7" s="2">
        <f t="shared" si="0"/>
        <v>1288.3499999999999</v>
      </c>
      <c r="N7" s="2">
        <f t="shared" si="1"/>
        <v>206.136</v>
      </c>
      <c r="O7" s="2">
        <f t="shared" si="2"/>
        <v>1082.2139999999999</v>
      </c>
      <c r="P7" s="1">
        <v>199</v>
      </c>
      <c r="Q7" s="2">
        <v>300.61</v>
      </c>
      <c r="R7" s="2">
        <f t="shared" si="3"/>
        <v>180.3839999999999</v>
      </c>
      <c r="S7" s="1" t="s">
        <v>1016</v>
      </c>
      <c r="T7" s="1" t="s">
        <v>1004</v>
      </c>
      <c r="U7" s="1" t="str">
        <f t="shared" si="4"/>
        <v>YES</v>
      </c>
    </row>
    <row r="8" spans="1:21" x14ac:dyDescent="0.3">
      <c r="A8" s="1" t="s">
        <v>66</v>
      </c>
      <c r="B8" s="1" t="s">
        <v>52</v>
      </c>
      <c r="C8" s="1" t="s">
        <v>53</v>
      </c>
      <c r="D8" s="1" t="s">
        <v>47</v>
      </c>
      <c r="E8" s="1" t="s">
        <v>1018</v>
      </c>
      <c r="F8" s="1" t="s">
        <v>1015</v>
      </c>
      <c r="G8" s="1" t="s">
        <v>1002</v>
      </c>
      <c r="H8" s="1">
        <v>8</v>
      </c>
      <c r="I8" s="1">
        <v>4</v>
      </c>
      <c r="J8" s="1" t="s">
        <v>2521</v>
      </c>
      <c r="K8" s="2">
        <v>70.41</v>
      </c>
      <c r="L8" s="6">
        <v>25</v>
      </c>
      <c r="M8" s="2">
        <f t="shared" si="0"/>
        <v>563.28</v>
      </c>
      <c r="N8" s="2">
        <f t="shared" si="1"/>
        <v>140.82</v>
      </c>
      <c r="O8" s="2">
        <f t="shared" si="2"/>
        <v>422.46</v>
      </c>
      <c r="P8" s="1">
        <v>227</v>
      </c>
      <c r="Q8" s="2">
        <v>49.29</v>
      </c>
      <c r="R8" s="2">
        <f t="shared" si="3"/>
        <v>28.139999999999986</v>
      </c>
      <c r="S8" s="1" t="s">
        <v>1003</v>
      </c>
      <c r="T8" s="1" t="s">
        <v>1007</v>
      </c>
      <c r="U8" s="1" t="str">
        <f t="shared" si="4"/>
        <v>NO</v>
      </c>
    </row>
    <row r="9" spans="1:21" x14ac:dyDescent="0.3">
      <c r="A9" s="1" t="s">
        <v>68</v>
      </c>
      <c r="B9" s="1" t="s">
        <v>69</v>
      </c>
      <c r="C9" s="1" t="s">
        <v>70</v>
      </c>
      <c r="D9" s="1" t="s">
        <v>59</v>
      </c>
      <c r="E9" s="1" t="s">
        <v>1019</v>
      </c>
      <c r="F9" s="1" t="s">
        <v>1020</v>
      </c>
      <c r="G9" s="1" t="s">
        <v>1002</v>
      </c>
      <c r="H9" s="1">
        <v>7</v>
      </c>
      <c r="I9" s="1">
        <v>6</v>
      </c>
      <c r="J9" s="1" t="s">
        <v>2522</v>
      </c>
      <c r="K9" s="2">
        <v>495.76</v>
      </c>
      <c r="L9" s="6">
        <v>18</v>
      </c>
      <c r="M9" s="2">
        <f t="shared" si="0"/>
        <v>3470.3199999999997</v>
      </c>
      <c r="N9" s="2">
        <f t="shared" si="1"/>
        <v>624.6576</v>
      </c>
      <c r="O9" s="2">
        <f t="shared" si="2"/>
        <v>2845.6623999999997</v>
      </c>
      <c r="P9" s="1">
        <v>163</v>
      </c>
      <c r="Q9" s="2">
        <v>347.03</v>
      </c>
      <c r="R9" s="2">
        <f t="shared" si="3"/>
        <v>416.45239999999967</v>
      </c>
      <c r="S9" s="1" t="s">
        <v>1003</v>
      </c>
      <c r="T9" s="1" t="s">
        <v>1007</v>
      </c>
      <c r="U9" s="1" t="str">
        <f t="shared" si="4"/>
        <v>NO</v>
      </c>
    </row>
    <row r="10" spans="1:21" x14ac:dyDescent="0.3">
      <c r="A10" s="1" t="s">
        <v>71</v>
      </c>
      <c r="B10" s="1" t="s">
        <v>72</v>
      </c>
      <c r="C10" s="1" t="s">
        <v>73</v>
      </c>
      <c r="D10" s="1" t="s">
        <v>47</v>
      </c>
      <c r="E10" s="1" t="s">
        <v>1021</v>
      </c>
      <c r="F10" s="1" t="s">
        <v>1015</v>
      </c>
      <c r="G10" s="1" t="s">
        <v>1002</v>
      </c>
      <c r="H10" s="1">
        <v>10</v>
      </c>
      <c r="I10" s="1">
        <v>5</v>
      </c>
      <c r="J10" s="1" t="s">
        <v>2523</v>
      </c>
      <c r="K10" s="2">
        <v>444.28</v>
      </c>
      <c r="L10" s="6">
        <v>21</v>
      </c>
      <c r="M10" s="2">
        <f t="shared" si="0"/>
        <v>4442.7999999999993</v>
      </c>
      <c r="N10" s="2">
        <f t="shared" si="1"/>
        <v>932.98799999999983</v>
      </c>
      <c r="O10" s="2">
        <f t="shared" si="2"/>
        <v>3509.8119999999994</v>
      </c>
      <c r="P10" s="1">
        <v>224</v>
      </c>
      <c r="Q10" s="2">
        <v>311</v>
      </c>
      <c r="R10" s="2">
        <f t="shared" si="3"/>
        <v>399.81199999999944</v>
      </c>
      <c r="S10" s="1" t="s">
        <v>1016</v>
      </c>
      <c r="T10" s="1" t="s">
        <v>1007</v>
      </c>
      <c r="U10" s="1" t="str">
        <f t="shared" si="4"/>
        <v>YES</v>
      </c>
    </row>
    <row r="11" spans="1:21" x14ac:dyDescent="0.3">
      <c r="A11" s="1" t="s">
        <v>76</v>
      </c>
      <c r="B11" s="1" t="s">
        <v>77</v>
      </c>
      <c r="C11" s="1" t="s">
        <v>78</v>
      </c>
      <c r="D11" s="1" t="s">
        <v>47</v>
      </c>
      <c r="E11" s="1" t="s">
        <v>1022</v>
      </c>
      <c r="F11" s="1" t="s">
        <v>1001</v>
      </c>
      <c r="G11" s="1" t="s">
        <v>1023</v>
      </c>
      <c r="H11" s="1">
        <v>4</v>
      </c>
      <c r="I11" s="1">
        <v>2</v>
      </c>
      <c r="J11" s="1" t="s">
        <v>2524</v>
      </c>
      <c r="K11" s="2">
        <v>196.25</v>
      </c>
      <c r="L11" s="6">
        <v>0</v>
      </c>
      <c r="M11" s="2">
        <f t="shared" si="0"/>
        <v>785</v>
      </c>
      <c r="N11" s="2">
        <f t="shared" si="1"/>
        <v>0</v>
      </c>
      <c r="O11" s="2">
        <f t="shared" si="2"/>
        <v>785</v>
      </c>
      <c r="P11" s="1">
        <v>256</v>
      </c>
      <c r="Q11" s="2">
        <v>137.38</v>
      </c>
      <c r="R11" s="2">
        <f t="shared" si="3"/>
        <v>235.48000000000002</v>
      </c>
      <c r="S11" s="1" t="s">
        <v>1011</v>
      </c>
      <c r="T11" s="1" t="s">
        <v>1004</v>
      </c>
      <c r="U11" s="1" t="str">
        <f t="shared" si="4"/>
        <v>NO</v>
      </c>
    </row>
    <row r="12" spans="1:21" x14ac:dyDescent="0.3">
      <c r="A12" s="1" t="s">
        <v>80</v>
      </c>
      <c r="B12" s="1" t="s">
        <v>45</v>
      </c>
      <c r="C12" s="1" t="s">
        <v>46</v>
      </c>
      <c r="D12" s="1" t="s">
        <v>47</v>
      </c>
      <c r="E12" s="1" t="s">
        <v>1024</v>
      </c>
      <c r="F12" s="1" t="s">
        <v>1009</v>
      </c>
      <c r="G12" s="1" t="s">
        <v>1010</v>
      </c>
      <c r="H12" s="1">
        <v>2</v>
      </c>
      <c r="I12" s="1">
        <v>1</v>
      </c>
      <c r="J12" s="1" t="s">
        <v>2525</v>
      </c>
      <c r="K12" s="2">
        <v>196.89</v>
      </c>
      <c r="L12" s="6">
        <v>13</v>
      </c>
      <c r="M12" s="2">
        <f t="shared" si="0"/>
        <v>393.78</v>
      </c>
      <c r="N12" s="2">
        <f t="shared" si="1"/>
        <v>51.191399999999994</v>
      </c>
      <c r="O12" s="2">
        <f t="shared" si="2"/>
        <v>342.58859999999999</v>
      </c>
      <c r="P12" s="1">
        <v>107</v>
      </c>
      <c r="Q12" s="2">
        <v>137.82</v>
      </c>
      <c r="R12" s="2">
        <f t="shared" si="3"/>
        <v>66.948599999999999</v>
      </c>
      <c r="S12" s="1" t="s">
        <v>1011</v>
      </c>
      <c r="T12" s="1" t="s">
        <v>1004</v>
      </c>
      <c r="U12" s="1" t="str">
        <f t="shared" si="4"/>
        <v>NO</v>
      </c>
    </row>
    <row r="13" spans="1:21" x14ac:dyDescent="0.3">
      <c r="A13" s="1" t="s">
        <v>82</v>
      </c>
      <c r="B13" s="1" t="s">
        <v>83</v>
      </c>
      <c r="C13" s="1" t="s">
        <v>84</v>
      </c>
      <c r="D13" s="1" t="s">
        <v>85</v>
      </c>
      <c r="E13" s="1" t="s">
        <v>1025</v>
      </c>
      <c r="F13" s="1" t="s">
        <v>1020</v>
      </c>
      <c r="G13" s="1" t="s">
        <v>1023</v>
      </c>
      <c r="H13" s="1">
        <v>14</v>
      </c>
      <c r="I13" s="1">
        <v>4</v>
      </c>
      <c r="J13" s="1" t="s">
        <v>2526</v>
      </c>
      <c r="K13" s="2">
        <v>299.74</v>
      </c>
      <c r="L13" s="6">
        <v>18</v>
      </c>
      <c r="M13" s="2">
        <f t="shared" si="0"/>
        <v>4196.3600000000006</v>
      </c>
      <c r="N13" s="2">
        <f t="shared" si="1"/>
        <v>755.34480000000008</v>
      </c>
      <c r="O13" s="2">
        <f t="shared" si="2"/>
        <v>3441.0152000000007</v>
      </c>
      <c r="P13" s="1">
        <v>132</v>
      </c>
      <c r="Q13" s="2">
        <v>209.82</v>
      </c>
      <c r="R13" s="2">
        <f t="shared" si="3"/>
        <v>503.53520000000071</v>
      </c>
      <c r="S13" s="1" t="s">
        <v>1003</v>
      </c>
      <c r="T13" s="1" t="s">
        <v>1004</v>
      </c>
      <c r="U13" s="1" t="str">
        <f t="shared" si="4"/>
        <v>NO</v>
      </c>
    </row>
    <row r="14" spans="1:21" x14ac:dyDescent="0.3">
      <c r="A14" s="1" t="s">
        <v>87</v>
      </c>
      <c r="B14" s="1" t="s">
        <v>83</v>
      </c>
      <c r="C14" s="1" t="s">
        <v>84</v>
      </c>
      <c r="D14" s="1" t="s">
        <v>85</v>
      </c>
      <c r="E14" s="1" t="s">
        <v>1026</v>
      </c>
      <c r="F14" s="1" t="s">
        <v>1027</v>
      </c>
      <c r="G14" s="1" t="s">
        <v>1010</v>
      </c>
      <c r="H14" s="1">
        <v>3</v>
      </c>
      <c r="I14" s="1">
        <v>7</v>
      </c>
      <c r="J14" s="1" t="s">
        <v>2527</v>
      </c>
      <c r="K14" s="2">
        <v>42.18</v>
      </c>
      <c r="L14" s="6">
        <v>19</v>
      </c>
      <c r="M14" s="2">
        <f t="shared" si="0"/>
        <v>126.53999999999999</v>
      </c>
      <c r="N14" s="2">
        <f t="shared" si="1"/>
        <v>24.042599999999997</v>
      </c>
      <c r="O14" s="2">
        <f t="shared" si="2"/>
        <v>102.4974</v>
      </c>
      <c r="P14" s="1">
        <v>115</v>
      </c>
      <c r="Q14" s="2">
        <v>29.53</v>
      </c>
      <c r="R14" s="2">
        <f t="shared" si="3"/>
        <v>13.907399999999996</v>
      </c>
      <c r="S14" s="1" t="s">
        <v>1016</v>
      </c>
      <c r="T14" s="1" t="s">
        <v>1004</v>
      </c>
      <c r="U14" s="1" t="str">
        <f t="shared" si="4"/>
        <v>YES</v>
      </c>
    </row>
    <row r="15" spans="1:21" x14ac:dyDescent="0.3">
      <c r="A15" s="1" t="s">
        <v>89</v>
      </c>
      <c r="B15" s="1" t="s">
        <v>72</v>
      </c>
      <c r="C15" s="1" t="s">
        <v>73</v>
      </c>
      <c r="D15" s="1" t="s">
        <v>47</v>
      </c>
      <c r="E15" s="1" t="s">
        <v>1028</v>
      </c>
      <c r="F15" s="1" t="s">
        <v>1001</v>
      </c>
      <c r="G15" s="1" t="s">
        <v>1023</v>
      </c>
      <c r="H15" s="1">
        <v>10</v>
      </c>
      <c r="I15" s="1">
        <v>1</v>
      </c>
      <c r="J15" s="1" t="s">
        <v>2528</v>
      </c>
      <c r="K15" s="2">
        <v>283.58999999999997</v>
      </c>
      <c r="L15" s="6">
        <v>12</v>
      </c>
      <c r="M15" s="2">
        <f t="shared" si="0"/>
        <v>2835.8999999999996</v>
      </c>
      <c r="N15" s="2">
        <f t="shared" si="1"/>
        <v>340.30799999999994</v>
      </c>
      <c r="O15" s="2">
        <f t="shared" si="2"/>
        <v>2495.5919999999996</v>
      </c>
      <c r="P15" s="1">
        <v>111</v>
      </c>
      <c r="Q15" s="2">
        <v>198.51</v>
      </c>
      <c r="R15" s="2">
        <f t="shared" si="3"/>
        <v>510.49199999999973</v>
      </c>
      <c r="S15" s="1" t="s">
        <v>1003</v>
      </c>
      <c r="T15" s="1" t="s">
        <v>1004</v>
      </c>
      <c r="U15" s="1" t="str">
        <f t="shared" si="4"/>
        <v>NO</v>
      </c>
    </row>
    <row r="16" spans="1:21" x14ac:dyDescent="0.3">
      <c r="A16" s="1" t="s">
        <v>91</v>
      </c>
      <c r="B16" s="1" t="s">
        <v>63</v>
      </c>
      <c r="C16" s="1" t="s">
        <v>64</v>
      </c>
      <c r="D16" s="1" t="s">
        <v>28</v>
      </c>
      <c r="E16" s="1" t="s">
        <v>1029</v>
      </c>
      <c r="F16" s="1" t="s">
        <v>1006</v>
      </c>
      <c r="G16" s="1" t="s">
        <v>1023</v>
      </c>
      <c r="H16" s="1">
        <v>4</v>
      </c>
      <c r="I16" s="1">
        <v>2</v>
      </c>
      <c r="J16" s="1" t="s">
        <v>2529</v>
      </c>
      <c r="K16" s="2">
        <v>280.77999999999997</v>
      </c>
      <c r="L16" s="6">
        <v>11</v>
      </c>
      <c r="M16" s="2">
        <f t="shared" si="0"/>
        <v>1123.1199999999999</v>
      </c>
      <c r="N16" s="2">
        <f t="shared" si="1"/>
        <v>123.5432</v>
      </c>
      <c r="O16" s="2">
        <f t="shared" si="2"/>
        <v>999.57679999999993</v>
      </c>
      <c r="P16" s="1">
        <v>251</v>
      </c>
      <c r="Q16" s="2">
        <v>196.55</v>
      </c>
      <c r="R16" s="2">
        <f t="shared" si="3"/>
        <v>213.37679999999989</v>
      </c>
      <c r="S16" s="1" t="s">
        <v>1011</v>
      </c>
      <c r="T16" s="1" t="s">
        <v>1004</v>
      </c>
      <c r="U16" s="1" t="str">
        <f t="shared" si="4"/>
        <v>NO</v>
      </c>
    </row>
    <row r="17" spans="1:21" x14ac:dyDescent="0.3">
      <c r="A17" s="1" t="s">
        <v>93</v>
      </c>
      <c r="B17" s="1" t="s">
        <v>69</v>
      </c>
      <c r="C17" s="1" t="s">
        <v>70</v>
      </c>
      <c r="D17" s="1" t="s">
        <v>59</v>
      </c>
      <c r="E17" s="1" t="s">
        <v>1030</v>
      </c>
      <c r="F17" s="1" t="s">
        <v>1020</v>
      </c>
      <c r="G17" s="1" t="s">
        <v>1010</v>
      </c>
      <c r="H17" s="1">
        <v>1</v>
      </c>
      <c r="I17" s="1">
        <v>6</v>
      </c>
      <c r="J17" s="1" t="s">
        <v>2530</v>
      </c>
      <c r="K17" s="2">
        <v>93.65</v>
      </c>
      <c r="L17" s="6">
        <v>8</v>
      </c>
      <c r="M17" s="2">
        <f t="shared" si="0"/>
        <v>93.65</v>
      </c>
      <c r="N17" s="2">
        <f t="shared" si="1"/>
        <v>7.4920000000000009</v>
      </c>
      <c r="O17" s="2">
        <f t="shared" si="2"/>
        <v>86.158000000000001</v>
      </c>
      <c r="P17" s="1">
        <v>238</v>
      </c>
      <c r="Q17" s="2">
        <v>65.56</v>
      </c>
      <c r="R17" s="2">
        <f t="shared" si="3"/>
        <v>20.597999999999999</v>
      </c>
      <c r="S17" s="1" t="s">
        <v>1003</v>
      </c>
      <c r="T17" s="1" t="s">
        <v>1007</v>
      </c>
      <c r="U17" s="1" t="str">
        <f t="shared" si="4"/>
        <v>NO</v>
      </c>
    </row>
    <row r="18" spans="1:21" x14ac:dyDescent="0.3">
      <c r="A18" s="1" t="s">
        <v>94</v>
      </c>
      <c r="B18" s="1" t="s">
        <v>95</v>
      </c>
      <c r="C18" s="1" t="s">
        <v>96</v>
      </c>
      <c r="D18" s="1" t="s">
        <v>97</v>
      </c>
      <c r="E18" s="1" t="s">
        <v>1031</v>
      </c>
      <c r="F18" s="1" t="s">
        <v>1015</v>
      </c>
      <c r="G18" s="1" t="s">
        <v>1010</v>
      </c>
      <c r="H18" s="1">
        <v>5</v>
      </c>
      <c r="I18" s="1">
        <v>6</v>
      </c>
      <c r="J18" s="1" t="s">
        <v>2531</v>
      </c>
      <c r="K18" s="2">
        <v>187.41</v>
      </c>
      <c r="L18" s="6">
        <v>21</v>
      </c>
      <c r="M18" s="2">
        <f t="shared" si="0"/>
        <v>937.05</v>
      </c>
      <c r="N18" s="2">
        <f t="shared" si="1"/>
        <v>196.78049999999999</v>
      </c>
      <c r="O18" s="2">
        <f t="shared" si="2"/>
        <v>740.26949999999999</v>
      </c>
      <c r="P18" s="1">
        <v>84</v>
      </c>
      <c r="Q18" s="2">
        <v>131.19</v>
      </c>
      <c r="R18" s="2">
        <f t="shared" si="3"/>
        <v>84.319499999999948</v>
      </c>
      <c r="S18" s="1" t="s">
        <v>1011</v>
      </c>
      <c r="T18" s="1" t="s">
        <v>1004</v>
      </c>
      <c r="U18" s="1" t="str">
        <f t="shared" si="4"/>
        <v>NO</v>
      </c>
    </row>
    <row r="19" spans="1:21" x14ac:dyDescent="0.3">
      <c r="A19" s="1" t="s">
        <v>99</v>
      </c>
      <c r="B19" s="1" t="s">
        <v>83</v>
      </c>
      <c r="C19" s="1" t="s">
        <v>84</v>
      </c>
      <c r="D19" s="1" t="s">
        <v>85</v>
      </c>
      <c r="E19" s="1" t="s">
        <v>1032</v>
      </c>
      <c r="F19" s="1" t="s">
        <v>1027</v>
      </c>
      <c r="G19" s="1" t="s">
        <v>1023</v>
      </c>
      <c r="H19" s="1">
        <v>7</v>
      </c>
      <c r="I19" s="1">
        <v>6</v>
      </c>
      <c r="J19" s="1" t="s">
        <v>2532</v>
      </c>
      <c r="K19" s="2">
        <v>489.94</v>
      </c>
      <c r="L19" s="6">
        <v>5</v>
      </c>
      <c r="M19" s="2">
        <f t="shared" si="0"/>
        <v>3429.58</v>
      </c>
      <c r="N19" s="2">
        <f t="shared" si="1"/>
        <v>171.47900000000001</v>
      </c>
      <c r="O19" s="2">
        <f t="shared" si="2"/>
        <v>3258.1010000000001</v>
      </c>
      <c r="P19" s="1">
        <v>107</v>
      </c>
      <c r="Q19" s="2">
        <v>342.96</v>
      </c>
      <c r="R19" s="2">
        <f t="shared" si="3"/>
        <v>857.38100000000031</v>
      </c>
      <c r="S19" s="1" t="s">
        <v>1003</v>
      </c>
      <c r="T19" s="1" t="s">
        <v>1004</v>
      </c>
      <c r="U19" s="1" t="str">
        <f t="shared" si="4"/>
        <v>NO</v>
      </c>
    </row>
    <row r="20" spans="1:21" x14ac:dyDescent="0.3">
      <c r="A20" s="1" t="s">
        <v>101</v>
      </c>
      <c r="B20" s="1" t="s">
        <v>102</v>
      </c>
      <c r="C20" s="1" t="s">
        <v>103</v>
      </c>
      <c r="D20" s="1" t="s">
        <v>104</v>
      </c>
      <c r="E20" s="1" t="s">
        <v>1033</v>
      </c>
      <c r="F20" s="1" t="s">
        <v>1015</v>
      </c>
      <c r="G20" s="1" t="s">
        <v>1010</v>
      </c>
      <c r="H20" s="1">
        <v>12</v>
      </c>
      <c r="I20" s="1">
        <v>6</v>
      </c>
      <c r="J20" s="1" t="s">
        <v>2533</v>
      </c>
      <c r="K20" s="2">
        <v>99.39</v>
      </c>
      <c r="L20" s="6">
        <v>15</v>
      </c>
      <c r="M20" s="2">
        <f t="shared" si="0"/>
        <v>1192.68</v>
      </c>
      <c r="N20" s="2">
        <f t="shared" si="1"/>
        <v>178.90200000000002</v>
      </c>
      <c r="O20" s="2">
        <f t="shared" si="2"/>
        <v>1013.778</v>
      </c>
      <c r="P20" s="1">
        <v>55</v>
      </c>
      <c r="Q20" s="2">
        <v>69.569999999999993</v>
      </c>
      <c r="R20" s="2">
        <f t="shared" si="3"/>
        <v>178.9380000000001</v>
      </c>
      <c r="S20" s="1" t="s">
        <v>1016</v>
      </c>
      <c r="T20" s="1" t="s">
        <v>1007</v>
      </c>
      <c r="U20" s="1" t="str">
        <f t="shared" si="4"/>
        <v>YES</v>
      </c>
    </row>
    <row r="21" spans="1:21" x14ac:dyDescent="0.3">
      <c r="A21" s="1" t="s">
        <v>106</v>
      </c>
      <c r="B21" s="1" t="s">
        <v>107</v>
      </c>
      <c r="C21" s="1" t="s">
        <v>108</v>
      </c>
      <c r="D21" s="1" t="s">
        <v>39</v>
      </c>
      <c r="E21" s="1" t="s">
        <v>1034</v>
      </c>
      <c r="F21" s="1" t="s">
        <v>1020</v>
      </c>
      <c r="G21" s="1" t="s">
        <v>1010</v>
      </c>
      <c r="H21" s="1">
        <v>2</v>
      </c>
      <c r="I21" s="1">
        <v>1</v>
      </c>
      <c r="J21" s="1" t="s">
        <v>2534</v>
      </c>
      <c r="K21" s="2">
        <v>469.61</v>
      </c>
      <c r="L21" s="6">
        <v>18</v>
      </c>
      <c r="M21" s="2">
        <f t="shared" si="0"/>
        <v>939.22</v>
      </c>
      <c r="N21" s="2">
        <f t="shared" si="1"/>
        <v>169.05959999999999</v>
      </c>
      <c r="O21" s="2">
        <f t="shared" si="2"/>
        <v>770.16039999999998</v>
      </c>
      <c r="P21" s="1">
        <v>127</v>
      </c>
      <c r="Q21" s="2">
        <v>328.73</v>
      </c>
      <c r="R21" s="2">
        <f t="shared" si="3"/>
        <v>112.70039999999995</v>
      </c>
      <c r="S21" s="1" t="s">
        <v>1011</v>
      </c>
      <c r="T21" s="1" t="s">
        <v>1004</v>
      </c>
      <c r="U21" s="1" t="str">
        <f t="shared" si="4"/>
        <v>NO</v>
      </c>
    </row>
    <row r="22" spans="1:21" x14ac:dyDescent="0.3">
      <c r="A22" s="1" t="s">
        <v>110</v>
      </c>
      <c r="B22" s="1" t="s">
        <v>111</v>
      </c>
      <c r="C22" s="1" t="s">
        <v>112</v>
      </c>
      <c r="D22" s="1" t="s">
        <v>97</v>
      </c>
      <c r="E22" s="1" t="s">
        <v>1035</v>
      </c>
      <c r="F22" s="1" t="s">
        <v>1020</v>
      </c>
      <c r="G22" s="1" t="s">
        <v>1023</v>
      </c>
      <c r="H22" s="1">
        <v>3</v>
      </c>
      <c r="I22" s="1">
        <v>5</v>
      </c>
      <c r="J22" s="1" t="s">
        <v>2535</v>
      </c>
      <c r="K22" s="2">
        <v>290.91000000000003</v>
      </c>
      <c r="L22" s="6">
        <v>23</v>
      </c>
      <c r="M22" s="2">
        <f t="shared" si="0"/>
        <v>872.73</v>
      </c>
      <c r="N22" s="2">
        <f t="shared" si="1"/>
        <v>200.72790000000001</v>
      </c>
      <c r="O22" s="2">
        <f t="shared" si="2"/>
        <v>672.00210000000004</v>
      </c>
      <c r="P22" s="1">
        <v>260</v>
      </c>
      <c r="Q22" s="2">
        <v>203.64</v>
      </c>
      <c r="R22" s="2">
        <f t="shared" si="3"/>
        <v>61.082100000000082</v>
      </c>
      <c r="S22" s="1" t="s">
        <v>1016</v>
      </c>
      <c r="T22" s="1" t="s">
        <v>1004</v>
      </c>
      <c r="U22" s="1" t="str">
        <f t="shared" si="4"/>
        <v>YES</v>
      </c>
    </row>
    <row r="23" spans="1:21" x14ac:dyDescent="0.3">
      <c r="A23" s="1" t="s">
        <v>114</v>
      </c>
      <c r="B23" s="1" t="s">
        <v>69</v>
      </c>
      <c r="C23" s="1" t="s">
        <v>70</v>
      </c>
      <c r="D23" s="1" t="s">
        <v>59</v>
      </c>
      <c r="E23" s="1" t="s">
        <v>1036</v>
      </c>
      <c r="F23" s="1" t="s">
        <v>1027</v>
      </c>
      <c r="G23" s="1" t="s">
        <v>1002</v>
      </c>
      <c r="H23" s="1">
        <v>12</v>
      </c>
      <c r="I23" s="1">
        <v>7</v>
      </c>
      <c r="J23" s="1" t="s">
        <v>2536</v>
      </c>
      <c r="K23" s="2">
        <v>303.45</v>
      </c>
      <c r="L23" s="6">
        <v>23</v>
      </c>
      <c r="M23" s="2">
        <f t="shared" si="0"/>
        <v>3641.3999999999996</v>
      </c>
      <c r="N23" s="2">
        <f t="shared" si="1"/>
        <v>837.52199999999993</v>
      </c>
      <c r="O23" s="2">
        <f t="shared" si="2"/>
        <v>2803.8779999999997</v>
      </c>
      <c r="P23" s="1">
        <v>207</v>
      </c>
      <c r="Q23" s="2">
        <v>212.41</v>
      </c>
      <c r="R23" s="2">
        <f t="shared" si="3"/>
        <v>254.95799999999963</v>
      </c>
      <c r="S23" s="1" t="s">
        <v>1011</v>
      </c>
      <c r="T23" s="1" t="s">
        <v>1004</v>
      </c>
      <c r="U23" s="1" t="str">
        <f t="shared" si="4"/>
        <v>NO</v>
      </c>
    </row>
    <row r="24" spans="1:21" x14ac:dyDescent="0.3">
      <c r="A24" s="1" t="s">
        <v>115</v>
      </c>
      <c r="B24" s="1" t="s">
        <v>45</v>
      </c>
      <c r="C24" s="1" t="s">
        <v>46</v>
      </c>
      <c r="D24" s="1" t="s">
        <v>47</v>
      </c>
      <c r="E24" s="1" t="s">
        <v>1037</v>
      </c>
      <c r="F24" s="1" t="s">
        <v>1027</v>
      </c>
      <c r="G24" s="1" t="s">
        <v>1023</v>
      </c>
      <c r="H24" s="1">
        <v>4</v>
      </c>
      <c r="I24" s="1">
        <v>5</v>
      </c>
      <c r="J24" s="1" t="s">
        <v>2537</v>
      </c>
      <c r="K24" s="2">
        <v>275.82</v>
      </c>
      <c r="L24" s="6">
        <v>2</v>
      </c>
      <c r="M24" s="2">
        <f t="shared" si="0"/>
        <v>1103.28</v>
      </c>
      <c r="N24" s="2">
        <f t="shared" si="1"/>
        <v>22.0656</v>
      </c>
      <c r="O24" s="2">
        <f t="shared" si="2"/>
        <v>1081.2144000000001</v>
      </c>
      <c r="P24" s="1">
        <v>208</v>
      </c>
      <c r="Q24" s="2">
        <v>193.07</v>
      </c>
      <c r="R24" s="2">
        <f t="shared" si="3"/>
        <v>308.9344000000001</v>
      </c>
      <c r="S24" s="1" t="s">
        <v>1016</v>
      </c>
      <c r="T24" s="1" t="s">
        <v>1007</v>
      </c>
      <c r="U24" s="1" t="str">
        <f t="shared" si="4"/>
        <v>YES</v>
      </c>
    </row>
    <row r="25" spans="1:21" x14ac:dyDescent="0.3">
      <c r="A25" s="1" t="s">
        <v>117</v>
      </c>
      <c r="B25" s="1" t="s">
        <v>118</v>
      </c>
      <c r="C25" s="1" t="s">
        <v>119</v>
      </c>
      <c r="D25" s="1" t="s">
        <v>97</v>
      </c>
      <c r="E25" s="1" t="s">
        <v>1038</v>
      </c>
      <c r="F25" s="1" t="s">
        <v>1015</v>
      </c>
      <c r="G25" s="1" t="s">
        <v>1023</v>
      </c>
      <c r="H25" s="1">
        <v>2</v>
      </c>
      <c r="I25" s="1">
        <v>3</v>
      </c>
      <c r="J25" s="1" t="s">
        <v>2538</v>
      </c>
      <c r="K25" s="2">
        <v>124.7</v>
      </c>
      <c r="L25" s="6">
        <v>23</v>
      </c>
      <c r="M25" s="2">
        <f t="shared" si="0"/>
        <v>249.4</v>
      </c>
      <c r="N25" s="2">
        <f t="shared" si="1"/>
        <v>57.361999999999995</v>
      </c>
      <c r="O25" s="2">
        <f t="shared" si="2"/>
        <v>192.03800000000001</v>
      </c>
      <c r="P25" s="1">
        <v>219</v>
      </c>
      <c r="Q25" s="2">
        <v>87.29</v>
      </c>
      <c r="R25" s="2">
        <f t="shared" si="3"/>
        <v>17.457999999999998</v>
      </c>
      <c r="S25" s="1" t="s">
        <v>1016</v>
      </c>
      <c r="T25" s="1" t="s">
        <v>1004</v>
      </c>
      <c r="U25" s="1" t="str">
        <f t="shared" si="4"/>
        <v>YES</v>
      </c>
    </row>
    <row r="26" spans="1:21" x14ac:dyDescent="0.3">
      <c r="A26" s="1" t="s">
        <v>120</v>
      </c>
      <c r="B26" s="1" t="s">
        <v>111</v>
      </c>
      <c r="C26" s="1" t="s">
        <v>112</v>
      </c>
      <c r="D26" s="1" t="s">
        <v>97</v>
      </c>
      <c r="E26" s="1" t="s">
        <v>1039</v>
      </c>
      <c r="F26" s="1" t="s">
        <v>1027</v>
      </c>
      <c r="G26" s="1" t="s">
        <v>1023</v>
      </c>
      <c r="H26" s="1">
        <v>15</v>
      </c>
      <c r="I26" s="1">
        <v>5</v>
      </c>
      <c r="J26" s="1" t="s">
        <v>2539</v>
      </c>
      <c r="K26" s="2">
        <v>122.55</v>
      </c>
      <c r="L26" s="6">
        <v>13</v>
      </c>
      <c r="M26" s="2">
        <f t="shared" si="0"/>
        <v>1838.25</v>
      </c>
      <c r="N26" s="2">
        <f t="shared" si="1"/>
        <v>238.9725</v>
      </c>
      <c r="O26" s="2">
        <f t="shared" si="2"/>
        <v>1599.2774999999999</v>
      </c>
      <c r="P26" s="1">
        <v>181</v>
      </c>
      <c r="Q26" s="2">
        <v>85.78</v>
      </c>
      <c r="R26" s="2">
        <f t="shared" si="3"/>
        <v>312.57749999999987</v>
      </c>
      <c r="S26" s="1" t="s">
        <v>1016</v>
      </c>
      <c r="T26" s="1" t="s">
        <v>1007</v>
      </c>
      <c r="U26" s="1" t="str">
        <f t="shared" si="4"/>
        <v>YES</v>
      </c>
    </row>
    <row r="27" spans="1:21" x14ac:dyDescent="0.3">
      <c r="A27" s="1" t="s">
        <v>122</v>
      </c>
      <c r="B27" s="1" t="s">
        <v>123</v>
      </c>
      <c r="C27" s="1" t="s">
        <v>124</v>
      </c>
      <c r="D27" s="1" t="s">
        <v>47</v>
      </c>
      <c r="E27" s="1" t="s">
        <v>1040</v>
      </c>
      <c r="F27" s="1" t="s">
        <v>1027</v>
      </c>
      <c r="G27" s="1" t="s">
        <v>1002</v>
      </c>
      <c r="H27" s="1">
        <v>8</v>
      </c>
      <c r="I27" s="1">
        <v>7</v>
      </c>
      <c r="J27" s="1" t="s">
        <v>2540</v>
      </c>
      <c r="K27" s="2">
        <v>148.18</v>
      </c>
      <c r="L27" s="6">
        <v>0</v>
      </c>
      <c r="M27" s="2">
        <f t="shared" si="0"/>
        <v>1185.44</v>
      </c>
      <c r="N27" s="2">
        <f t="shared" si="1"/>
        <v>0</v>
      </c>
      <c r="O27" s="2">
        <f t="shared" si="2"/>
        <v>1185.44</v>
      </c>
      <c r="P27" s="1">
        <v>49</v>
      </c>
      <c r="Q27" s="2">
        <v>103.73</v>
      </c>
      <c r="R27" s="2">
        <f t="shared" si="3"/>
        <v>355.6</v>
      </c>
      <c r="S27" s="1" t="s">
        <v>1003</v>
      </c>
      <c r="T27" s="1" t="s">
        <v>1007</v>
      </c>
      <c r="U27" s="1" t="str">
        <f t="shared" si="4"/>
        <v>NO</v>
      </c>
    </row>
    <row r="28" spans="1:21" x14ac:dyDescent="0.3">
      <c r="A28" s="1" t="s">
        <v>125</v>
      </c>
      <c r="B28" s="1" t="s">
        <v>126</v>
      </c>
      <c r="C28" s="1" t="s">
        <v>127</v>
      </c>
      <c r="D28" s="1" t="s">
        <v>85</v>
      </c>
      <c r="E28" s="1" t="s">
        <v>1041</v>
      </c>
      <c r="F28" s="1" t="s">
        <v>1020</v>
      </c>
      <c r="G28" s="1" t="s">
        <v>1002</v>
      </c>
      <c r="H28" s="1">
        <v>6</v>
      </c>
      <c r="I28" s="1">
        <v>5</v>
      </c>
      <c r="J28" s="1" t="s">
        <v>2541</v>
      </c>
      <c r="K28" s="2">
        <v>377.26</v>
      </c>
      <c r="L28" s="6">
        <v>15</v>
      </c>
      <c r="M28" s="2">
        <f t="shared" si="0"/>
        <v>2263.56</v>
      </c>
      <c r="N28" s="2">
        <f t="shared" si="1"/>
        <v>339.53399999999999</v>
      </c>
      <c r="O28" s="2">
        <f t="shared" si="2"/>
        <v>1924.0259999999998</v>
      </c>
      <c r="P28" s="1">
        <v>167</v>
      </c>
      <c r="Q28" s="2">
        <v>264.08</v>
      </c>
      <c r="R28" s="2">
        <f t="shared" si="3"/>
        <v>339.54599999999982</v>
      </c>
      <c r="S28" s="1" t="s">
        <v>1016</v>
      </c>
      <c r="T28" s="1" t="s">
        <v>1004</v>
      </c>
      <c r="U28" s="1" t="str">
        <f t="shared" si="4"/>
        <v>YES</v>
      </c>
    </row>
    <row r="29" spans="1:21" x14ac:dyDescent="0.3">
      <c r="A29" s="1" t="s">
        <v>129</v>
      </c>
      <c r="B29" s="1" t="s">
        <v>130</v>
      </c>
      <c r="C29" s="1" t="s">
        <v>131</v>
      </c>
      <c r="D29" s="1" t="s">
        <v>132</v>
      </c>
      <c r="E29" s="1" t="s">
        <v>1042</v>
      </c>
      <c r="F29" s="1" t="s">
        <v>1006</v>
      </c>
      <c r="G29" s="1" t="s">
        <v>1023</v>
      </c>
      <c r="H29" s="1">
        <v>8</v>
      </c>
      <c r="I29" s="1">
        <v>6</v>
      </c>
      <c r="J29" s="1" t="s">
        <v>2535</v>
      </c>
      <c r="K29" s="2">
        <v>143.88999999999999</v>
      </c>
      <c r="L29" s="6">
        <v>15</v>
      </c>
      <c r="M29" s="2">
        <f t="shared" si="0"/>
        <v>1151.1199999999999</v>
      </c>
      <c r="N29" s="2">
        <f t="shared" si="1"/>
        <v>172.66800000000001</v>
      </c>
      <c r="O29" s="2">
        <f t="shared" si="2"/>
        <v>978.45199999999988</v>
      </c>
      <c r="P29" s="1">
        <v>116</v>
      </c>
      <c r="Q29" s="2">
        <v>100.72</v>
      </c>
      <c r="R29" s="2">
        <f t="shared" si="3"/>
        <v>172.69199999999989</v>
      </c>
      <c r="S29" s="1" t="s">
        <v>1016</v>
      </c>
      <c r="T29" s="1" t="s">
        <v>1007</v>
      </c>
      <c r="U29" s="1" t="str">
        <f t="shared" si="4"/>
        <v>YES</v>
      </c>
    </row>
    <row r="30" spans="1:21" x14ac:dyDescent="0.3">
      <c r="A30" s="1" t="s">
        <v>134</v>
      </c>
      <c r="B30" s="1" t="s">
        <v>45</v>
      </c>
      <c r="C30" s="1" t="s">
        <v>46</v>
      </c>
      <c r="D30" s="1" t="s">
        <v>47</v>
      </c>
      <c r="E30" s="1" t="s">
        <v>1043</v>
      </c>
      <c r="F30" s="1" t="s">
        <v>1001</v>
      </c>
      <c r="G30" s="1" t="s">
        <v>1010</v>
      </c>
      <c r="H30" s="1">
        <v>4</v>
      </c>
      <c r="I30" s="1">
        <v>1</v>
      </c>
      <c r="J30" s="1" t="s">
        <v>2542</v>
      </c>
      <c r="K30" s="2">
        <v>346.66</v>
      </c>
      <c r="L30" s="6">
        <v>10</v>
      </c>
      <c r="M30" s="2">
        <f t="shared" si="0"/>
        <v>1386.64</v>
      </c>
      <c r="N30" s="2">
        <f t="shared" si="1"/>
        <v>138.66400000000002</v>
      </c>
      <c r="O30" s="2">
        <f t="shared" si="2"/>
        <v>1247.9760000000001</v>
      </c>
      <c r="P30" s="1">
        <v>183</v>
      </c>
      <c r="Q30" s="2">
        <v>242.66</v>
      </c>
      <c r="R30" s="2">
        <f t="shared" si="3"/>
        <v>277.33600000000013</v>
      </c>
      <c r="S30" s="1" t="s">
        <v>1003</v>
      </c>
      <c r="T30" s="1" t="s">
        <v>1004</v>
      </c>
      <c r="U30" s="1" t="str">
        <f t="shared" si="4"/>
        <v>NO</v>
      </c>
    </row>
    <row r="31" spans="1:21" x14ac:dyDescent="0.3">
      <c r="A31" s="1" t="s">
        <v>136</v>
      </c>
      <c r="B31" s="1" t="s">
        <v>72</v>
      </c>
      <c r="C31" s="1" t="s">
        <v>73</v>
      </c>
      <c r="D31" s="1" t="s">
        <v>47</v>
      </c>
      <c r="E31" s="1" t="s">
        <v>1044</v>
      </c>
      <c r="F31" s="1" t="s">
        <v>1013</v>
      </c>
      <c r="G31" s="1" t="s">
        <v>1010</v>
      </c>
      <c r="H31" s="1">
        <v>3</v>
      </c>
      <c r="I31" s="1">
        <v>5</v>
      </c>
      <c r="J31" s="1" t="s">
        <v>2543</v>
      </c>
      <c r="K31" s="2">
        <v>293.64</v>
      </c>
      <c r="L31" s="6">
        <v>23</v>
      </c>
      <c r="M31" s="2">
        <f t="shared" si="0"/>
        <v>880.92</v>
      </c>
      <c r="N31" s="2">
        <f t="shared" si="1"/>
        <v>202.61160000000001</v>
      </c>
      <c r="O31" s="2">
        <f t="shared" si="2"/>
        <v>678.30839999999989</v>
      </c>
      <c r="P31" s="1">
        <v>98</v>
      </c>
      <c r="Q31" s="2">
        <v>205.55</v>
      </c>
      <c r="R31" s="2">
        <f t="shared" si="3"/>
        <v>61.658399999999801</v>
      </c>
      <c r="S31" s="1" t="s">
        <v>1003</v>
      </c>
      <c r="T31" s="1" t="s">
        <v>1007</v>
      </c>
      <c r="U31" s="1" t="str">
        <f t="shared" si="4"/>
        <v>NO</v>
      </c>
    </row>
    <row r="32" spans="1:21" x14ac:dyDescent="0.3">
      <c r="A32" s="1" t="s">
        <v>138</v>
      </c>
      <c r="B32" s="1" t="s">
        <v>130</v>
      </c>
      <c r="C32" s="1" t="s">
        <v>131</v>
      </c>
      <c r="D32" s="1" t="s">
        <v>132</v>
      </c>
      <c r="E32" s="1" t="s">
        <v>1045</v>
      </c>
      <c r="F32" s="1" t="s">
        <v>1001</v>
      </c>
      <c r="G32" s="1" t="s">
        <v>1010</v>
      </c>
      <c r="H32" s="1">
        <v>2</v>
      </c>
      <c r="I32" s="1">
        <v>3</v>
      </c>
      <c r="J32" s="1" t="s">
        <v>2544</v>
      </c>
      <c r="K32" s="2">
        <v>203.44</v>
      </c>
      <c r="L32" s="6">
        <v>2</v>
      </c>
      <c r="M32" s="2">
        <f t="shared" si="0"/>
        <v>406.88</v>
      </c>
      <c r="N32" s="2">
        <f t="shared" si="1"/>
        <v>8.1375999999999991</v>
      </c>
      <c r="O32" s="2">
        <f t="shared" si="2"/>
        <v>398.74239999999998</v>
      </c>
      <c r="P32" s="1">
        <v>211</v>
      </c>
      <c r="Q32" s="2">
        <v>142.41</v>
      </c>
      <c r="R32" s="2">
        <f t="shared" si="3"/>
        <v>113.92239999999998</v>
      </c>
      <c r="S32" s="1" t="s">
        <v>1016</v>
      </c>
      <c r="T32" s="1" t="s">
        <v>1007</v>
      </c>
      <c r="U32" s="1" t="str">
        <f t="shared" si="4"/>
        <v>YES</v>
      </c>
    </row>
    <row r="33" spans="1:21" x14ac:dyDescent="0.3">
      <c r="A33" s="1" t="s">
        <v>140</v>
      </c>
      <c r="B33" s="1" t="s">
        <v>130</v>
      </c>
      <c r="C33" s="1" t="s">
        <v>131</v>
      </c>
      <c r="D33" s="1" t="s">
        <v>132</v>
      </c>
      <c r="E33" s="1" t="s">
        <v>1046</v>
      </c>
      <c r="F33" s="1" t="s">
        <v>1001</v>
      </c>
      <c r="G33" s="1" t="s">
        <v>1010</v>
      </c>
      <c r="H33" s="1">
        <v>11</v>
      </c>
      <c r="I33" s="1">
        <v>5</v>
      </c>
      <c r="J33" s="1" t="s">
        <v>2545</v>
      </c>
      <c r="K33" s="2">
        <v>144.72999999999999</v>
      </c>
      <c r="L33" s="6">
        <v>15</v>
      </c>
      <c r="M33" s="2">
        <f t="shared" si="0"/>
        <v>1592.03</v>
      </c>
      <c r="N33" s="2">
        <f t="shared" si="1"/>
        <v>238.80450000000002</v>
      </c>
      <c r="O33" s="2">
        <f t="shared" si="2"/>
        <v>1353.2255</v>
      </c>
      <c r="P33" s="1">
        <v>110</v>
      </c>
      <c r="Q33" s="2">
        <v>101.31</v>
      </c>
      <c r="R33" s="2">
        <f t="shared" si="3"/>
        <v>238.81549999999993</v>
      </c>
      <c r="S33" s="1" t="s">
        <v>1011</v>
      </c>
      <c r="T33" s="1" t="s">
        <v>1007</v>
      </c>
      <c r="U33" s="1" t="str">
        <f t="shared" si="4"/>
        <v>NO</v>
      </c>
    </row>
    <row r="34" spans="1:21" x14ac:dyDescent="0.3">
      <c r="A34" s="1" t="s">
        <v>142</v>
      </c>
      <c r="B34" s="1" t="s">
        <v>143</v>
      </c>
      <c r="C34" s="1" t="s">
        <v>144</v>
      </c>
      <c r="D34" s="1" t="s">
        <v>47</v>
      </c>
      <c r="E34" s="1" t="s">
        <v>1047</v>
      </c>
      <c r="F34" s="1" t="s">
        <v>1027</v>
      </c>
      <c r="G34" s="1" t="s">
        <v>1023</v>
      </c>
      <c r="H34" s="1">
        <v>1</v>
      </c>
      <c r="I34" s="1">
        <v>2</v>
      </c>
      <c r="J34" s="1" t="s">
        <v>2546</v>
      </c>
      <c r="K34" s="2">
        <v>71.209999999999994</v>
      </c>
      <c r="L34" s="6">
        <v>8</v>
      </c>
      <c r="M34" s="2">
        <f t="shared" si="0"/>
        <v>71.209999999999994</v>
      </c>
      <c r="N34" s="2">
        <f t="shared" si="1"/>
        <v>5.6967999999999996</v>
      </c>
      <c r="O34" s="2">
        <f t="shared" si="2"/>
        <v>65.513199999999998</v>
      </c>
      <c r="P34" s="1">
        <v>233</v>
      </c>
      <c r="Q34" s="2">
        <v>49.85</v>
      </c>
      <c r="R34" s="2">
        <f t="shared" si="3"/>
        <v>15.663199999999996</v>
      </c>
      <c r="S34" s="1" t="s">
        <v>1016</v>
      </c>
      <c r="T34" s="1" t="s">
        <v>1007</v>
      </c>
      <c r="U34" s="1" t="str">
        <f t="shared" si="4"/>
        <v>YES</v>
      </c>
    </row>
    <row r="35" spans="1:21" x14ac:dyDescent="0.3">
      <c r="A35" s="1" t="s">
        <v>146</v>
      </c>
      <c r="B35" s="1" t="s">
        <v>123</v>
      </c>
      <c r="C35" s="1" t="s">
        <v>124</v>
      </c>
      <c r="D35" s="1" t="s">
        <v>47</v>
      </c>
      <c r="E35" s="1" t="s">
        <v>1048</v>
      </c>
      <c r="F35" s="1" t="s">
        <v>1027</v>
      </c>
      <c r="G35" s="1" t="s">
        <v>1023</v>
      </c>
      <c r="H35" s="1">
        <v>9</v>
      </c>
      <c r="I35" s="1">
        <v>4</v>
      </c>
      <c r="J35" s="1" t="s">
        <v>2547</v>
      </c>
      <c r="K35" s="2">
        <v>143.32</v>
      </c>
      <c r="L35" s="6">
        <v>10</v>
      </c>
      <c r="M35" s="2">
        <f t="shared" si="0"/>
        <v>1289.8799999999999</v>
      </c>
      <c r="N35" s="2">
        <f t="shared" si="1"/>
        <v>128.988</v>
      </c>
      <c r="O35" s="2">
        <f t="shared" si="2"/>
        <v>1160.8919999999998</v>
      </c>
      <c r="P35" s="1">
        <v>61</v>
      </c>
      <c r="Q35" s="2">
        <v>100.32</v>
      </c>
      <c r="R35" s="2">
        <f t="shared" si="3"/>
        <v>258.01199999999994</v>
      </c>
      <c r="S35" s="1" t="s">
        <v>1016</v>
      </c>
      <c r="T35" s="1" t="s">
        <v>1007</v>
      </c>
      <c r="U35" s="1" t="str">
        <f t="shared" si="4"/>
        <v>YES</v>
      </c>
    </row>
    <row r="36" spans="1:21" x14ac:dyDescent="0.3">
      <c r="A36" s="1" t="s">
        <v>147</v>
      </c>
      <c r="B36" s="1" t="s">
        <v>57</v>
      </c>
      <c r="C36" s="1" t="s">
        <v>58</v>
      </c>
      <c r="D36" s="1" t="s">
        <v>59</v>
      </c>
      <c r="E36" s="1" t="s">
        <v>1049</v>
      </c>
      <c r="F36" s="1" t="s">
        <v>1001</v>
      </c>
      <c r="G36" s="1" t="s">
        <v>1023</v>
      </c>
      <c r="H36" s="1">
        <v>8</v>
      </c>
      <c r="I36" s="1">
        <v>3</v>
      </c>
      <c r="J36" s="1" t="s">
        <v>2528</v>
      </c>
      <c r="K36" s="2">
        <v>454.2</v>
      </c>
      <c r="L36" s="6">
        <v>4</v>
      </c>
      <c r="M36" s="2">
        <f t="shared" si="0"/>
        <v>3633.6</v>
      </c>
      <c r="N36" s="2">
        <f t="shared" si="1"/>
        <v>145.34399999999999</v>
      </c>
      <c r="O36" s="2">
        <f t="shared" si="2"/>
        <v>3488.2559999999999</v>
      </c>
      <c r="P36" s="1">
        <v>101</v>
      </c>
      <c r="Q36" s="2">
        <v>317.94</v>
      </c>
      <c r="R36" s="2">
        <f t="shared" si="3"/>
        <v>944.73599999999988</v>
      </c>
      <c r="S36" s="1" t="s">
        <v>1016</v>
      </c>
      <c r="T36" s="1" t="s">
        <v>1004</v>
      </c>
      <c r="U36" s="1" t="str">
        <f t="shared" si="4"/>
        <v>YES</v>
      </c>
    </row>
    <row r="37" spans="1:21" x14ac:dyDescent="0.3">
      <c r="A37" s="1" t="s">
        <v>148</v>
      </c>
      <c r="B37" s="1" t="s">
        <v>72</v>
      </c>
      <c r="C37" s="1" t="s">
        <v>73</v>
      </c>
      <c r="D37" s="1" t="s">
        <v>47</v>
      </c>
      <c r="E37" s="1" t="s">
        <v>1050</v>
      </c>
      <c r="F37" s="1" t="s">
        <v>1006</v>
      </c>
      <c r="G37" s="1" t="s">
        <v>1023</v>
      </c>
      <c r="H37" s="1">
        <v>14</v>
      </c>
      <c r="I37" s="1">
        <v>3</v>
      </c>
      <c r="J37" s="1" t="s">
        <v>2548</v>
      </c>
      <c r="K37" s="2">
        <v>160.9</v>
      </c>
      <c r="L37" s="6">
        <v>7</v>
      </c>
      <c r="M37" s="2">
        <f t="shared" si="0"/>
        <v>2252.6</v>
      </c>
      <c r="N37" s="2">
        <f t="shared" si="1"/>
        <v>157.68199999999999</v>
      </c>
      <c r="O37" s="2">
        <f t="shared" si="2"/>
        <v>2094.9180000000001</v>
      </c>
      <c r="P37" s="1">
        <v>108</v>
      </c>
      <c r="Q37" s="2">
        <v>112.63</v>
      </c>
      <c r="R37" s="2">
        <f t="shared" si="3"/>
        <v>518.09800000000018</v>
      </c>
      <c r="S37" s="1" t="s">
        <v>1003</v>
      </c>
      <c r="T37" s="1" t="s">
        <v>1004</v>
      </c>
      <c r="U37" s="1" t="str">
        <f t="shared" si="4"/>
        <v>NO</v>
      </c>
    </row>
    <row r="38" spans="1:21" x14ac:dyDescent="0.3">
      <c r="A38" s="1" t="s">
        <v>149</v>
      </c>
      <c r="B38" s="1" t="s">
        <v>143</v>
      </c>
      <c r="C38" s="1" t="s">
        <v>144</v>
      </c>
      <c r="D38" s="1" t="s">
        <v>47</v>
      </c>
      <c r="E38" s="1" t="s">
        <v>1051</v>
      </c>
      <c r="F38" s="1" t="s">
        <v>1027</v>
      </c>
      <c r="G38" s="1" t="s">
        <v>1023</v>
      </c>
      <c r="H38" s="1">
        <v>13</v>
      </c>
      <c r="I38" s="1">
        <v>7</v>
      </c>
      <c r="J38" s="1" t="s">
        <v>2523</v>
      </c>
      <c r="K38" s="2">
        <v>320.38</v>
      </c>
      <c r="L38" s="6">
        <v>5</v>
      </c>
      <c r="M38" s="2">
        <f t="shared" si="0"/>
        <v>4164.9399999999996</v>
      </c>
      <c r="N38" s="2">
        <f t="shared" si="1"/>
        <v>208.24699999999996</v>
      </c>
      <c r="O38" s="2">
        <f t="shared" si="2"/>
        <v>3956.6929999999998</v>
      </c>
      <c r="P38" s="1">
        <v>238</v>
      </c>
      <c r="Q38" s="2">
        <v>224.27</v>
      </c>
      <c r="R38" s="2">
        <f t="shared" si="3"/>
        <v>1041.1829999999995</v>
      </c>
      <c r="S38" s="1" t="s">
        <v>1003</v>
      </c>
      <c r="T38" s="1" t="s">
        <v>1004</v>
      </c>
      <c r="U38" s="1" t="str">
        <f t="shared" si="4"/>
        <v>NO</v>
      </c>
    </row>
    <row r="39" spans="1:21" x14ac:dyDescent="0.3">
      <c r="A39" s="1" t="s">
        <v>151</v>
      </c>
      <c r="B39" s="1" t="s">
        <v>126</v>
      </c>
      <c r="C39" s="1" t="s">
        <v>127</v>
      </c>
      <c r="D39" s="1" t="s">
        <v>85</v>
      </c>
      <c r="E39" s="1" t="s">
        <v>1052</v>
      </c>
      <c r="F39" s="1" t="s">
        <v>1013</v>
      </c>
      <c r="G39" s="1" t="s">
        <v>1010</v>
      </c>
      <c r="H39" s="1">
        <v>6</v>
      </c>
      <c r="I39" s="1">
        <v>3</v>
      </c>
      <c r="J39" s="1" t="s">
        <v>2549</v>
      </c>
      <c r="K39" s="2">
        <v>117.47</v>
      </c>
      <c r="L39" s="6">
        <v>24</v>
      </c>
      <c r="M39" s="2">
        <f t="shared" si="0"/>
        <v>704.81999999999994</v>
      </c>
      <c r="N39" s="2">
        <f t="shared" si="1"/>
        <v>169.1568</v>
      </c>
      <c r="O39" s="2">
        <f t="shared" si="2"/>
        <v>535.66319999999996</v>
      </c>
      <c r="P39" s="1">
        <v>265</v>
      </c>
      <c r="Q39" s="2">
        <v>82.23</v>
      </c>
      <c r="R39" s="2">
        <f t="shared" si="3"/>
        <v>42.283199999999965</v>
      </c>
      <c r="S39" s="1" t="s">
        <v>1016</v>
      </c>
      <c r="T39" s="1" t="s">
        <v>1007</v>
      </c>
      <c r="U39" s="1" t="str">
        <f t="shared" si="4"/>
        <v>YES</v>
      </c>
    </row>
    <row r="40" spans="1:21" x14ac:dyDescent="0.3">
      <c r="A40" s="1" t="s">
        <v>152</v>
      </c>
      <c r="B40" s="1" t="s">
        <v>37</v>
      </c>
      <c r="C40" s="1" t="s">
        <v>38</v>
      </c>
      <c r="D40" s="1" t="s">
        <v>39</v>
      </c>
      <c r="E40" s="1" t="s">
        <v>1053</v>
      </c>
      <c r="F40" s="1" t="s">
        <v>1009</v>
      </c>
      <c r="G40" s="1" t="s">
        <v>1023</v>
      </c>
      <c r="H40" s="1">
        <v>10</v>
      </c>
      <c r="I40" s="1">
        <v>5</v>
      </c>
      <c r="J40" s="1" t="s">
        <v>2550</v>
      </c>
      <c r="K40" s="2">
        <v>412.95</v>
      </c>
      <c r="L40" s="6">
        <v>11</v>
      </c>
      <c r="M40" s="2">
        <f t="shared" si="0"/>
        <v>4129.5</v>
      </c>
      <c r="N40" s="2">
        <f t="shared" si="1"/>
        <v>454.245</v>
      </c>
      <c r="O40" s="2">
        <f t="shared" si="2"/>
        <v>3675.2550000000001</v>
      </c>
      <c r="P40" s="1">
        <v>182</v>
      </c>
      <c r="Q40" s="2">
        <v>289.06</v>
      </c>
      <c r="R40" s="2">
        <f t="shared" si="3"/>
        <v>784.6550000000002</v>
      </c>
      <c r="S40" s="1" t="s">
        <v>1016</v>
      </c>
      <c r="T40" s="1" t="s">
        <v>1007</v>
      </c>
      <c r="U40" s="1" t="str">
        <f t="shared" si="4"/>
        <v>YES</v>
      </c>
    </row>
    <row r="41" spans="1:21" x14ac:dyDescent="0.3">
      <c r="A41" s="1" t="s">
        <v>154</v>
      </c>
      <c r="B41" s="1" t="s">
        <v>102</v>
      </c>
      <c r="C41" s="1" t="s">
        <v>103</v>
      </c>
      <c r="D41" s="1" t="s">
        <v>104</v>
      </c>
      <c r="E41" s="1" t="s">
        <v>1054</v>
      </c>
      <c r="F41" s="1" t="s">
        <v>1027</v>
      </c>
      <c r="G41" s="1" t="s">
        <v>1023</v>
      </c>
      <c r="H41" s="1">
        <v>1</v>
      </c>
      <c r="I41" s="1">
        <v>7</v>
      </c>
      <c r="J41" s="1" t="s">
        <v>2551</v>
      </c>
      <c r="K41" s="2">
        <v>142.84</v>
      </c>
      <c r="L41" s="6">
        <v>22</v>
      </c>
      <c r="M41" s="2">
        <f t="shared" si="0"/>
        <v>142.84</v>
      </c>
      <c r="N41" s="2">
        <f t="shared" si="1"/>
        <v>31.424800000000001</v>
      </c>
      <c r="O41" s="2">
        <f t="shared" si="2"/>
        <v>111.4152</v>
      </c>
      <c r="P41" s="1">
        <v>254</v>
      </c>
      <c r="Q41" s="2">
        <v>99.99</v>
      </c>
      <c r="R41" s="2">
        <f t="shared" si="3"/>
        <v>11.425200000000004</v>
      </c>
      <c r="S41" s="1" t="s">
        <v>1011</v>
      </c>
      <c r="T41" s="1" t="s">
        <v>1004</v>
      </c>
      <c r="U41" s="1" t="str">
        <f t="shared" si="4"/>
        <v>NO</v>
      </c>
    </row>
    <row r="42" spans="1:21" x14ac:dyDescent="0.3">
      <c r="A42" s="1" t="s">
        <v>155</v>
      </c>
      <c r="B42" s="1" t="s">
        <v>57</v>
      </c>
      <c r="C42" s="1" t="s">
        <v>58</v>
      </c>
      <c r="D42" s="1" t="s">
        <v>59</v>
      </c>
      <c r="E42" s="1" t="s">
        <v>1055</v>
      </c>
      <c r="F42" s="1" t="s">
        <v>1009</v>
      </c>
      <c r="G42" s="1" t="s">
        <v>1023</v>
      </c>
      <c r="H42" s="1">
        <v>9</v>
      </c>
      <c r="I42" s="1">
        <v>7</v>
      </c>
      <c r="J42" s="1" t="s">
        <v>2552</v>
      </c>
      <c r="K42" s="2">
        <v>480.06</v>
      </c>
      <c r="L42" s="6">
        <v>20</v>
      </c>
      <c r="M42" s="2">
        <f t="shared" si="0"/>
        <v>4320.54</v>
      </c>
      <c r="N42" s="2">
        <f t="shared" si="1"/>
        <v>864.10800000000006</v>
      </c>
      <c r="O42" s="2">
        <f t="shared" si="2"/>
        <v>3456.4319999999998</v>
      </c>
      <c r="P42" s="1">
        <v>149</v>
      </c>
      <c r="Q42" s="2">
        <v>336.04</v>
      </c>
      <c r="R42" s="2">
        <f t="shared" si="3"/>
        <v>432.07199999999966</v>
      </c>
      <c r="S42" s="1" t="s">
        <v>1003</v>
      </c>
      <c r="T42" s="1" t="s">
        <v>1004</v>
      </c>
      <c r="U42" s="1" t="str">
        <f t="shared" si="4"/>
        <v>NO</v>
      </c>
    </row>
    <row r="43" spans="1:21" x14ac:dyDescent="0.3">
      <c r="A43" s="1" t="s">
        <v>156</v>
      </c>
      <c r="B43" s="1" t="s">
        <v>77</v>
      </c>
      <c r="C43" s="1" t="s">
        <v>78</v>
      </c>
      <c r="D43" s="1" t="s">
        <v>47</v>
      </c>
      <c r="E43" s="1" t="s">
        <v>1056</v>
      </c>
      <c r="F43" s="1" t="s">
        <v>1006</v>
      </c>
      <c r="G43" s="1" t="s">
        <v>1023</v>
      </c>
      <c r="H43" s="1">
        <v>8</v>
      </c>
      <c r="I43" s="1">
        <v>5</v>
      </c>
      <c r="J43" s="1" t="s">
        <v>2553</v>
      </c>
      <c r="K43" s="2">
        <v>120.12</v>
      </c>
      <c r="L43" s="6">
        <v>13</v>
      </c>
      <c r="M43" s="2">
        <f t="shared" si="0"/>
        <v>960.96</v>
      </c>
      <c r="N43" s="2">
        <f t="shared" si="1"/>
        <v>124.92479999999999</v>
      </c>
      <c r="O43" s="2">
        <f t="shared" si="2"/>
        <v>836.03520000000003</v>
      </c>
      <c r="P43" s="1">
        <v>150</v>
      </c>
      <c r="Q43" s="2">
        <v>84.08</v>
      </c>
      <c r="R43" s="2">
        <f t="shared" si="3"/>
        <v>163.39520000000005</v>
      </c>
      <c r="S43" s="1" t="s">
        <v>1016</v>
      </c>
      <c r="T43" s="1" t="s">
        <v>1007</v>
      </c>
      <c r="U43" s="1" t="str">
        <f t="shared" si="4"/>
        <v>YES</v>
      </c>
    </row>
    <row r="44" spans="1:21" x14ac:dyDescent="0.3">
      <c r="A44" s="1" t="s">
        <v>158</v>
      </c>
      <c r="B44" s="1" t="s">
        <v>118</v>
      </c>
      <c r="C44" s="1" t="s">
        <v>119</v>
      </c>
      <c r="D44" s="1" t="s">
        <v>97</v>
      </c>
      <c r="E44" s="1" t="s">
        <v>1057</v>
      </c>
      <c r="F44" s="1" t="s">
        <v>1001</v>
      </c>
      <c r="G44" s="1" t="s">
        <v>1010</v>
      </c>
      <c r="H44" s="1">
        <v>3</v>
      </c>
      <c r="I44" s="1">
        <v>5</v>
      </c>
      <c r="J44" s="1" t="s">
        <v>2554</v>
      </c>
      <c r="K44" s="2">
        <v>230.14</v>
      </c>
      <c r="L44" s="6">
        <v>12</v>
      </c>
      <c r="M44" s="2">
        <f t="shared" si="0"/>
        <v>690.42</v>
      </c>
      <c r="N44" s="2">
        <f t="shared" si="1"/>
        <v>82.850399999999993</v>
      </c>
      <c r="O44" s="2">
        <f t="shared" si="2"/>
        <v>607.56959999999992</v>
      </c>
      <c r="P44" s="1">
        <v>237</v>
      </c>
      <c r="Q44" s="2">
        <v>161.1</v>
      </c>
      <c r="R44" s="2">
        <f t="shared" si="3"/>
        <v>124.26959999999997</v>
      </c>
      <c r="S44" s="1" t="s">
        <v>1003</v>
      </c>
      <c r="T44" s="1" t="s">
        <v>1004</v>
      </c>
      <c r="U44" s="1" t="str">
        <f t="shared" si="4"/>
        <v>NO</v>
      </c>
    </row>
    <row r="45" spans="1:21" x14ac:dyDescent="0.3">
      <c r="A45" s="1" t="s">
        <v>160</v>
      </c>
      <c r="B45" s="1" t="s">
        <v>83</v>
      </c>
      <c r="C45" s="1" t="s">
        <v>84</v>
      </c>
      <c r="D45" s="1" t="s">
        <v>85</v>
      </c>
      <c r="E45" s="1" t="s">
        <v>1058</v>
      </c>
      <c r="F45" s="1" t="s">
        <v>1013</v>
      </c>
      <c r="G45" s="1" t="s">
        <v>1002</v>
      </c>
      <c r="H45" s="1">
        <v>8</v>
      </c>
      <c r="I45" s="1">
        <v>4</v>
      </c>
      <c r="J45" s="1" t="s">
        <v>2555</v>
      </c>
      <c r="K45" s="2">
        <v>182.91</v>
      </c>
      <c r="L45" s="6">
        <v>13</v>
      </c>
      <c r="M45" s="2">
        <f t="shared" si="0"/>
        <v>1463.28</v>
      </c>
      <c r="N45" s="2">
        <f t="shared" si="1"/>
        <v>190.22639999999998</v>
      </c>
      <c r="O45" s="2">
        <f t="shared" si="2"/>
        <v>1273.0536</v>
      </c>
      <c r="P45" s="1">
        <v>143</v>
      </c>
      <c r="Q45" s="2">
        <v>128.04</v>
      </c>
      <c r="R45" s="2">
        <f t="shared" si="3"/>
        <v>248.73360000000002</v>
      </c>
      <c r="S45" s="1" t="s">
        <v>1016</v>
      </c>
      <c r="T45" s="1" t="s">
        <v>1007</v>
      </c>
      <c r="U45" s="1" t="str">
        <f t="shared" si="4"/>
        <v>YES</v>
      </c>
    </row>
    <row r="46" spans="1:21" x14ac:dyDescent="0.3">
      <c r="A46" s="1" t="s">
        <v>162</v>
      </c>
      <c r="B46" s="1" t="s">
        <v>118</v>
      </c>
      <c r="C46" s="1" t="s">
        <v>119</v>
      </c>
      <c r="D46" s="1" t="s">
        <v>97</v>
      </c>
      <c r="E46" s="1" t="s">
        <v>1059</v>
      </c>
      <c r="F46" s="1" t="s">
        <v>1009</v>
      </c>
      <c r="G46" s="1" t="s">
        <v>1023</v>
      </c>
      <c r="H46" s="1">
        <v>9</v>
      </c>
      <c r="I46" s="1">
        <v>6</v>
      </c>
      <c r="J46" s="1" t="s">
        <v>2556</v>
      </c>
      <c r="K46" s="2">
        <v>317.83999999999997</v>
      </c>
      <c r="L46" s="6">
        <v>21</v>
      </c>
      <c r="M46" s="2">
        <f t="shared" si="0"/>
        <v>2860.56</v>
      </c>
      <c r="N46" s="2">
        <f t="shared" si="1"/>
        <v>600.71760000000006</v>
      </c>
      <c r="O46" s="2">
        <f t="shared" si="2"/>
        <v>2259.8424</v>
      </c>
      <c r="P46" s="1">
        <v>279</v>
      </c>
      <c r="Q46" s="2">
        <v>222.49</v>
      </c>
      <c r="R46" s="2">
        <f t="shared" si="3"/>
        <v>257.43239999999992</v>
      </c>
      <c r="S46" s="1" t="s">
        <v>1003</v>
      </c>
      <c r="T46" s="1" t="s">
        <v>1004</v>
      </c>
      <c r="U46" s="1" t="str">
        <f t="shared" si="4"/>
        <v>NO</v>
      </c>
    </row>
    <row r="47" spans="1:21" x14ac:dyDescent="0.3">
      <c r="A47" s="1" t="s">
        <v>163</v>
      </c>
      <c r="B47" s="1" t="s">
        <v>69</v>
      </c>
      <c r="C47" s="1" t="s">
        <v>70</v>
      </c>
      <c r="D47" s="1" t="s">
        <v>59</v>
      </c>
      <c r="E47" s="1" t="s">
        <v>1060</v>
      </c>
      <c r="F47" s="1" t="s">
        <v>1013</v>
      </c>
      <c r="G47" s="1" t="s">
        <v>1023</v>
      </c>
      <c r="H47" s="1">
        <v>11</v>
      </c>
      <c r="I47" s="1">
        <v>7</v>
      </c>
      <c r="J47" s="1" t="s">
        <v>2557</v>
      </c>
      <c r="K47" s="2">
        <v>270.26</v>
      </c>
      <c r="L47" s="6">
        <v>2</v>
      </c>
      <c r="M47" s="2">
        <f t="shared" si="0"/>
        <v>2972.8599999999997</v>
      </c>
      <c r="N47" s="2">
        <f t="shared" si="1"/>
        <v>59.457199999999993</v>
      </c>
      <c r="O47" s="2">
        <f t="shared" si="2"/>
        <v>2913.4027999999998</v>
      </c>
      <c r="P47" s="1">
        <v>221</v>
      </c>
      <c r="Q47" s="2">
        <v>189.18</v>
      </c>
      <c r="R47" s="2">
        <f t="shared" si="3"/>
        <v>832.42279999999982</v>
      </c>
      <c r="S47" s="1" t="s">
        <v>1003</v>
      </c>
      <c r="T47" s="1" t="s">
        <v>1004</v>
      </c>
      <c r="U47" s="1" t="str">
        <f t="shared" si="4"/>
        <v>NO</v>
      </c>
    </row>
    <row r="48" spans="1:21" x14ac:dyDescent="0.3">
      <c r="A48" s="1" t="s">
        <v>165</v>
      </c>
      <c r="B48" s="1" t="s">
        <v>166</v>
      </c>
      <c r="C48" s="1" t="s">
        <v>167</v>
      </c>
      <c r="D48" s="1" t="s">
        <v>59</v>
      </c>
      <c r="E48" s="1" t="s">
        <v>1061</v>
      </c>
      <c r="F48" s="1" t="s">
        <v>1006</v>
      </c>
      <c r="G48" s="1" t="s">
        <v>1023</v>
      </c>
      <c r="H48" s="1">
        <v>8</v>
      </c>
      <c r="I48" s="1">
        <v>7</v>
      </c>
      <c r="J48" s="1" t="s">
        <v>2558</v>
      </c>
      <c r="K48" s="2">
        <v>46.12</v>
      </c>
      <c r="L48" s="6">
        <v>10</v>
      </c>
      <c r="M48" s="2">
        <f t="shared" si="0"/>
        <v>368.96</v>
      </c>
      <c r="N48" s="2">
        <f t="shared" si="1"/>
        <v>36.896000000000001</v>
      </c>
      <c r="O48" s="2">
        <f t="shared" si="2"/>
        <v>332.06399999999996</v>
      </c>
      <c r="P48" s="1">
        <v>202</v>
      </c>
      <c r="Q48" s="2">
        <v>32.28</v>
      </c>
      <c r="R48" s="2">
        <f t="shared" si="3"/>
        <v>73.823999999999955</v>
      </c>
      <c r="S48" s="1" t="s">
        <v>1016</v>
      </c>
      <c r="T48" s="1" t="s">
        <v>1004</v>
      </c>
      <c r="U48" s="1" t="str">
        <f t="shared" si="4"/>
        <v>YES</v>
      </c>
    </row>
    <row r="49" spans="1:21" x14ac:dyDescent="0.3">
      <c r="A49" s="1" t="s">
        <v>168</v>
      </c>
      <c r="B49" s="1" t="s">
        <v>83</v>
      </c>
      <c r="C49" s="1" t="s">
        <v>84</v>
      </c>
      <c r="D49" s="1" t="s">
        <v>85</v>
      </c>
      <c r="E49" s="1" t="s">
        <v>1062</v>
      </c>
      <c r="F49" s="1" t="s">
        <v>1009</v>
      </c>
      <c r="G49" s="1" t="s">
        <v>1002</v>
      </c>
      <c r="H49" s="1">
        <v>8</v>
      </c>
      <c r="I49" s="1">
        <v>6</v>
      </c>
      <c r="J49" s="1" t="s">
        <v>2559</v>
      </c>
      <c r="K49" s="2">
        <v>365.94</v>
      </c>
      <c r="L49" s="6">
        <v>0</v>
      </c>
      <c r="M49" s="2">
        <f t="shared" si="0"/>
        <v>2927.52</v>
      </c>
      <c r="N49" s="2">
        <f t="shared" si="1"/>
        <v>0</v>
      </c>
      <c r="O49" s="2">
        <f t="shared" si="2"/>
        <v>2927.52</v>
      </c>
      <c r="P49" s="1">
        <v>153</v>
      </c>
      <c r="Q49" s="2">
        <v>256.16000000000003</v>
      </c>
      <c r="R49" s="2">
        <f t="shared" si="3"/>
        <v>878.23999999999978</v>
      </c>
      <c r="S49" s="1" t="s">
        <v>1003</v>
      </c>
      <c r="T49" s="1" t="s">
        <v>1004</v>
      </c>
      <c r="U49" s="1" t="str">
        <f t="shared" si="4"/>
        <v>NO</v>
      </c>
    </row>
    <row r="50" spans="1:21" x14ac:dyDescent="0.3">
      <c r="A50" s="1" t="s">
        <v>169</v>
      </c>
      <c r="B50" s="1" t="s">
        <v>83</v>
      </c>
      <c r="C50" s="1" t="s">
        <v>84</v>
      </c>
      <c r="D50" s="1" t="s">
        <v>85</v>
      </c>
      <c r="E50" s="1" t="s">
        <v>1063</v>
      </c>
      <c r="F50" s="1" t="s">
        <v>1015</v>
      </c>
      <c r="G50" s="1" t="s">
        <v>1023</v>
      </c>
      <c r="H50" s="1">
        <v>11</v>
      </c>
      <c r="I50" s="1">
        <v>7</v>
      </c>
      <c r="J50" s="1" t="s">
        <v>2560</v>
      </c>
      <c r="K50" s="2">
        <v>462.75</v>
      </c>
      <c r="L50" s="6">
        <v>3</v>
      </c>
      <c r="M50" s="2">
        <f t="shared" si="0"/>
        <v>5090.25</v>
      </c>
      <c r="N50" s="2">
        <f t="shared" si="1"/>
        <v>152.70750000000001</v>
      </c>
      <c r="O50" s="2">
        <f t="shared" si="2"/>
        <v>4937.5424999999996</v>
      </c>
      <c r="P50" s="1">
        <v>48</v>
      </c>
      <c r="Q50" s="2">
        <v>323.92</v>
      </c>
      <c r="R50" s="2">
        <f t="shared" si="3"/>
        <v>1374.4224999999992</v>
      </c>
      <c r="S50" s="1" t="s">
        <v>1016</v>
      </c>
      <c r="T50" s="1" t="s">
        <v>1004</v>
      </c>
      <c r="U50" s="1" t="str">
        <f t="shared" si="4"/>
        <v>YES</v>
      </c>
    </row>
    <row r="51" spans="1:21" x14ac:dyDescent="0.3">
      <c r="A51" s="1" t="s">
        <v>171</v>
      </c>
      <c r="B51" s="1" t="s">
        <v>172</v>
      </c>
      <c r="C51" s="1" t="s">
        <v>173</v>
      </c>
      <c r="D51" s="1" t="s">
        <v>132</v>
      </c>
      <c r="E51" s="1" t="s">
        <v>1064</v>
      </c>
      <c r="F51" s="1" t="s">
        <v>1009</v>
      </c>
      <c r="G51" s="1" t="s">
        <v>1002</v>
      </c>
      <c r="H51" s="1">
        <v>6</v>
      </c>
      <c r="I51" s="1">
        <v>4</v>
      </c>
      <c r="J51" s="1" t="s">
        <v>2561</v>
      </c>
      <c r="K51" s="2">
        <v>106.82</v>
      </c>
      <c r="L51" s="6">
        <v>6</v>
      </c>
      <c r="M51" s="2">
        <f t="shared" si="0"/>
        <v>640.91999999999996</v>
      </c>
      <c r="N51" s="2">
        <f t="shared" si="1"/>
        <v>38.455199999999998</v>
      </c>
      <c r="O51" s="2">
        <f t="shared" si="2"/>
        <v>602.46479999999997</v>
      </c>
      <c r="P51" s="1">
        <v>267</v>
      </c>
      <c r="Q51" s="2">
        <v>74.77</v>
      </c>
      <c r="R51" s="2">
        <f t="shared" si="3"/>
        <v>153.84479999999996</v>
      </c>
      <c r="S51" s="1" t="s">
        <v>1011</v>
      </c>
      <c r="T51" s="1" t="s">
        <v>1007</v>
      </c>
      <c r="U51" s="1" t="str">
        <f t="shared" si="4"/>
        <v>NO</v>
      </c>
    </row>
    <row r="52" spans="1:21" x14ac:dyDescent="0.3">
      <c r="A52" s="1" t="s">
        <v>175</v>
      </c>
      <c r="B52" s="1" t="s">
        <v>176</v>
      </c>
      <c r="C52" s="1" t="s">
        <v>177</v>
      </c>
      <c r="D52" s="1" t="s">
        <v>39</v>
      </c>
      <c r="E52" s="1" t="s">
        <v>1065</v>
      </c>
      <c r="F52" s="1" t="s">
        <v>1006</v>
      </c>
      <c r="G52" s="1" t="s">
        <v>1010</v>
      </c>
      <c r="H52" s="1">
        <v>2</v>
      </c>
      <c r="I52" s="1">
        <v>3</v>
      </c>
      <c r="J52" s="1" t="s">
        <v>2562</v>
      </c>
      <c r="K52" s="2">
        <v>144.83000000000001</v>
      </c>
      <c r="L52" s="6">
        <v>0</v>
      </c>
      <c r="M52" s="2">
        <f t="shared" si="0"/>
        <v>289.66000000000003</v>
      </c>
      <c r="N52" s="2">
        <f t="shared" si="1"/>
        <v>0</v>
      </c>
      <c r="O52" s="2">
        <f t="shared" si="2"/>
        <v>289.66000000000003</v>
      </c>
      <c r="P52" s="1">
        <v>163</v>
      </c>
      <c r="Q52" s="2">
        <v>101.38</v>
      </c>
      <c r="R52" s="2">
        <f t="shared" si="3"/>
        <v>86.900000000000034</v>
      </c>
      <c r="S52" s="1" t="s">
        <v>1003</v>
      </c>
      <c r="T52" s="1" t="s">
        <v>1004</v>
      </c>
      <c r="U52" s="1" t="str">
        <f t="shared" si="4"/>
        <v>NO</v>
      </c>
    </row>
    <row r="53" spans="1:21" x14ac:dyDescent="0.3">
      <c r="A53" s="1" t="s">
        <v>179</v>
      </c>
      <c r="B53" s="1" t="s">
        <v>26</v>
      </c>
      <c r="C53" s="1" t="s">
        <v>27</v>
      </c>
      <c r="D53" s="1" t="s">
        <v>28</v>
      </c>
      <c r="E53" s="1" t="s">
        <v>1066</v>
      </c>
      <c r="F53" s="1" t="s">
        <v>1020</v>
      </c>
      <c r="G53" s="1" t="s">
        <v>1010</v>
      </c>
      <c r="H53" s="1">
        <v>8</v>
      </c>
      <c r="I53" s="1">
        <v>7</v>
      </c>
      <c r="J53" s="1" t="s">
        <v>2563</v>
      </c>
      <c r="K53" s="2">
        <v>269.27999999999997</v>
      </c>
      <c r="L53" s="6">
        <v>10</v>
      </c>
      <c r="M53" s="2">
        <f t="shared" si="0"/>
        <v>2154.2399999999998</v>
      </c>
      <c r="N53" s="2">
        <f t="shared" si="1"/>
        <v>215.42399999999998</v>
      </c>
      <c r="O53" s="2">
        <f t="shared" si="2"/>
        <v>1938.8159999999998</v>
      </c>
      <c r="P53" s="1">
        <v>106</v>
      </c>
      <c r="Q53" s="2">
        <v>188.5</v>
      </c>
      <c r="R53" s="2">
        <f t="shared" si="3"/>
        <v>430.8159999999998</v>
      </c>
      <c r="S53" s="1" t="s">
        <v>1003</v>
      </c>
      <c r="T53" s="1" t="s">
        <v>1004</v>
      </c>
      <c r="U53" s="1" t="str">
        <f t="shared" si="4"/>
        <v>NO</v>
      </c>
    </row>
    <row r="54" spans="1:21" x14ac:dyDescent="0.3">
      <c r="A54" s="1" t="s">
        <v>181</v>
      </c>
      <c r="B54" s="1" t="s">
        <v>102</v>
      </c>
      <c r="C54" s="1" t="s">
        <v>103</v>
      </c>
      <c r="D54" s="1" t="s">
        <v>104</v>
      </c>
      <c r="E54" s="1" t="s">
        <v>1067</v>
      </c>
      <c r="F54" s="1" t="s">
        <v>1009</v>
      </c>
      <c r="G54" s="1" t="s">
        <v>1023</v>
      </c>
      <c r="H54" s="1">
        <v>14</v>
      </c>
      <c r="I54" s="1">
        <v>1</v>
      </c>
      <c r="J54" s="1" t="s">
        <v>2564</v>
      </c>
      <c r="K54" s="2">
        <v>86.26</v>
      </c>
      <c r="L54" s="6">
        <v>10</v>
      </c>
      <c r="M54" s="2">
        <f t="shared" si="0"/>
        <v>1207.6400000000001</v>
      </c>
      <c r="N54" s="2">
        <f t="shared" si="1"/>
        <v>120.76400000000001</v>
      </c>
      <c r="O54" s="2">
        <f t="shared" si="2"/>
        <v>1086.8760000000002</v>
      </c>
      <c r="P54" s="1">
        <v>193</v>
      </c>
      <c r="Q54" s="2">
        <v>60.38</v>
      </c>
      <c r="R54" s="2">
        <f t="shared" si="3"/>
        <v>241.55600000000015</v>
      </c>
      <c r="S54" s="1" t="s">
        <v>1011</v>
      </c>
      <c r="T54" s="1" t="s">
        <v>1004</v>
      </c>
      <c r="U54" s="1" t="str">
        <f t="shared" si="4"/>
        <v>NO</v>
      </c>
    </row>
    <row r="55" spans="1:21" x14ac:dyDescent="0.3">
      <c r="A55" s="1" t="s">
        <v>182</v>
      </c>
      <c r="B55" s="1" t="s">
        <v>52</v>
      </c>
      <c r="C55" s="1" t="s">
        <v>53</v>
      </c>
      <c r="D55" s="1" t="s">
        <v>47</v>
      </c>
      <c r="E55" s="1" t="s">
        <v>1068</v>
      </c>
      <c r="F55" s="1" t="s">
        <v>1009</v>
      </c>
      <c r="G55" s="1" t="s">
        <v>1002</v>
      </c>
      <c r="H55" s="1">
        <v>10</v>
      </c>
      <c r="I55" s="1">
        <v>2</v>
      </c>
      <c r="J55" s="1" t="s">
        <v>2565</v>
      </c>
      <c r="K55" s="2">
        <v>169.68</v>
      </c>
      <c r="L55" s="6">
        <v>22</v>
      </c>
      <c r="M55" s="2">
        <f t="shared" si="0"/>
        <v>1696.8000000000002</v>
      </c>
      <c r="N55" s="2">
        <f t="shared" si="1"/>
        <v>373.29600000000005</v>
      </c>
      <c r="O55" s="2">
        <f t="shared" si="2"/>
        <v>1323.5040000000001</v>
      </c>
      <c r="P55" s="1">
        <v>135</v>
      </c>
      <c r="Q55" s="2">
        <v>118.78</v>
      </c>
      <c r="R55" s="2">
        <f t="shared" si="3"/>
        <v>135.70400000000018</v>
      </c>
      <c r="S55" s="1" t="s">
        <v>1011</v>
      </c>
      <c r="T55" s="1" t="s">
        <v>1004</v>
      </c>
      <c r="U55" s="1" t="str">
        <f t="shared" si="4"/>
        <v>NO</v>
      </c>
    </row>
    <row r="56" spans="1:21" x14ac:dyDescent="0.3">
      <c r="A56" s="1" t="s">
        <v>184</v>
      </c>
      <c r="B56" s="1" t="s">
        <v>95</v>
      </c>
      <c r="C56" s="1" t="s">
        <v>96</v>
      </c>
      <c r="D56" s="1" t="s">
        <v>97</v>
      </c>
      <c r="E56" s="1" t="s">
        <v>1069</v>
      </c>
      <c r="F56" s="1" t="s">
        <v>1020</v>
      </c>
      <c r="G56" s="1" t="s">
        <v>1002</v>
      </c>
      <c r="H56" s="1">
        <v>15</v>
      </c>
      <c r="I56" s="1">
        <v>4</v>
      </c>
      <c r="J56" s="1" t="s">
        <v>2566</v>
      </c>
      <c r="K56" s="2">
        <v>81.73</v>
      </c>
      <c r="L56" s="6">
        <v>19</v>
      </c>
      <c r="M56" s="2">
        <f t="shared" si="0"/>
        <v>1225.95</v>
      </c>
      <c r="N56" s="2">
        <f t="shared" si="1"/>
        <v>232.93049999999999</v>
      </c>
      <c r="O56" s="2">
        <f t="shared" si="2"/>
        <v>993.01950000000011</v>
      </c>
      <c r="P56" s="1">
        <v>236</v>
      </c>
      <c r="Q56" s="2">
        <v>57.21</v>
      </c>
      <c r="R56" s="2">
        <f t="shared" si="3"/>
        <v>134.86950000000013</v>
      </c>
      <c r="S56" s="1" t="s">
        <v>1003</v>
      </c>
      <c r="T56" s="1" t="s">
        <v>1007</v>
      </c>
      <c r="U56" s="1" t="str">
        <f t="shared" si="4"/>
        <v>NO</v>
      </c>
    </row>
    <row r="57" spans="1:21" x14ac:dyDescent="0.3">
      <c r="A57" s="1" t="s">
        <v>186</v>
      </c>
      <c r="B57" s="1" t="s">
        <v>57</v>
      </c>
      <c r="C57" s="1" t="s">
        <v>58</v>
      </c>
      <c r="D57" s="1" t="s">
        <v>59</v>
      </c>
      <c r="E57" s="1" t="s">
        <v>1070</v>
      </c>
      <c r="F57" s="1" t="s">
        <v>1027</v>
      </c>
      <c r="G57" s="1" t="s">
        <v>1023</v>
      </c>
      <c r="H57" s="1">
        <v>10</v>
      </c>
      <c r="I57" s="1">
        <v>2</v>
      </c>
      <c r="J57" s="1" t="s">
        <v>2559</v>
      </c>
      <c r="K57" s="2">
        <v>320.68</v>
      </c>
      <c r="L57" s="6">
        <v>3</v>
      </c>
      <c r="M57" s="2">
        <f t="shared" si="0"/>
        <v>3206.8</v>
      </c>
      <c r="N57" s="2">
        <f t="shared" si="1"/>
        <v>96.204000000000008</v>
      </c>
      <c r="O57" s="2">
        <f t="shared" si="2"/>
        <v>3110.596</v>
      </c>
      <c r="P57" s="1">
        <v>221</v>
      </c>
      <c r="Q57" s="2">
        <v>224.48</v>
      </c>
      <c r="R57" s="2">
        <f t="shared" si="3"/>
        <v>865.79600000000028</v>
      </c>
      <c r="S57" s="1" t="s">
        <v>1016</v>
      </c>
      <c r="T57" s="1" t="s">
        <v>1004</v>
      </c>
      <c r="U57" s="1" t="str">
        <f t="shared" si="4"/>
        <v>YES</v>
      </c>
    </row>
    <row r="58" spans="1:21" x14ac:dyDescent="0.3">
      <c r="A58" s="1" t="s">
        <v>188</v>
      </c>
      <c r="B58" s="1" t="s">
        <v>189</v>
      </c>
      <c r="C58" s="1" t="s">
        <v>190</v>
      </c>
      <c r="D58" s="1" t="s">
        <v>59</v>
      </c>
      <c r="E58" s="1" t="s">
        <v>1071</v>
      </c>
      <c r="F58" s="1" t="s">
        <v>1009</v>
      </c>
      <c r="G58" s="1" t="s">
        <v>1002</v>
      </c>
      <c r="H58" s="1">
        <v>4</v>
      </c>
      <c r="I58" s="1">
        <v>4</v>
      </c>
      <c r="J58" s="1" t="s">
        <v>2567</v>
      </c>
      <c r="K58" s="2">
        <v>169.35</v>
      </c>
      <c r="L58" s="6">
        <v>3</v>
      </c>
      <c r="M58" s="2">
        <f t="shared" si="0"/>
        <v>677.4</v>
      </c>
      <c r="N58" s="2">
        <f t="shared" si="1"/>
        <v>20.321999999999999</v>
      </c>
      <c r="O58" s="2">
        <f t="shared" si="2"/>
        <v>657.07799999999997</v>
      </c>
      <c r="P58" s="1">
        <v>87</v>
      </c>
      <c r="Q58" s="2">
        <v>118.54</v>
      </c>
      <c r="R58" s="2">
        <f t="shared" si="3"/>
        <v>182.91799999999995</v>
      </c>
      <c r="S58" s="1" t="s">
        <v>1003</v>
      </c>
      <c r="T58" s="1" t="s">
        <v>1007</v>
      </c>
      <c r="U58" s="1" t="str">
        <f t="shared" si="4"/>
        <v>NO</v>
      </c>
    </row>
    <row r="59" spans="1:21" x14ac:dyDescent="0.3">
      <c r="A59" s="1" t="s">
        <v>191</v>
      </c>
      <c r="B59" s="1" t="s">
        <v>192</v>
      </c>
      <c r="C59" s="1" t="s">
        <v>193</v>
      </c>
      <c r="D59" s="1" t="s">
        <v>85</v>
      </c>
      <c r="E59" s="1" t="s">
        <v>1072</v>
      </c>
      <c r="F59" s="1" t="s">
        <v>1001</v>
      </c>
      <c r="G59" s="1" t="s">
        <v>1010</v>
      </c>
      <c r="H59" s="1">
        <v>4</v>
      </c>
      <c r="I59" s="1">
        <v>2</v>
      </c>
      <c r="J59" s="1" t="s">
        <v>2568</v>
      </c>
      <c r="K59" s="2">
        <v>431.7</v>
      </c>
      <c r="L59" s="6">
        <v>1</v>
      </c>
      <c r="M59" s="2">
        <f t="shared" si="0"/>
        <v>1726.8</v>
      </c>
      <c r="N59" s="2">
        <f t="shared" si="1"/>
        <v>17.268000000000001</v>
      </c>
      <c r="O59" s="2">
        <f t="shared" si="2"/>
        <v>1709.5319999999999</v>
      </c>
      <c r="P59" s="1">
        <v>189</v>
      </c>
      <c r="Q59" s="2">
        <v>302.19</v>
      </c>
      <c r="R59" s="2">
        <f t="shared" si="3"/>
        <v>500.77199999999993</v>
      </c>
      <c r="S59" s="1" t="s">
        <v>1016</v>
      </c>
      <c r="T59" s="1" t="s">
        <v>1004</v>
      </c>
      <c r="U59" s="1" t="str">
        <f t="shared" si="4"/>
        <v>YES</v>
      </c>
    </row>
    <row r="60" spans="1:21" x14ac:dyDescent="0.3">
      <c r="A60" s="1" t="s">
        <v>194</v>
      </c>
      <c r="B60" s="1" t="s">
        <v>123</v>
      </c>
      <c r="C60" s="1" t="s">
        <v>124</v>
      </c>
      <c r="D60" s="1" t="s">
        <v>47</v>
      </c>
      <c r="E60" s="1" t="s">
        <v>1073</v>
      </c>
      <c r="F60" s="1" t="s">
        <v>1006</v>
      </c>
      <c r="G60" s="1" t="s">
        <v>1010</v>
      </c>
      <c r="H60" s="1">
        <v>12</v>
      </c>
      <c r="I60" s="1">
        <v>3</v>
      </c>
      <c r="J60" s="1" t="s">
        <v>2569</v>
      </c>
      <c r="K60" s="2">
        <v>474.91</v>
      </c>
      <c r="L60" s="6">
        <v>21</v>
      </c>
      <c r="M60" s="2">
        <f t="shared" si="0"/>
        <v>5698.92</v>
      </c>
      <c r="N60" s="2">
        <f t="shared" si="1"/>
        <v>1196.7732000000001</v>
      </c>
      <c r="O60" s="2">
        <f t="shared" si="2"/>
        <v>4502.1468000000004</v>
      </c>
      <c r="P60" s="1">
        <v>154</v>
      </c>
      <c r="Q60" s="2">
        <v>332.44</v>
      </c>
      <c r="R60" s="2">
        <f t="shared" si="3"/>
        <v>512.86680000000069</v>
      </c>
      <c r="S60" s="1" t="s">
        <v>1016</v>
      </c>
      <c r="T60" s="1" t="s">
        <v>1004</v>
      </c>
      <c r="U60" s="1" t="str">
        <f t="shared" si="4"/>
        <v>YES</v>
      </c>
    </row>
    <row r="61" spans="1:21" x14ac:dyDescent="0.3">
      <c r="A61" s="1" t="s">
        <v>196</v>
      </c>
      <c r="B61" s="1" t="s">
        <v>197</v>
      </c>
      <c r="C61" s="1" t="s">
        <v>198</v>
      </c>
      <c r="D61" s="1" t="s">
        <v>104</v>
      </c>
      <c r="E61" s="1" t="s">
        <v>1074</v>
      </c>
      <c r="F61" s="1" t="s">
        <v>1020</v>
      </c>
      <c r="G61" s="1" t="s">
        <v>1002</v>
      </c>
      <c r="H61" s="1">
        <v>11</v>
      </c>
      <c r="I61" s="1">
        <v>2</v>
      </c>
      <c r="J61" s="1" t="s">
        <v>2569</v>
      </c>
      <c r="K61" s="2">
        <v>69.930000000000007</v>
      </c>
      <c r="L61" s="6">
        <v>10</v>
      </c>
      <c r="M61" s="2">
        <f t="shared" si="0"/>
        <v>769.23</v>
      </c>
      <c r="N61" s="2">
        <f t="shared" si="1"/>
        <v>76.923000000000002</v>
      </c>
      <c r="O61" s="2">
        <f t="shared" si="2"/>
        <v>692.30700000000002</v>
      </c>
      <c r="P61" s="1">
        <v>93</v>
      </c>
      <c r="Q61" s="2">
        <v>48.95</v>
      </c>
      <c r="R61" s="2">
        <f t="shared" si="3"/>
        <v>153.85699999999997</v>
      </c>
      <c r="S61" s="1" t="s">
        <v>1011</v>
      </c>
      <c r="T61" s="1" t="s">
        <v>1007</v>
      </c>
      <c r="U61" s="1" t="str">
        <f t="shared" si="4"/>
        <v>NO</v>
      </c>
    </row>
    <row r="62" spans="1:21" x14ac:dyDescent="0.3">
      <c r="A62" s="1" t="s">
        <v>200</v>
      </c>
      <c r="B62" s="1" t="s">
        <v>123</v>
      </c>
      <c r="C62" s="1" t="s">
        <v>124</v>
      </c>
      <c r="D62" s="1" t="s">
        <v>47</v>
      </c>
      <c r="E62" s="1" t="s">
        <v>1075</v>
      </c>
      <c r="F62" s="1" t="s">
        <v>1001</v>
      </c>
      <c r="G62" s="1" t="s">
        <v>1023</v>
      </c>
      <c r="H62" s="1">
        <v>6</v>
      </c>
      <c r="I62" s="1">
        <v>4</v>
      </c>
      <c r="J62" s="1" t="s">
        <v>2570</v>
      </c>
      <c r="K62" s="2">
        <v>135.19999999999999</v>
      </c>
      <c r="L62" s="6">
        <v>7</v>
      </c>
      <c r="M62" s="2">
        <f t="shared" si="0"/>
        <v>811.19999999999993</v>
      </c>
      <c r="N62" s="2">
        <f t="shared" si="1"/>
        <v>56.783999999999999</v>
      </c>
      <c r="O62" s="2">
        <f t="shared" si="2"/>
        <v>754.41599999999994</v>
      </c>
      <c r="P62" s="1">
        <v>90</v>
      </c>
      <c r="Q62" s="2">
        <v>94.64</v>
      </c>
      <c r="R62" s="2">
        <f t="shared" si="3"/>
        <v>186.57599999999991</v>
      </c>
      <c r="S62" s="1" t="s">
        <v>1003</v>
      </c>
      <c r="T62" s="1" t="s">
        <v>1007</v>
      </c>
      <c r="U62" s="1" t="str">
        <f t="shared" si="4"/>
        <v>NO</v>
      </c>
    </row>
    <row r="63" spans="1:21" x14ac:dyDescent="0.3">
      <c r="A63" s="1" t="s">
        <v>201</v>
      </c>
      <c r="B63" s="1" t="s">
        <v>130</v>
      </c>
      <c r="C63" s="1" t="s">
        <v>131</v>
      </c>
      <c r="D63" s="1" t="s">
        <v>132</v>
      </c>
      <c r="E63" s="1" t="s">
        <v>1076</v>
      </c>
      <c r="F63" s="1" t="s">
        <v>1009</v>
      </c>
      <c r="G63" s="1" t="s">
        <v>1010</v>
      </c>
      <c r="H63" s="1">
        <v>9</v>
      </c>
      <c r="I63" s="1">
        <v>7</v>
      </c>
      <c r="J63" s="1" t="s">
        <v>2571</v>
      </c>
      <c r="K63" s="2">
        <v>174.14</v>
      </c>
      <c r="L63" s="6">
        <v>20</v>
      </c>
      <c r="M63" s="2">
        <f t="shared" si="0"/>
        <v>1567.2599999999998</v>
      </c>
      <c r="N63" s="2">
        <f t="shared" si="1"/>
        <v>313.452</v>
      </c>
      <c r="O63" s="2">
        <f t="shared" si="2"/>
        <v>1253.8079999999998</v>
      </c>
      <c r="P63" s="1">
        <v>123</v>
      </c>
      <c r="Q63" s="2">
        <v>121.9</v>
      </c>
      <c r="R63" s="2">
        <f t="shared" si="3"/>
        <v>156.70799999999963</v>
      </c>
      <c r="S63" s="1" t="s">
        <v>1011</v>
      </c>
      <c r="T63" s="1" t="s">
        <v>1004</v>
      </c>
      <c r="U63" s="1" t="str">
        <f t="shared" si="4"/>
        <v>NO</v>
      </c>
    </row>
    <row r="64" spans="1:21" x14ac:dyDescent="0.3">
      <c r="A64" s="1" t="s">
        <v>202</v>
      </c>
      <c r="B64" s="1" t="s">
        <v>143</v>
      </c>
      <c r="C64" s="1" t="s">
        <v>144</v>
      </c>
      <c r="D64" s="1" t="s">
        <v>47</v>
      </c>
      <c r="E64" s="1" t="s">
        <v>1077</v>
      </c>
      <c r="F64" s="1" t="s">
        <v>1006</v>
      </c>
      <c r="G64" s="1" t="s">
        <v>1010</v>
      </c>
      <c r="H64" s="1">
        <v>1</v>
      </c>
      <c r="I64" s="1">
        <v>1</v>
      </c>
      <c r="J64" s="1" t="s">
        <v>2572</v>
      </c>
      <c r="K64" s="2">
        <v>240.74</v>
      </c>
      <c r="L64" s="6">
        <v>4</v>
      </c>
      <c r="M64" s="2">
        <f t="shared" si="0"/>
        <v>240.74</v>
      </c>
      <c r="N64" s="2">
        <f t="shared" si="1"/>
        <v>9.6295999999999999</v>
      </c>
      <c r="O64" s="2">
        <f t="shared" si="2"/>
        <v>231.1104</v>
      </c>
      <c r="P64" s="1">
        <v>226</v>
      </c>
      <c r="Q64" s="2">
        <v>168.52</v>
      </c>
      <c r="R64" s="2">
        <f t="shared" si="3"/>
        <v>62.590399999999988</v>
      </c>
      <c r="S64" s="1" t="s">
        <v>1011</v>
      </c>
      <c r="T64" s="1" t="s">
        <v>1004</v>
      </c>
      <c r="U64" s="1" t="str">
        <f t="shared" si="4"/>
        <v>NO</v>
      </c>
    </row>
    <row r="65" spans="1:21" x14ac:dyDescent="0.3">
      <c r="A65" s="1" t="s">
        <v>204</v>
      </c>
      <c r="B65" s="1" t="s">
        <v>57</v>
      </c>
      <c r="C65" s="1" t="s">
        <v>58</v>
      </c>
      <c r="D65" s="1" t="s">
        <v>59</v>
      </c>
      <c r="E65" s="1" t="s">
        <v>1078</v>
      </c>
      <c r="F65" s="1" t="s">
        <v>1015</v>
      </c>
      <c r="G65" s="1" t="s">
        <v>1002</v>
      </c>
      <c r="H65" s="1">
        <v>10</v>
      </c>
      <c r="I65" s="1">
        <v>7</v>
      </c>
      <c r="J65" s="1" t="s">
        <v>2573</v>
      </c>
      <c r="K65" s="2">
        <v>52.01</v>
      </c>
      <c r="L65" s="6">
        <v>8</v>
      </c>
      <c r="M65" s="2">
        <f t="shared" si="0"/>
        <v>520.1</v>
      </c>
      <c r="N65" s="2">
        <f t="shared" si="1"/>
        <v>41.608000000000004</v>
      </c>
      <c r="O65" s="2">
        <f t="shared" si="2"/>
        <v>478.49200000000002</v>
      </c>
      <c r="P65" s="1">
        <v>251</v>
      </c>
      <c r="Q65" s="2">
        <v>36.409999999999997</v>
      </c>
      <c r="R65" s="2">
        <f t="shared" si="3"/>
        <v>114.39200000000005</v>
      </c>
      <c r="S65" s="1" t="s">
        <v>1011</v>
      </c>
      <c r="T65" s="1" t="s">
        <v>1004</v>
      </c>
      <c r="U65" s="1" t="str">
        <f t="shared" si="4"/>
        <v>NO</v>
      </c>
    </row>
    <row r="66" spans="1:21" x14ac:dyDescent="0.3">
      <c r="A66" s="1" t="s">
        <v>206</v>
      </c>
      <c r="B66" s="1" t="s">
        <v>95</v>
      </c>
      <c r="C66" s="1" t="s">
        <v>96</v>
      </c>
      <c r="D66" s="1" t="s">
        <v>97</v>
      </c>
      <c r="E66" s="1" t="s">
        <v>1079</v>
      </c>
      <c r="F66" s="1" t="s">
        <v>1027</v>
      </c>
      <c r="G66" s="1" t="s">
        <v>1023</v>
      </c>
      <c r="H66" s="1">
        <v>13</v>
      </c>
      <c r="I66" s="1">
        <v>4</v>
      </c>
      <c r="J66" s="1" t="s">
        <v>2554</v>
      </c>
      <c r="K66" s="2">
        <v>393.92</v>
      </c>
      <c r="L66" s="6">
        <v>6</v>
      </c>
      <c r="M66" s="2">
        <f t="shared" ref="M66:M129" si="5">H66*K66</f>
        <v>5120.96</v>
      </c>
      <c r="N66" s="2">
        <f t="shared" ref="N66:N129" si="6">M66*L66/100</f>
        <v>307.25760000000002</v>
      </c>
      <c r="O66" s="2">
        <f t="shared" ref="O66:O129" si="7">M66-N66</f>
        <v>4813.7024000000001</v>
      </c>
      <c r="P66" s="1">
        <v>45</v>
      </c>
      <c r="Q66" s="2">
        <v>275.74</v>
      </c>
      <c r="R66" s="2">
        <f t="shared" ref="R66:R129" si="8">O66-(H66*Q66)</f>
        <v>1229.0824000000002</v>
      </c>
      <c r="S66" s="1" t="s">
        <v>1011</v>
      </c>
      <c r="T66" s="1" t="s">
        <v>1007</v>
      </c>
      <c r="U66" s="1" t="str">
        <f t="shared" ref="U66:U129" si="9">IF(S66="Delivered","YES","NO")</f>
        <v>NO</v>
      </c>
    </row>
    <row r="67" spans="1:21" x14ac:dyDescent="0.3">
      <c r="A67" s="1" t="s">
        <v>208</v>
      </c>
      <c r="B67" s="1" t="s">
        <v>189</v>
      </c>
      <c r="C67" s="1" t="s">
        <v>190</v>
      </c>
      <c r="D67" s="1" t="s">
        <v>59</v>
      </c>
      <c r="E67" s="1" t="s">
        <v>1080</v>
      </c>
      <c r="F67" s="1" t="s">
        <v>1001</v>
      </c>
      <c r="G67" s="1" t="s">
        <v>1023</v>
      </c>
      <c r="H67" s="1">
        <v>8</v>
      </c>
      <c r="I67" s="1">
        <v>7</v>
      </c>
      <c r="J67" s="1" t="s">
        <v>2574</v>
      </c>
      <c r="K67" s="2">
        <v>275.60000000000002</v>
      </c>
      <c r="L67" s="6">
        <v>12</v>
      </c>
      <c r="M67" s="2">
        <f t="shared" si="5"/>
        <v>2204.8000000000002</v>
      </c>
      <c r="N67" s="2">
        <f t="shared" si="6"/>
        <v>264.57600000000002</v>
      </c>
      <c r="O67" s="2">
        <f t="shared" si="7"/>
        <v>1940.2240000000002</v>
      </c>
      <c r="P67" s="1">
        <v>210</v>
      </c>
      <c r="Q67" s="2">
        <v>192.92</v>
      </c>
      <c r="R67" s="2">
        <f t="shared" si="8"/>
        <v>396.86400000000026</v>
      </c>
      <c r="S67" s="1" t="s">
        <v>1016</v>
      </c>
      <c r="T67" s="1" t="s">
        <v>1007</v>
      </c>
      <c r="U67" s="1" t="str">
        <f t="shared" si="9"/>
        <v>YES</v>
      </c>
    </row>
    <row r="68" spans="1:21" x14ac:dyDescent="0.3">
      <c r="A68" s="1" t="s">
        <v>210</v>
      </c>
      <c r="B68" s="1" t="s">
        <v>143</v>
      </c>
      <c r="C68" s="1" t="s">
        <v>144</v>
      </c>
      <c r="D68" s="1" t="s">
        <v>47</v>
      </c>
      <c r="E68" s="1" t="s">
        <v>1081</v>
      </c>
      <c r="F68" s="1" t="s">
        <v>1020</v>
      </c>
      <c r="G68" s="1" t="s">
        <v>1010</v>
      </c>
      <c r="H68" s="1">
        <v>14</v>
      </c>
      <c r="I68" s="1">
        <v>6</v>
      </c>
      <c r="J68" s="1" t="s">
        <v>2575</v>
      </c>
      <c r="K68" s="2">
        <v>406.35</v>
      </c>
      <c r="L68" s="6">
        <v>4</v>
      </c>
      <c r="M68" s="2">
        <f t="shared" si="5"/>
        <v>5688.9000000000005</v>
      </c>
      <c r="N68" s="2">
        <f t="shared" si="6"/>
        <v>227.55600000000001</v>
      </c>
      <c r="O68" s="2">
        <f t="shared" si="7"/>
        <v>5461.344000000001</v>
      </c>
      <c r="P68" s="1">
        <v>99</v>
      </c>
      <c r="Q68" s="2">
        <v>284.44</v>
      </c>
      <c r="R68" s="2">
        <f t="shared" si="8"/>
        <v>1479.1840000000011</v>
      </c>
      <c r="S68" s="1" t="s">
        <v>1003</v>
      </c>
      <c r="T68" s="1" t="s">
        <v>1004</v>
      </c>
      <c r="U68" s="1" t="str">
        <f t="shared" si="9"/>
        <v>NO</v>
      </c>
    </row>
    <row r="69" spans="1:21" x14ac:dyDescent="0.3">
      <c r="A69" s="1" t="s">
        <v>211</v>
      </c>
      <c r="B69" s="1" t="s">
        <v>143</v>
      </c>
      <c r="C69" s="1" t="s">
        <v>144</v>
      </c>
      <c r="D69" s="1" t="s">
        <v>47</v>
      </c>
      <c r="E69" s="1" t="s">
        <v>1082</v>
      </c>
      <c r="F69" s="1" t="s">
        <v>1013</v>
      </c>
      <c r="G69" s="1" t="s">
        <v>1002</v>
      </c>
      <c r="H69" s="1">
        <v>2</v>
      </c>
      <c r="I69" s="1">
        <v>3</v>
      </c>
      <c r="J69" s="1" t="s">
        <v>2576</v>
      </c>
      <c r="K69" s="2">
        <v>149.32</v>
      </c>
      <c r="L69" s="6">
        <v>7</v>
      </c>
      <c r="M69" s="2">
        <f t="shared" si="5"/>
        <v>298.64</v>
      </c>
      <c r="N69" s="2">
        <f t="shared" si="6"/>
        <v>20.904800000000002</v>
      </c>
      <c r="O69" s="2">
        <f t="shared" si="7"/>
        <v>277.73519999999996</v>
      </c>
      <c r="P69" s="1">
        <v>100</v>
      </c>
      <c r="Q69" s="2">
        <v>104.52</v>
      </c>
      <c r="R69" s="2">
        <f t="shared" si="8"/>
        <v>68.695199999999971</v>
      </c>
      <c r="S69" s="1" t="s">
        <v>1003</v>
      </c>
      <c r="T69" s="1" t="s">
        <v>1004</v>
      </c>
      <c r="U69" s="1" t="str">
        <f t="shared" si="9"/>
        <v>NO</v>
      </c>
    </row>
    <row r="70" spans="1:21" x14ac:dyDescent="0.3">
      <c r="A70" s="1" t="s">
        <v>213</v>
      </c>
      <c r="B70" s="1" t="s">
        <v>52</v>
      </c>
      <c r="C70" s="1" t="s">
        <v>53</v>
      </c>
      <c r="D70" s="1" t="s">
        <v>47</v>
      </c>
      <c r="E70" s="1" t="s">
        <v>1083</v>
      </c>
      <c r="F70" s="1" t="s">
        <v>1013</v>
      </c>
      <c r="G70" s="1" t="s">
        <v>1010</v>
      </c>
      <c r="H70" s="1">
        <v>4</v>
      </c>
      <c r="I70" s="1">
        <v>3</v>
      </c>
      <c r="J70" s="1" t="s">
        <v>2577</v>
      </c>
      <c r="K70" s="2">
        <v>442.54</v>
      </c>
      <c r="L70" s="6">
        <v>7</v>
      </c>
      <c r="M70" s="2">
        <f t="shared" si="5"/>
        <v>1770.16</v>
      </c>
      <c r="N70" s="2">
        <f t="shared" si="6"/>
        <v>123.91120000000001</v>
      </c>
      <c r="O70" s="2">
        <f t="shared" si="7"/>
        <v>1646.2488000000001</v>
      </c>
      <c r="P70" s="1">
        <v>92</v>
      </c>
      <c r="Q70" s="2">
        <v>309.77999999999997</v>
      </c>
      <c r="R70" s="2">
        <f t="shared" si="8"/>
        <v>407.12880000000018</v>
      </c>
      <c r="S70" s="1" t="s">
        <v>1016</v>
      </c>
      <c r="T70" s="1" t="s">
        <v>1004</v>
      </c>
      <c r="U70" s="1" t="str">
        <f t="shared" si="9"/>
        <v>YES</v>
      </c>
    </row>
    <row r="71" spans="1:21" x14ac:dyDescent="0.3">
      <c r="A71" s="1" t="s">
        <v>214</v>
      </c>
      <c r="B71" s="1" t="s">
        <v>130</v>
      </c>
      <c r="C71" s="1" t="s">
        <v>131</v>
      </c>
      <c r="D71" s="1" t="s">
        <v>132</v>
      </c>
      <c r="E71" s="1" t="s">
        <v>1084</v>
      </c>
      <c r="F71" s="1" t="s">
        <v>1020</v>
      </c>
      <c r="G71" s="1" t="s">
        <v>1010</v>
      </c>
      <c r="H71" s="1">
        <v>3</v>
      </c>
      <c r="I71" s="1">
        <v>3</v>
      </c>
      <c r="J71" s="1" t="s">
        <v>2578</v>
      </c>
      <c r="K71" s="2">
        <v>43.31</v>
      </c>
      <c r="L71" s="6">
        <v>7</v>
      </c>
      <c r="M71" s="2">
        <f t="shared" si="5"/>
        <v>129.93</v>
      </c>
      <c r="N71" s="2">
        <f t="shared" si="6"/>
        <v>9.0951000000000004</v>
      </c>
      <c r="O71" s="2">
        <f t="shared" si="7"/>
        <v>120.8349</v>
      </c>
      <c r="P71" s="1">
        <v>125</v>
      </c>
      <c r="Q71" s="2">
        <v>30.32</v>
      </c>
      <c r="R71" s="2">
        <f t="shared" si="8"/>
        <v>29.874899999999997</v>
      </c>
      <c r="S71" s="1" t="s">
        <v>1003</v>
      </c>
      <c r="T71" s="1" t="s">
        <v>1007</v>
      </c>
      <c r="U71" s="1" t="str">
        <f t="shared" si="9"/>
        <v>NO</v>
      </c>
    </row>
    <row r="72" spans="1:21" x14ac:dyDescent="0.3">
      <c r="A72" s="1" t="s">
        <v>215</v>
      </c>
      <c r="B72" s="1" t="s">
        <v>72</v>
      </c>
      <c r="C72" s="1" t="s">
        <v>73</v>
      </c>
      <c r="D72" s="1" t="s">
        <v>47</v>
      </c>
      <c r="E72" s="1" t="s">
        <v>1085</v>
      </c>
      <c r="F72" s="1" t="s">
        <v>1009</v>
      </c>
      <c r="G72" s="1" t="s">
        <v>1002</v>
      </c>
      <c r="H72" s="1">
        <v>6</v>
      </c>
      <c r="I72" s="1">
        <v>2</v>
      </c>
      <c r="J72" s="1" t="s">
        <v>2579</v>
      </c>
      <c r="K72" s="2">
        <v>220.02</v>
      </c>
      <c r="L72" s="6">
        <v>9</v>
      </c>
      <c r="M72" s="2">
        <f t="shared" si="5"/>
        <v>1320.1200000000001</v>
      </c>
      <c r="N72" s="2">
        <f t="shared" si="6"/>
        <v>118.81080000000001</v>
      </c>
      <c r="O72" s="2">
        <f t="shared" si="7"/>
        <v>1201.3092000000001</v>
      </c>
      <c r="P72" s="1">
        <v>279</v>
      </c>
      <c r="Q72" s="2">
        <v>154.01</v>
      </c>
      <c r="R72" s="2">
        <f t="shared" si="8"/>
        <v>277.2492000000002</v>
      </c>
      <c r="S72" s="1" t="s">
        <v>1016</v>
      </c>
      <c r="T72" s="1" t="s">
        <v>1004</v>
      </c>
      <c r="U72" s="1" t="str">
        <f t="shared" si="9"/>
        <v>YES</v>
      </c>
    </row>
    <row r="73" spans="1:21" x14ac:dyDescent="0.3">
      <c r="A73" s="1" t="s">
        <v>216</v>
      </c>
      <c r="B73" s="1" t="s">
        <v>95</v>
      </c>
      <c r="C73" s="1" t="s">
        <v>96</v>
      </c>
      <c r="D73" s="1" t="s">
        <v>97</v>
      </c>
      <c r="E73" s="1" t="s">
        <v>1086</v>
      </c>
      <c r="F73" s="1" t="s">
        <v>1001</v>
      </c>
      <c r="G73" s="1" t="s">
        <v>1023</v>
      </c>
      <c r="H73" s="1">
        <v>12</v>
      </c>
      <c r="I73" s="1">
        <v>7</v>
      </c>
      <c r="J73" s="1" t="s">
        <v>2580</v>
      </c>
      <c r="K73" s="2">
        <v>365.02</v>
      </c>
      <c r="L73" s="6">
        <v>17</v>
      </c>
      <c r="M73" s="2">
        <f t="shared" si="5"/>
        <v>4380.24</v>
      </c>
      <c r="N73" s="2">
        <f t="shared" si="6"/>
        <v>744.64080000000001</v>
      </c>
      <c r="O73" s="2">
        <f t="shared" si="7"/>
        <v>3635.5991999999997</v>
      </c>
      <c r="P73" s="1">
        <v>108</v>
      </c>
      <c r="Q73" s="2">
        <v>255.51</v>
      </c>
      <c r="R73" s="2">
        <f t="shared" si="8"/>
        <v>569.47919999999976</v>
      </c>
      <c r="S73" s="1" t="s">
        <v>1016</v>
      </c>
      <c r="T73" s="1" t="s">
        <v>1004</v>
      </c>
      <c r="U73" s="1" t="str">
        <f t="shared" si="9"/>
        <v>YES</v>
      </c>
    </row>
    <row r="74" spans="1:21" x14ac:dyDescent="0.3">
      <c r="A74" s="1" t="s">
        <v>218</v>
      </c>
      <c r="B74" s="1" t="s">
        <v>126</v>
      </c>
      <c r="C74" s="1" t="s">
        <v>127</v>
      </c>
      <c r="D74" s="1" t="s">
        <v>85</v>
      </c>
      <c r="E74" s="1" t="s">
        <v>1087</v>
      </c>
      <c r="F74" s="1" t="s">
        <v>1015</v>
      </c>
      <c r="G74" s="1" t="s">
        <v>1002</v>
      </c>
      <c r="H74" s="1">
        <v>5</v>
      </c>
      <c r="I74" s="1">
        <v>3</v>
      </c>
      <c r="J74" s="1" t="s">
        <v>2581</v>
      </c>
      <c r="K74" s="2">
        <v>206.57</v>
      </c>
      <c r="L74" s="6">
        <v>11</v>
      </c>
      <c r="M74" s="2">
        <f t="shared" si="5"/>
        <v>1032.8499999999999</v>
      </c>
      <c r="N74" s="2">
        <f t="shared" si="6"/>
        <v>113.61349999999999</v>
      </c>
      <c r="O74" s="2">
        <f t="shared" si="7"/>
        <v>919.23649999999998</v>
      </c>
      <c r="P74" s="1">
        <v>54</v>
      </c>
      <c r="Q74" s="2">
        <v>144.6</v>
      </c>
      <c r="R74" s="2">
        <f t="shared" si="8"/>
        <v>196.23649999999998</v>
      </c>
      <c r="S74" s="1" t="s">
        <v>1016</v>
      </c>
      <c r="T74" s="1" t="s">
        <v>1004</v>
      </c>
      <c r="U74" s="1" t="str">
        <f t="shared" si="9"/>
        <v>YES</v>
      </c>
    </row>
    <row r="75" spans="1:21" x14ac:dyDescent="0.3">
      <c r="A75" s="1" t="s">
        <v>219</v>
      </c>
      <c r="B75" s="1" t="s">
        <v>126</v>
      </c>
      <c r="C75" s="1" t="s">
        <v>127</v>
      </c>
      <c r="D75" s="1" t="s">
        <v>85</v>
      </c>
      <c r="E75" s="1" t="s">
        <v>1088</v>
      </c>
      <c r="F75" s="1" t="s">
        <v>1006</v>
      </c>
      <c r="G75" s="1" t="s">
        <v>1023</v>
      </c>
      <c r="H75" s="1">
        <v>12</v>
      </c>
      <c r="I75" s="1">
        <v>5</v>
      </c>
      <c r="J75" s="1" t="s">
        <v>2582</v>
      </c>
      <c r="K75" s="2">
        <v>162.68</v>
      </c>
      <c r="L75" s="6">
        <v>21</v>
      </c>
      <c r="M75" s="2">
        <f t="shared" si="5"/>
        <v>1952.16</v>
      </c>
      <c r="N75" s="2">
        <f t="shared" si="6"/>
        <v>409.95359999999999</v>
      </c>
      <c r="O75" s="2">
        <f t="shared" si="7"/>
        <v>1542.2064</v>
      </c>
      <c r="P75" s="1">
        <v>205</v>
      </c>
      <c r="Q75" s="2">
        <v>113.88</v>
      </c>
      <c r="R75" s="2">
        <f t="shared" si="8"/>
        <v>175.64640000000009</v>
      </c>
      <c r="S75" s="1" t="s">
        <v>1003</v>
      </c>
      <c r="T75" s="1" t="s">
        <v>1004</v>
      </c>
      <c r="U75" s="1" t="str">
        <f t="shared" si="9"/>
        <v>NO</v>
      </c>
    </row>
    <row r="76" spans="1:21" x14ac:dyDescent="0.3">
      <c r="A76" s="1" t="s">
        <v>221</v>
      </c>
      <c r="B76" s="1" t="s">
        <v>166</v>
      </c>
      <c r="C76" s="1" t="s">
        <v>167</v>
      </c>
      <c r="D76" s="1" t="s">
        <v>59</v>
      </c>
      <c r="E76" s="1" t="s">
        <v>1089</v>
      </c>
      <c r="F76" s="1" t="s">
        <v>1013</v>
      </c>
      <c r="G76" s="1" t="s">
        <v>1010</v>
      </c>
      <c r="H76" s="1">
        <v>3</v>
      </c>
      <c r="I76" s="1">
        <v>2</v>
      </c>
      <c r="J76" s="1" t="s">
        <v>2583</v>
      </c>
      <c r="K76" s="2">
        <v>288.45999999999998</v>
      </c>
      <c r="L76" s="6">
        <v>15</v>
      </c>
      <c r="M76" s="2">
        <f t="shared" si="5"/>
        <v>865.37999999999988</v>
      </c>
      <c r="N76" s="2">
        <f t="shared" si="6"/>
        <v>129.80699999999999</v>
      </c>
      <c r="O76" s="2">
        <f t="shared" si="7"/>
        <v>735.57299999999987</v>
      </c>
      <c r="P76" s="1">
        <v>138</v>
      </c>
      <c r="Q76" s="2">
        <v>201.92</v>
      </c>
      <c r="R76" s="2">
        <f t="shared" si="8"/>
        <v>129.81299999999987</v>
      </c>
      <c r="S76" s="1" t="s">
        <v>1016</v>
      </c>
      <c r="T76" s="1" t="s">
        <v>1007</v>
      </c>
      <c r="U76" s="1" t="str">
        <f t="shared" si="9"/>
        <v>YES</v>
      </c>
    </row>
    <row r="77" spans="1:21" x14ac:dyDescent="0.3">
      <c r="A77" s="1" t="s">
        <v>222</v>
      </c>
      <c r="B77" s="1" t="s">
        <v>166</v>
      </c>
      <c r="C77" s="1" t="s">
        <v>167</v>
      </c>
      <c r="D77" s="1" t="s">
        <v>59</v>
      </c>
      <c r="E77" s="1" t="s">
        <v>1090</v>
      </c>
      <c r="F77" s="1" t="s">
        <v>1013</v>
      </c>
      <c r="G77" s="1" t="s">
        <v>1010</v>
      </c>
      <c r="H77" s="1">
        <v>14</v>
      </c>
      <c r="I77" s="1">
        <v>4</v>
      </c>
      <c r="J77" s="1" t="s">
        <v>2566</v>
      </c>
      <c r="K77" s="2">
        <v>142.46</v>
      </c>
      <c r="L77" s="6">
        <v>25</v>
      </c>
      <c r="M77" s="2">
        <f t="shared" si="5"/>
        <v>1994.44</v>
      </c>
      <c r="N77" s="2">
        <f t="shared" si="6"/>
        <v>498.61</v>
      </c>
      <c r="O77" s="2">
        <f t="shared" si="7"/>
        <v>1495.83</v>
      </c>
      <c r="P77" s="1">
        <v>199</v>
      </c>
      <c r="Q77" s="2">
        <v>99.72</v>
      </c>
      <c r="R77" s="2">
        <f t="shared" si="8"/>
        <v>99.75</v>
      </c>
      <c r="S77" s="1" t="s">
        <v>1003</v>
      </c>
      <c r="T77" s="1" t="s">
        <v>1007</v>
      </c>
      <c r="U77" s="1" t="str">
        <f t="shared" si="9"/>
        <v>NO</v>
      </c>
    </row>
    <row r="78" spans="1:21" x14ac:dyDescent="0.3">
      <c r="A78" s="1" t="s">
        <v>223</v>
      </c>
      <c r="B78" s="1" t="s">
        <v>69</v>
      </c>
      <c r="C78" s="1" t="s">
        <v>70</v>
      </c>
      <c r="D78" s="1" t="s">
        <v>59</v>
      </c>
      <c r="E78" s="1" t="s">
        <v>1091</v>
      </c>
      <c r="F78" s="1" t="s">
        <v>1013</v>
      </c>
      <c r="G78" s="1" t="s">
        <v>1023</v>
      </c>
      <c r="H78" s="1">
        <v>2</v>
      </c>
      <c r="I78" s="1">
        <v>4</v>
      </c>
      <c r="J78" s="1" t="s">
        <v>2584</v>
      </c>
      <c r="K78" s="2">
        <v>254.72</v>
      </c>
      <c r="L78" s="6">
        <v>1</v>
      </c>
      <c r="M78" s="2">
        <f t="shared" si="5"/>
        <v>509.44</v>
      </c>
      <c r="N78" s="2">
        <f t="shared" si="6"/>
        <v>5.0944000000000003</v>
      </c>
      <c r="O78" s="2">
        <f t="shared" si="7"/>
        <v>504.34559999999999</v>
      </c>
      <c r="P78" s="1">
        <v>197</v>
      </c>
      <c r="Q78" s="2">
        <v>178.3</v>
      </c>
      <c r="R78" s="2">
        <f t="shared" si="8"/>
        <v>147.74559999999997</v>
      </c>
      <c r="S78" s="1" t="s">
        <v>1011</v>
      </c>
      <c r="T78" s="1" t="s">
        <v>1004</v>
      </c>
      <c r="U78" s="1" t="str">
        <f t="shared" si="9"/>
        <v>NO</v>
      </c>
    </row>
    <row r="79" spans="1:21" x14ac:dyDescent="0.3">
      <c r="A79" s="1" t="s">
        <v>225</v>
      </c>
      <c r="B79" s="1" t="s">
        <v>26</v>
      </c>
      <c r="C79" s="1" t="s">
        <v>27</v>
      </c>
      <c r="D79" s="1" t="s">
        <v>28</v>
      </c>
      <c r="E79" s="1" t="s">
        <v>1092</v>
      </c>
      <c r="F79" s="1" t="s">
        <v>1020</v>
      </c>
      <c r="G79" s="1" t="s">
        <v>1023</v>
      </c>
      <c r="H79" s="1">
        <v>1</v>
      </c>
      <c r="I79" s="1">
        <v>2</v>
      </c>
      <c r="J79" s="1" t="s">
        <v>2585</v>
      </c>
      <c r="K79" s="2">
        <v>125.28</v>
      </c>
      <c r="L79" s="6">
        <v>0</v>
      </c>
      <c r="M79" s="2">
        <f t="shared" si="5"/>
        <v>125.28</v>
      </c>
      <c r="N79" s="2">
        <f t="shared" si="6"/>
        <v>0</v>
      </c>
      <c r="O79" s="2">
        <f t="shared" si="7"/>
        <v>125.28</v>
      </c>
      <c r="P79" s="1">
        <v>85</v>
      </c>
      <c r="Q79" s="2">
        <v>87.7</v>
      </c>
      <c r="R79" s="2">
        <f t="shared" si="8"/>
        <v>37.58</v>
      </c>
      <c r="S79" s="1" t="s">
        <v>1003</v>
      </c>
      <c r="T79" s="1" t="s">
        <v>1004</v>
      </c>
      <c r="U79" s="1" t="str">
        <f t="shared" si="9"/>
        <v>NO</v>
      </c>
    </row>
    <row r="80" spans="1:21" x14ac:dyDescent="0.3">
      <c r="A80" s="1" t="s">
        <v>226</v>
      </c>
      <c r="B80" s="1" t="s">
        <v>63</v>
      </c>
      <c r="C80" s="1" t="s">
        <v>64</v>
      </c>
      <c r="D80" s="1" t="s">
        <v>28</v>
      </c>
      <c r="E80" s="1" t="s">
        <v>1093</v>
      </c>
      <c r="F80" s="1" t="s">
        <v>1027</v>
      </c>
      <c r="G80" s="1" t="s">
        <v>1010</v>
      </c>
      <c r="H80" s="1">
        <v>10</v>
      </c>
      <c r="I80" s="1">
        <v>7</v>
      </c>
      <c r="J80" s="1" t="s">
        <v>2586</v>
      </c>
      <c r="K80" s="2">
        <v>103.52</v>
      </c>
      <c r="L80" s="6">
        <v>20</v>
      </c>
      <c r="M80" s="2">
        <f t="shared" si="5"/>
        <v>1035.2</v>
      </c>
      <c r="N80" s="2">
        <f t="shared" si="6"/>
        <v>207.04</v>
      </c>
      <c r="O80" s="2">
        <f t="shared" si="7"/>
        <v>828.16000000000008</v>
      </c>
      <c r="P80" s="1">
        <v>259</v>
      </c>
      <c r="Q80" s="2">
        <v>72.459999999999994</v>
      </c>
      <c r="R80" s="2">
        <f t="shared" si="8"/>
        <v>103.56000000000017</v>
      </c>
      <c r="S80" s="1" t="s">
        <v>1011</v>
      </c>
      <c r="T80" s="1" t="s">
        <v>1004</v>
      </c>
      <c r="U80" s="1" t="str">
        <f t="shared" si="9"/>
        <v>NO</v>
      </c>
    </row>
    <row r="81" spans="1:21" x14ac:dyDescent="0.3">
      <c r="A81" s="1" t="s">
        <v>228</v>
      </c>
      <c r="B81" s="1" t="s">
        <v>176</v>
      </c>
      <c r="C81" s="1" t="s">
        <v>177</v>
      </c>
      <c r="D81" s="1" t="s">
        <v>39</v>
      </c>
      <c r="E81" s="1" t="s">
        <v>1094</v>
      </c>
      <c r="F81" s="1" t="s">
        <v>1009</v>
      </c>
      <c r="G81" s="1" t="s">
        <v>1023</v>
      </c>
      <c r="H81" s="1">
        <v>1</v>
      </c>
      <c r="I81" s="1">
        <v>7</v>
      </c>
      <c r="J81" s="1" t="s">
        <v>2587</v>
      </c>
      <c r="K81" s="2">
        <v>301.61</v>
      </c>
      <c r="L81" s="6">
        <v>20</v>
      </c>
      <c r="M81" s="2">
        <f t="shared" si="5"/>
        <v>301.61</v>
      </c>
      <c r="N81" s="2">
        <f t="shared" si="6"/>
        <v>60.32200000000001</v>
      </c>
      <c r="O81" s="2">
        <f t="shared" si="7"/>
        <v>241.28800000000001</v>
      </c>
      <c r="P81" s="1">
        <v>63</v>
      </c>
      <c r="Q81" s="2">
        <v>211.13</v>
      </c>
      <c r="R81" s="2">
        <f t="shared" si="8"/>
        <v>30.158000000000015</v>
      </c>
      <c r="S81" s="1" t="s">
        <v>1016</v>
      </c>
      <c r="T81" s="1" t="s">
        <v>1007</v>
      </c>
      <c r="U81" s="1" t="str">
        <f t="shared" si="9"/>
        <v>YES</v>
      </c>
    </row>
    <row r="82" spans="1:21" x14ac:dyDescent="0.3">
      <c r="A82" s="1" t="s">
        <v>230</v>
      </c>
      <c r="B82" s="1" t="s">
        <v>143</v>
      </c>
      <c r="C82" s="1" t="s">
        <v>144</v>
      </c>
      <c r="D82" s="1" t="s">
        <v>47</v>
      </c>
      <c r="E82" s="1" t="s">
        <v>1095</v>
      </c>
      <c r="F82" s="1" t="s">
        <v>1006</v>
      </c>
      <c r="G82" s="1" t="s">
        <v>1023</v>
      </c>
      <c r="H82" s="1">
        <v>11</v>
      </c>
      <c r="I82" s="1">
        <v>5</v>
      </c>
      <c r="J82" s="1" t="s">
        <v>2588</v>
      </c>
      <c r="K82" s="2">
        <v>205.91</v>
      </c>
      <c r="L82" s="6">
        <v>11</v>
      </c>
      <c r="M82" s="2">
        <f t="shared" si="5"/>
        <v>2265.0099999999998</v>
      </c>
      <c r="N82" s="2">
        <f t="shared" si="6"/>
        <v>249.15109999999996</v>
      </c>
      <c r="O82" s="2">
        <f t="shared" si="7"/>
        <v>2015.8588999999997</v>
      </c>
      <c r="P82" s="1">
        <v>81</v>
      </c>
      <c r="Q82" s="2">
        <v>144.13999999999999</v>
      </c>
      <c r="R82" s="2">
        <f t="shared" si="8"/>
        <v>430.31889999999976</v>
      </c>
      <c r="S82" s="1" t="s">
        <v>1003</v>
      </c>
      <c r="T82" s="1" t="s">
        <v>1007</v>
      </c>
      <c r="U82" s="1" t="str">
        <f t="shared" si="9"/>
        <v>NO</v>
      </c>
    </row>
    <row r="83" spans="1:21" x14ac:dyDescent="0.3">
      <c r="A83" s="1" t="s">
        <v>231</v>
      </c>
      <c r="B83" s="1" t="s">
        <v>45</v>
      </c>
      <c r="C83" s="1" t="s">
        <v>46</v>
      </c>
      <c r="D83" s="1" t="s">
        <v>47</v>
      </c>
      <c r="E83" s="1" t="s">
        <v>1096</v>
      </c>
      <c r="F83" s="1" t="s">
        <v>1020</v>
      </c>
      <c r="G83" s="1" t="s">
        <v>1010</v>
      </c>
      <c r="H83" s="1">
        <v>9</v>
      </c>
      <c r="I83" s="1">
        <v>4</v>
      </c>
      <c r="J83" s="1" t="s">
        <v>2589</v>
      </c>
      <c r="K83" s="2">
        <v>416.92</v>
      </c>
      <c r="L83" s="6">
        <v>21</v>
      </c>
      <c r="M83" s="2">
        <f t="shared" si="5"/>
        <v>3752.28</v>
      </c>
      <c r="N83" s="2">
        <f t="shared" si="6"/>
        <v>787.97880000000009</v>
      </c>
      <c r="O83" s="2">
        <f t="shared" si="7"/>
        <v>2964.3011999999999</v>
      </c>
      <c r="P83" s="1">
        <v>133</v>
      </c>
      <c r="Q83" s="2">
        <v>291.83999999999997</v>
      </c>
      <c r="R83" s="2">
        <f t="shared" si="8"/>
        <v>337.74119999999994</v>
      </c>
      <c r="S83" s="1" t="s">
        <v>1016</v>
      </c>
      <c r="T83" s="1" t="s">
        <v>1007</v>
      </c>
      <c r="U83" s="1" t="str">
        <f t="shared" si="9"/>
        <v>YES</v>
      </c>
    </row>
    <row r="84" spans="1:21" x14ac:dyDescent="0.3">
      <c r="A84" s="1" t="s">
        <v>232</v>
      </c>
      <c r="B84" s="1" t="s">
        <v>107</v>
      </c>
      <c r="C84" s="1" t="s">
        <v>108</v>
      </c>
      <c r="D84" s="1" t="s">
        <v>39</v>
      </c>
      <c r="E84" s="1" t="s">
        <v>1097</v>
      </c>
      <c r="F84" s="1" t="s">
        <v>1027</v>
      </c>
      <c r="G84" s="1" t="s">
        <v>1023</v>
      </c>
      <c r="H84" s="1">
        <v>4</v>
      </c>
      <c r="I84" s="1">
        <v>5</v>
      </c>
      <c r="J84" s="1" t="s">
        <v>2590</v>
      </c>
      <c r="K84" s="2">
        <v>81.09</v>
      </c>
      <c r="L84" s="6">
        <v>0</v>
      </c>
      <c r="M84" s="2">
        <f t="shared" si="5"/>
        <v>324.36</v>
      </c>
      <c r="N84" s="2">
        <f t="shared" si="6"/>
        <v>0</v>
      </c>
      <c r="O84" s="2">
        <f t="shared" si="7"/>
        <v>324.36</v>
      </c>
      <c r="P84" s="1">
        <v>267</v>
      </c>
      <c r="Q84" s="2">
        <v>56.76</v>
      </c>
      <c r="R84" s="2">
        <f t="shared" si="8"/>
        <v>97.320000000000022</v>
      </c>
      <c r="S84" s="1" t="s">
        <v>1011</v>
      </c>
      <c r="T84" s="1" t="s">
        <v>1004</v>
      </c>
      <c r="U84" s="1" t="str">
        <f t="shared" si="9"/>
        <v>NO</v>
      </c>
    </row>
    <row r="85" spans="1:21" x14ac:dyDescent="0.3">
      <c r="A85" s="1" t="s">
        <v>233</v>
      </c>
      <c r="B85" s="1" t="s">
        <v>118</v>
      </c>
      <c r="C85" s="1" t="s">
        <v>119</v>
      </c>
      <c r="D85" s="1" t="s">
        <v>97</v>
      </c>
      <c r="E85" s="1" t="s">
        <v>1098</v>
      </c>
      <c r="F85" s="1" t="s">
        <v>1009</v>
      </c>
      <c r="G85" s="1" t="s">
        <v>1002</v>
      </c>
      <c r="H85" s="1">
        <v>8</v>
      </c>
      <c r="I85" s="1">
        <v>2</v>
      </c>
      <c r="J85" s="1" t="s">
        <v>2591</v>
      </c>
      <c r="K85" s="2">
        <v>95.07</v>
      </c>
      <c r="L85" s="6">
        <v>2</v>
      </c>
      <c r="M85" s="2">
        <f t="shared" si="5"/>
        <v>760.56</v>
      </c>
      <c r="N85" s="2">
        <f t="shared" si="6"/>
        <v>15.211199999999998</v>
      </c>
      <c r="O85" s="2">
        <f t="shared" si="7"/>
        <v>745.34879999999998</v>
      </c>
      <c r="P85" s="1">
        <v>145</v>
      </c>
      <c r="Q85" s="2">
        <v>66.55</v>
      </c>
      <c r="R85" s="2">
        <f t="shared" si="8"/>
        <v>212.94880000000001</v>
      </c>
      <c r="S85" s="1" t="s">
        <v>1016</v>
      </c>
      <c r="T85" s="1" t="s">
        <v>1007</v>
      </c>
      <c r="U85" s="1" t="str">
        <f t="shared" si="9"/>
        <v>YES</v>
      </c>
    </row>
    <row r="86" spans="1:21" x14ac:dyDescent="0.3">
      <c r="A86" s="1" t="s">
        <v>234</v>
      </c>
      <c r="B86" s="1" t="s">
        <v>26</v>
      </c>
      <c r="C86" s="1" t="s">
        <v>27</v>
      </c>
      <c r="D86" s="1" t="s">
        <v>28</v>
      </c>
      <c r="E86" s="1" t="s">
        <v>1099</v>
      </c>
      <c r="F86" s="1" t="s">
        <v>1020</v>
      </c>
      <c r="G86" s="1" t="s">
        <v>1010</v>
      </c>
      <c r="H86" s="1">
        <v>15</v>
      </c>
      <c r="I86" s="1">
        <v>4</v>
      </c>
      <c r="J86" s="1" t="s">
        <v>2592</v>
      </c>
      <c r="K86" s="2">
        <v>156.57</v>
      </c>
      <c r="L86" s="6">
        <v>20</v>
      </c>
      <c r="M86" s="2">
        <f t="shared" si="5"/>
        <v>2348.5499999999997</v>
      </c>
      <c r="N86" s="2">
        <f t="shared" si="6"/>
        <v>469.70999999999992</v>
      </c>
      <c r="O86" s="2">
        <f t="shared" si="7"/>
        <v>1878.8399999999997</v>
      </c>
      <c r="P86" s="1">
        <v>223</v>
      </c>
      <c r="Q86" s="2">
        <v>109.6</v>
      </c>
      <c r="R86" s="2">
        <f t="shared" si="8"/>
        <v>234.83999999999969</v>
      </c>
      <c r="S86" s="1" t="s">
        <v>1016</v>
      </c>
      <c r="T86" s="1" t="s">
        <v>1004</v>
      </c>
      <c r="U86" s="1" t="str">
        <f t="shared" si="9"/>
        <v>YES</v>
      </c>
    </row>
    <row r="87" spans="1:21" x14ac:dyDescent="0.3">
      <c r="A87" s="1" t="s">
        <v>235</v>
      </c>
      <c r="B87" s="1" t="s">
        <v>63</v>
      </c>
      <c r="C87" s="1" t="s">
        <v>64</v>
      </c>
      <c r="D87" s="1" t="s">
        <v>28</v>
      </c>
      <c r="E87" s="1" t="s">
        <v>1100</v>
      </c>
      <c r="F87" s="1" t="s">
        <v>1020</v>
      </c>
      <c r="G87" s="1" t="s">
        <v>1002</v>
      </c>
      <c r="H87" s="1">
        <v>15</v>
      </c>
      <c r="I87" s="1">
        <v>1</v>
      </c>
      <c r="J87" s="1" t="s">
        <v>2593</v>
      </c>
      <c r="K87" s="2">
        <v>69.48</v>
      </c>
      <c r="L87" s="6">
        <v>20</v>
      </c>
      <c r="M87" s="2">
        <f t="shared" si="5"/>
        <v>1042.2</v>
      </c>
      <c r="N87" s="2">
        <f t="shared" si="6"/>
        <v>208.44</v>
      </c>
      <c r="O87" s="2">
        <f t="shared" si="7"/>
        <v>833.76</v>
      </c>
      <c r="P87" s="1">
        <v>64</v>
      </c>
      <c r="Q87" s="2">
        <v>48.64</v>
      </c>
      <c r="R87" s="2">
        <f t="shared" si="8"/>
        <v>104.15999999999997</v>
      </c>
      <c r="S87" s="1" t="s">
        <v>1016</v>
      </c>
      <c r="T87" s="1" t="s">
        <v>1007</v>
      </c>
      <c r="U87" s="1" t="str">
        <f t="shared" si="9"/>
        <v>YES</v>
      </c>
    </row>
    <row r="88" spans="1:21" x14ac:dyDescent="0.3">
      <c r="A88" s="1" t="s">
        <v>236</v>
      </c>
      <c r="B88" s="1" t="s">
        <v>237</v>
      </c>
      <c r="C88" s="1" t="s">
        <v>238</v>
      </c>
      <c r="D88" s="1" t="s">
        <v>85</v>
      </c>
      <c r="E88" s="1" t="s">
        <v>1101</v>
      </c>
      <c r="F88" s="1" t="s">
        <v>1015</v>
      </c>
      <c r="G88" s="1" t="s">
        <v>1023</v>
      </c>
      <c r="H88" s="1">
        <v>9</v>
      </c>
      <c r="I88" s="1">
        <v>6</v>
      </c>
      <c r="J88" s="1" t="s">
        <v>2594</v>
      </c>
      <c r="K88" s="2">
        <v>106.9</v>
      </c>
      <c r="L88" s="6">
        <v>19</v>
      </c>
      <c r="M88" s="2">
        <f t="shared" si="5"/>
        <v>962.1</v>
      </c>
      <c r="N88" s="2">
        <f t="shared" si="6"/>
        <v>182.79900000000001</v>
      </c>
      <c r="O88" s="2">
        <f t="shared" si="7"/>
        <v>779.30100000000004</v>
      </c>
      <c r="P88" s="1">
        <v>155</v>
      </c>
      <c r="Q88" s="2">
        <v>74.83</v>
      </c>
      <c r="R88" s="2">
        <f t="shared" si="8"/>
        <v>105.83100000000002</v>
      </c>
      <c r="S88" s="1" t="s">
        <v>1016</v>
      </c>
      <c r="T88" s="1" t="s">
        <v>1007</v>
      </c>
      <c r="U88" s="1" t="str">
        <f t="shared" si="9"/>
        <v>YES</v>
      </c>
    </row>
    <row r="89" spans="1:21" x14ac:dyDescent="0.3">
      <c r="A89" s="1" t="s">
        <v>239</v>
      </c>
      <c r="B89" s="1" t="s">
        <v>172</v>
      </c>
      <c r="C89" s="1" t="s">
        <v>173</v>
      </c>
      <c r="D89" s="1" t="s">
        <v>132</v>
      </c>
      <c r="E89" s="1" t="s">
        <v>1102</v>
      </c>
      <c r="F89" s="1" t="s">
        <v>1009</v>
      </c>
      <c r="G89" s="1" t="s">
        <v>1023</v>
      </c>
      <c r="H89" s="1">
        <v>12</v>
      </c>
      <c r="I89" s="1">
        <v>1</v>
      </c>
      <c r="J89" s="1" t="s">
        <v>2522</v>
      </c>
      <c r="K89" s="2">
        <v>69.42</v>
      </c>
      <c r="L89" s="6">
        <v>13</v>
      </c>
      <c r="M89" s="2">
        <f t="shared" si="5"/>
        <v>833.04</v>
      </c>
      <c r="N89" s="2">
        <f t="shared" si="6"/>
        <v>108.29520000000001</v>
      </c>
      <c r="O89" s="2">
        <f t="shared" si="7"/>
        <v>724.74479999999994</v>
      </c>
      <c r="P89" s="1">
        <v>112</v>
      </c>
      <c r="Q89" s="2">
        <v>48.59</v>
      </c>
      <c r="R89" s="2">
        <f t="shared" si="8"/>
        <v>141.6647999999999</v>
      </c>
      <c r="S89" s="1" t="s">
        <v>1016</v>
      </c>
      <c r="T89" s="1" t="s">
        <v>1007</v>
      </c>
      <c r="U89" s="1" t="str">
        <f t="shared" si="9"/>
        <v>YES</v>
      </c>
    </row>
    <row r="90" spans="1:21" x14ac:dyDescent="0.3">
      <c r="A90" s="1" t="s">
        <v>241</v>
      </c>
      <c r="B90" s="1" t="s">
        <v>126</v>
      </c>
      <c r="C90" s="1" t="s">
        <v>127</v>
      </c>
      <c r="D90" s="1" t="s">
        <v>85</v>
      </c>
      <c r="E90" s="1" t="s">
        <v>1103</v>
      </c>
      <c r="F90" s="1" t="s">
        <v>1013</v>
      </c>
      <c r="G90" s="1" t="s">
        <v>1002</v>
      </c>
      <c r="H90" s="1">
        <v>12</v>
      </c>
      <c r="I90" s="1">
        <v>2</v>
      </c>
      <c r="J90" s="1" t="s">
        <v>2595</v>
      </c>
      <c r="K90" s="2">
        <v>450.23</v>
      </c>
      <c r="L90" s="6">
        <v>14</v>
      </c>
      <c r="M90" s="2">
        <f t="shared" si="5"/>
        <v>5402.76</v>
      </c>
      <c r="N90" s="2">
        <f t="shared" si="6"/>
        <v>756.38639999999998</v>
      </c>
      <c r="O90" s="2">
        <f t="shared" si="7"/>
        <v>4646.3735999999999</v>
      </c>
      <c r="P90" s="1">
        <v>71</v>
      </c>
      <c r="Q90" s="2">
        <v>315.16000000000003</v>
      </c>
      <c r="R90" s="2">
        <f t="shared" si="8"/>
        <v>864.45359999999982</v>
      </c>
      <c r="S90" s="1" t="s">
        <v>1011</v>
      </c>
      <c r="T90" s="1" t="s">
        <v>1007</v>
      </c>
      <c r="U90" s="1" t="str">
        <f t="shared" si="9"/>
        <v>NO</v>
      </c>
    </row>
    <row r="91" spans="1:21" x14ac:dyDescent="0.3">
      <c r="A91" s="1" t="s">
        <v>243</v>
      </c>
      <c r="B91" s="1" t="s">
        <v>237</v>
      </c>
      <c r="C91" s="1" t="s">
        <v>238</v>
      </c>
      <c r="D91" s="1" t="s">
        <v>85</v>
      </c>
      <c r="E91" s="1" t="s">
        <v>1104</v>
      </c>
      <c r="F91" s="1" t="s">
        <v>1006</v>
      </c>
      <c r="G91" s="1" t="s">
        <v>1010</v>
      </c>
      <c r="H91" s="1">
        <v>5</v>
      </c>
      <c r="I91" s="1">
        <v>3</v>
      </c>
      <c r="J91" s="1" t="s">
        <v>2596</v>
      </c>
      <c r="K91" s="2">
        <v>44.3</v>
      </c>
      <c r="L91" s="6">
        <v>17</v>
      </c>
      <c r="M91" s="2">
        <f t="shared" si="5"/>
        <v>221.5</v>
      </c>
      <c r="N91" s="2">
        <f t="shared" si="6"/>
        <v>37.655000000000001</v>
      </c>
      <c r="O91" s="2">
        <f t="shared" si="7"/>
        <v>183.845</v>
      </c>
      <c r="P91" s="1">
        <v>276</v>
      </c>
      <c r="Q91" s="2">
        <v>31.01</v>
      </c>
      <c r="R91" s="2">
        <f t="shared" si="8"/>
        <v>28.794999999999987</v>
      </c>
      <c r="S91" s="1" t="s">
        <v>1003</v>
      </c>
      <c r="T91" s="1" t="s">
        <v>1007</v>
      </c>
      <c r="U91" s="1" t="str">
        <f t="shared" si="9"/>
        <v>NO</v>
      </c>
    </row>
    <row r="92" spans="1:21" x14ac:dyDescent="0.3">
      <c r="A92" s="1" t="s">
        <v>244</v>
      </c>
      <c r="B92" s="1" t="s">
        <v>69</v>
      </c>
      <c r="C92" s="1" t="s">
        <v>70</v>
      </c>
      <c r="D92" s="1" t="s">
        <v>59</v>
      </c>
      <c r="E92" s="1" t="s">
        <v>1105</v>
      </c>
      <c r="F92" s="1" t="s">
        <v>1001</v>
      </c>
      <c r="G92" s="1" t="s">
        <v>1002</v>
      </c>
      <c r="H92" s="1">
        <v>7</v>
      </c>
      <c r="I92" s="1">
        <v>1</v>
      </c>
      <c r="J92" s="1" t="s">
        <v>2597</v>
      </c>
      <c r="K92" s="2">
        <v>469.32</v>
      </c>
      <c r="L92" s="6">
        <v>10</v>
      </c>
      <c r="M92" s="2">
        <f t="shared" si="5"/>
        <v>3285.24</v>
      </c>
      <c r="N92" s="2">
        <f t="shared" si="6"/>
        <v>328.52399999999994</v>
      </c>
      <c r="O92" s="2">
        <f t="shared" si="7"/>
        <v>2956.7159999999999</v>
      </c>
      <c r="P92" s="1">
        <v>94</v>
      </c>
      <c r="Q92" s="2">
        <v>328.52</v>
      </c>
      <c r="R92" s="2">
        <f t="shared" si="8"/>
        <v>657.07600000000002</v>
      </c>
      <c r="S92" s="1" t="s">
        <v>1003</v>
      </c>
      <c r="T92" s="1" t="s">
        <v>1007</v>
      </c>
      <c r="U92" s="1" t="str">
        <f t="shared" si="9"/>
        <v>NO</v>
      </c>
    </row>
    <row r="93" spans="1:21" x14ac:dyDescent="0.3">
      <c r="A93" s="1" t="s">
        <v>245</v>
      </c>
      <c r="B93" s="1" t="s">
        <v>197</v>
      </c>
      <c r="C93" s="1" t="s">
        <v>198</v>
      </c>
      <c r="D93" s="1" t="s">
        <v>104</v>
      </c>
      <c r="E93" s="1" t="s">
        <v>1106</v>
      </c>
      <c r="F93" s="1" t="s">
        <v>1001</v>
      </c>
      <c r="G93" s="1" t="s">
        <v>1002</v>
      </c>
      <c r="H93" s="1">
        <v>7</v>
      </c>
      <c r="I93" s="1">
        <v>2</v>
      </c>
      <c r="J93" s="1" t="s">
        <v>2578</v>
      </c>
      <c r="K93" s="2">
        <v>274.20999999999998</v>
      </c>
      <c r="L93" s="6">
        <v>8</v>
      </c>
      <c r="M93" s="2">
        <f t="shared" si="5"/>
        <v>1919.4699999999998</v>
      </c>
      <c r="N93" s="2">
        <f t="shared" si="6"/>
        <v>153.55759999999998</v>
      </c>
      <c r="O93" s="2">
        <f t="shared" si="7"/>
        <v>1765.9123999999997</v>
      </c>
      <c r="P93" s="1">
        <v>158</v>
      </c>
      <c r="Q93" s="2">
        <v>191.95</v>
      </c>
      <c r="R93" s="2">
        <f t="shared" si="8"/>
        <v>422.26239999999984</v>
      </c>
      <c r="S93" s="1" t="s">
        <v>1011</v>
      </c>
      <c r="T93" s="1" t="s">
        <v>1007</v>
      </c>
      <c r="U93" s="1" t="str">
        <f t="shared" si="9"/>
        <v>NO</v>
      </c>
    </row>
    <row r="94" spans="1:21" x14ac:dyDescent="0.3">
      <c r="A94" s="1" t="s">
        <v>246</v>
      </c>
      <c r="B94" s="1" t="s">
        <v>72</v>
      </c>
      <c r="C94" s="1" t="s">
        <v>73</v>
      </c>
      <c r="D94" s="1" t="s">
        <v>47</v>
      </c>
      <c r="E94" s="1" t="s">
        <v>1107</v>
      </c>
      <c r="F94" s="1" t="s">
        <v>1027</v>
      </c>
      <c r="G94" s="1" t="s">
        <v>1002</v>
      </c>
      <c r="H94" s="1">
        <v>5</v>
      </c>
      <c r="I94" s="1">
        <v>3</v>
      </c>
      <c r="J94" s="1" t="s">
        <v>2598</v>
      </c>
      <c r="K94" s="2">
        <v>72.349999999999994</v>
      </c>
      <c r="L94" s="6">
        <v>11</v>
      </c>
      <c r="M94" s="2">
        <f t="shared" si="5"/>
        <v>361.75</v>
      </c>
      <c r="N94" s="2">
        <f t="shared" si="6"/>
        <v>39.792499999999997</v>
      </c>
      <c r="O94" s="2">
        <f t="shared" si="7"/>
        <v>321.95749999999998</v>
      </c>
      <c r="P94" s="1">
        <v>173</v>
      </c>
      <c r="Q94" s="2">
        <v>50.64</v>
      </c>
      <c r="R94" s="2">
        <f t="shared" si="8"/>
        <v>68.757499999999993</v>
      </c>
      <c r="S94" s="1" t="s">
        <v>1003</v>
      </c>
      <c r="T94" s="1" t="s">
        <v>1007</v>
      </c>
      <c r="U94" s="1" t="str">
        <f t="shared" si="9"/>
        <v>NO</v>
      </c>
    </row>
    <row r="95" spans="1:21" x14ac:dyDescent="0.3">
      <c r="A95" s="1" t="s">
        <v>248</v>
      </c>
      <c r="B95" s="1" t="s">
        <v>237</v>
      </c>
      <c r="C95" s="1" t="s">
        <v>238</v>
      </c>
      <c r="D95" s="1" t="s">
        <v>85</v>
      </c>
      <c r="E95" s="1" t="s">
        <v>1108</v>
      </c>
      <c r="F95" s="1" t="s">
        <v>1001</v>
      </c>
      <c r="G95" s="1" t="s">
        <v>1023</v>
      </c>
      <c r="H95" s="1">
        <v>11</v>
      </c>
      <c r="I95" s="1">
        <v>1</v>
      </c>
      <c r="J95" s="1" t="s">
        <v>2599</v>
      </c>
      <c r="K95" s="2">
        <v>351.55</v>
      </c>
      <c r="L95" s="6">
        <v>6</v>
      </c>
      <c r="M95" s="2">
        <f t="shared" si="5"/>
        <v>3867.05</v>
      </c>
      <c r="N95" s="2">
        <f t="shared" si="6"/>
        <v>232.02300000000002</v>
      </c>
      <c r="O95" s="2">
        <f t="shared" si="7"/>
        <v>3635.027</v>
      </c>
      <c r="P95" s="1">
        <v>159</v>
      </c>
      <c r="Q95" s="2">
        <v>246.08</v>
      </c>
      <c r="R95" s="2">
        <f t="shared" si="8"/>
        <v>928.14699999999993</v>
      </c>
      <c r="S95" s="1" t="s">
        <v>1016</v>
      </c>
      <c r="T95" s="1" t="s">
        <v>1004</v>
      </c>
      <c r="U95" s="1" t="str">
        <f t="shared" si="9"/>
        <v>YES</v>
      </c>
    </row>
    <row r="96" spans="1:21" x14ac:dyDescent="0.3">
      <c r="A96" s="1" t="s">
        <v>249</v>
      </c>
      <c r="B96" s="1" t="s">
        <v>37</v>
      </c>
      <c r="C96" s="1" t="s">
        <v>38</v>
      </c>
      <c r="D96" s="1" t="s">
        <v>39</v>
      </c>
      <c r="E96" s="1" t="s">
        <v>1109</v>
      </c>
      <c r="F96" s="1" t="s">
        <v>1013</v>
      </c>
      <c r="G96" s="1" t="s">
        <v>1010</v>
      </c>
      <c r="H96" s="1">
        <v>4</v>
      </c>
      <c r="I96" s="1">
        <v>7</v>
      </c>
      <c r="J96" s="1" t="s">
        <v>2556</v>
      </c>
      <c r="K96" s="2">
        <v>144.37</v>
      </c>
      <c r="L96" s="6">
        <v>13</v>
      </c>
      <c r="M96" s="2">
        <f t="shared" si="5"/>
        <v>577.48</v>
      </c>
      <c r="N96" s="2">
        <f t="shared" si="6"/>
        <v>75.072400000000002</v>
      </c>
      <c r="O96" s="2">
        <f t="shared" si="7"/>
        <v>502.4076</v>
      </c>
      <c r="P96" s="1">
        <v>179</v>
      </c>
      <c r="Q96" s="2">
        <v>101.06</v>
      </c>
      <c r="R96" s="2">
        <f t="shared" si="8"/>
        <v>98.167599999999993</v>
      </c>
      <c r="S96" s="1" t="s">
        <v>1016</v>
      </c>
      <c r="T96" s="1" t="s">
        <v>1004</v>
      </c>
      <c r="U96" s="1" t="str">
        <f t="shared" si="9"/>
        <v>YES</v>
      </c>
    </row>
    <row r="97" spans="1:21" x14ac:dyDescent="0.3">
      <c r="A97" s="1" t="s">
        <v>250</v>
      </c>
      <c r="B97" s="1" t="s">
        <v>69</v>
      </c>
      <c r="C97" s="1" t="s">
        <v>70</v>
      </c>
      <c r="D97" s="1" t="s">
        <v>59</v>
      </c>
      <c r="E97" s="1" t="s">
        <v>1110</v>
      </c>
      <c r="F97" s="1" t="s">
        <v>1015</v>
      </c>
      <c r="G97" s="1" t="s">
        <v>1023</v>
      </c>
      <c r="H97" s="1">
        <v>5</v>
      </c>
      <c r="I97" s="1">
        <v>5</v>
      </c>
      <c r="J97" s="1" t="s">
        <v>2600</v>
      </c>
      <c r="K97" s="2">
        <v>188.59</v>
      </c>
      <c r="L97" s="6">
        <v>24</v>
      </c>
      <c r="M97" s="2">
        <f t="shared" si="5"/>
        <v>942.95</v>
      </c>
      <c r="N97" s="2">
        <f t="shared" si="6"/>
        <v>226.30800000000002</v>
      </c>
      <c r="O97" s="2">
        <f t="shared" si="7"/>
        <v>716.64200000000005</v>
      </c>
      <c r="P97" s="1">
        <v>250</v>
      </c>
      <c r="Q97" s="2">
        <v>132.01</v>
      </c>
      <c r="R97" s="2">
        <f t="shared" si="8"/>
        <v>56.592000000000098</v>
      </c>
      <c r="S97" s="1" t="s">
        <v>1003</v>
      </c>
      <c r="T97" s="1" t="s">
        <v>1007</v>
      </c>
      <c r="U97" s="1" t="str">
        <f t="shared" si="9"/>
        <v>NO</v>
      </c>
    </row>
    <row r="98" spans="1:21" x14ac:dyDescent="0.3">
      <c r="A98" s="1" t="s">
        <v>251</v>
      </c>
      <c r="B98" s="1" t="s">
        <v>72</v>
      </c>
      <c r="C98" s="1" t="s">
        <v>73</v>
      </c>
      <c r="D98" s="1" t="s">
        <v>47</v>
      </c>
      <c r="E98" s="1" t="s">
        <v>1111</v>
      </c>
      <c r="F98" s="1" t="s">
        <v>1013</v>
      </c>
      <c r="G98" s="1" t="s">
        <v>1002</v>
      </c>
      <c r="H98" s="1">
        <v>5</v>
      </c>
      <c r="I98" s="1">
        <v>2</v>
      </c>
      <c r="J98" s="1" t="s">
        <v>2601</v>
      </c>
      <c r="K98" s="2">
        <v>236.39</v>
      </c>
      <c r="L98" s="6">
        <v>0</v>
      </c>
      <c r="M98" s="2">
        <f t="shared" si="5"/>
        <v>1181.9499999999998</v>
      </c>
      <c r="N98" s="2">
        <f t="shared" si="6"/>
        <v>0</v>
      </c>
      <c r="O98" s="2">
        <f t="shared" si="7"/>
        <v>1181.9499999999998</v>
      </c>
      <c r="P98" s="1">
        <v>153</v>
      </c>
      <c r="Q98" s="2">
        <v>165.47</v>
      </c>
      <c r="R98" s="2">
        <f t="shared" si="8"/>
        <v>354.5999999999998</v>
      </c>
      <c r="S98" s="1" t="s">
        <v>1011</v>
      </c>
      <c r="T98" s="1" t="s">
        <v>1007</v>
      </c>
      <c r="U98" s="1" t="str">
        <f t="shared" si="9"/>
        <v>NO</v>
      </c>
    </row>
    <row r="99" spans="1:21" x14ac:dyDescent="0.3">
      <c r="A99" s="1" t="s">
        <v>252</v>
      </c>
      <c r="B99" s="1" t="s">
        <v>118</v>
      </c>
      <c r="C99" s="1" t="s">
        <v>119</v>
      </c>
      <c r="D99" s="1" t="s">
        <v>97</v>
      </c>
      <c r="E99" s="1" t="s">
        <v>1112</v>
      </c>
      <c r="F99" s="1" t="s">
        <v>1001</v>
      </c>
      <c r="G99" s="1" t="s">
        <v>1002</v>
      </c>
      <c r="H99" s="1">
        <v>8</v>
      </c>
      <c r="I99" s="1">
        <v>3</v>
      </c>
      <c r="J99" s="1" t="s">
        <v>2602</v>
      </c>
      <c r="K99" s="2">
        <v>393.71</v>
      </c>
      <c r="L99" s="6">
        <v>6</v>
      </c>
      <c r="M99" s="2">
        <f t="shared" si="5"/>
        <v>3149.68</v>
      </c>
      <c r="N99" s="2">
        <f t="shared" si="6"/>
        <v>188.98079999999999</v>
      </c>
      <c r="O99" s="2">
        <f t="shared" si="7"/>
        <v>2960.6992</v>
      </c>
      <c r="P99" s="1">
        <v>235</v>
      </c>
      <c r="Q99" s="2">
        <v>275.60000000000002</v>
      </c>
      <c r="R99" s="2">
        <f t="shared" si="8"/>
        <v>755.89919999999984</v>
      </c>
      <c r="S99" s="1" t="s">
        <v>1011</v>
      </c>
      <c r="T99" s="1" t="s">
        <v>1007</v>
      </c>
      <c r="U99" s="1" t="str">
        <f t="shared" si="9"/>
        <v>NO</v>
      </c>
    </row>
    <row r="100" spans="1:21" x14ac:dyDescent="0.3">
      <c r="A100" s="1" t="s">
        <v>253</v>
      </c>
      <c r="B100" s="1" t="s">
        <v>57</v>
      </c>
      <c r="C100" s="1" t="s">
        <v>58</v>
      </c>
      <c r="D100" s="1" t="s">
        <v>59</v>
      </c>
      <c r="E100" s="1" t="s">
        <v>1113</v>
      </c>
      <c r="F100" s="1" t="s">
        <v>1027</v>
      </c>
      <c r="G100" s="1" t="s">
        <v>1010</v>
      </c>
      <c r="H100" s="1">
        <v>4</v>
      </c>
      <c r="I100" s="1">
        <v>4</v>
      </c>
      <c r="J100" s="1" t="s">
        <v>2603</v>
      </c>
      <c r="K100" s="2">
        <v>159.5</v>
      </c>
      <c r="L100" s="6">
        <v>17</v>
      </c>
      <c r="M100" s="2">
        <f t="shared" si="5"/>
        <v>638</v>
      </c>
      <c r="N100" s="2">
        <f t="shared" si="6"/>
        <v>108.46</v>
      </c>
      <c r="O100" s="2">
        <f t="shared" si="7"/>
        <v>529.54</v>
      </c>
      <c r="P100" s="1">
        <v>269</v>
      </c>
      <c r="Q100" s="2">
        <v>111.65</v>
      </c>
      <c r="R100" s="2">
        <f t="shared" si="8"/>
        <v>82.939999999999941</v>
      </c>
      <c r="S100" s="1" t="s">
        <v>1016</v>
      </c>
      <c r="T100" s="1" t="s">
        <v>1004</v>
      </c>
      <c r="U100" s="1" t="str">
        <f t="shared" si="9"/>
        <v>YES</v>
      </c>
    </row>
    <row r="101" spans="1:21" x14ac:dyDescent="0.3">
      <c r="A101" s="1" t="s">
        <v>255</v>
      </c>
      <c r="B101" s="1" t="s">
        <v>45</v>
      </c>
      <c r="C101" s="1" t="s">
        <v>46</v>
      </c>
      <c r="D101" s="1" t="s">
        <v>47</v>
      </c>
      <c r="E101" s="1" t="s">
        <v>1114</v>
      </c>
      <c r="F101" s="1" t="s">
        <v>1001</v>
      </c>
      <c r="G101" s="1" t="s">
        <v>1010</v>
      </c>
      <c r="H101" s="1">
        <v>10</v>
      </c>
      <c r="I101" s="1">
        <v>5</v>
      </c>
      <c r="J101" s="1" t="s">
        <v>2604</v>
      </c>
      <c r="K101" s="2">
        <v>223.4</v>
      </c>
      <c r="L101" s="6">
        <v>3</v>
      </c>
      <c r="M101" s="2">
        <f t="shared" si="5"/>
        <v>2234</v>
      </c>
      <c r="N101" s="2">
        <f t="shared" si="6"/>
        <v>67.02</v>
      </c>
      <c r="O101" s="2">
        <f t="shared" si="7"/>
        <v>2166.98</v>
      </c>
      <c r="P101" s="1">
        <v>53</v>
      </c>
      <c r="Q101" s="2">
        <v>156.38</v>
      </c>
      <c r="R101" s="2">
        <f t="shared" si="8"/>
        <v>603.18000000000006</v>
      </c>
      <c r="S101" s="1" t="s">
        <v>1003</v>
      </c>
      <c r="T101" s="1" t="s">
        <v>1007</v>
      </c>
      <c r="U101" s="1" t="str">
        <f t="shared" si="9"/>
        <v>NO</v>
      </c>
    </row>
    <row r="102" spans="1:21" x14ac:dyDescent="0.3">
      <c r="A102" s="1" t="s">
        <v>256</v>
      </c>
      <c r="B102" s="1" t="s">
        <v>57</v>
      </c>
      <c r="C102" s="1" t="s">
        <v>58</v>
      </c>
      <c r="D102" s="1" t="s">
        <v>59</v>
      </c>
      <c r="E102" s="1" t="s">
        <v>1115</v>
      </c>
      <c r="F102" s="1" t="s">
        <v>1020</v>
      </c>
      <c r="G102" s="1" t="s">
        <v>1002</v>
      </c>
      <c r="H102" s="1">
        <v>9</v>
      </c>
      <c r="I102" s="1">
        <v>2</v>
      </c>
      <c r="J102" s="1" t="s">
        <v>2605</v>
      </c>
      <c r="K102" s="2">
        <v>61.22</v>
      </c>
      <c r="L102" s="6">
        <v>22</v>
      </c>
      <c r="M102" s="2">
        <f t="shared" si="5"/>
        <v>550.98</v>
      </c>
      <c r="N102" s="2">
        <f t="shared" si="6"/>
        <v>121.21560000000001</v>
      </c>
      <c r="O102" s="2">
        <f t="shared" si="7"/>
        <v>429.76440000000002</v>
      </c>
      <c r="P102" s="1">
        <v>163</v>
      </c>
      <c r="Q102" s="2">
        <v>42.85</v>
      </c>
      <c r="R102" s="2">
        <f t="shared" si="8"/>
        <v>44.114399999999989</v>
      </c>
      <c r="S102" s="1" t="s">
        <v>1011</v>
      </c>
      <c r="T102" s="1" t="s">
        <v>1004</v>
      </c>
      <c r="U102" s="1" t="str">
        <f t="shared" si="9"/>
        <v>NO</v>
      </c>
    </row>
    <row r="103" spans="1:21" x14ac:dyDescent="0.3">
      <c r="A103" s="1" t="s">
        <v>258</v>
      </c>
      <c r="B103" s="1" t="s">
        <v>37</v>
      </c>
      <c r="C103" s="1" t="s">
        <v>38</v>
      </c>
      <c r="D103" s="1" t="s">
        <v>39</v>
      </c>
      <c r="E103" s="1" t="s">
        <v>1116</v>
      </c>
      <c r="F103" s="1" t="s">
        <v>1013</v>
      </c>
      <c r="G103" s="1" t="s">
        <v>1023</v>
      </c>
      <c r="H103" s="1">
        <v>12</v>
      </c>
      <c r="I103" s="1">
        <v>2</v>
      </c>
      <c r="J103" s="1" t="s">
        <v>2606</v>
      </c>
      <c r="K103" s="2">
        <v>93.65</v>
      </c>
      <c r="L103" s="6">
        <v>18</v>
      </c>
      <c r="M103" s="2">
        <f t="shared" si="5"/>
        <v>1123.8000000000002</v>
      </c>
      <c r="N103" s="2">
        <f t="shared" si="6"/>
        <v>202.28400000000002</v>
      </c>
      <c r="O103" s="2">
        <f t="shared" si="7"/>
        <v>921.51600000000019</v>
      </c>
      <c r="P103" s="1">
        <v>178</v>
      </c>
      <c r="Q103" s="2">
        <v>65.56</v>
      </c>
      <c r="R103" s="2">
        <f t="shared" si="8"/>
        <v>134.79600000000016</v>
      </c>
      <c r="S103" s="1" t="s">
        <v>1003</v>
      </c>
      <c r="T103" s="1" t="s">
        <v>1004</v>
      </c>
      <c r="U103" s="1" t="str">
        <f t="shared" si="9"/>
        <v>NO</v>
      </c>
    </row>
    <row r="104" spans="1:21" x14ac:dyDescent="0.3">
      <c r="A104" s="1" t="s">
        <v>259</v>
      </c>
      <c r="B104" s="1" t="s">
        <v>166</v>
      </c>
      <c r="C104" s="1" t="s">
        <v>167</v>
      </c>
      <c r="D104" s="1" t="s">
        <v>59</v>
      </c>
      <c r="E104" s="1" t="s">
        <v>1117</v>
      </c>
      <c r="F104" s="1" t="s">
        <v>1015</v>
      </c>
      <c r="G104" s="1" t="s">
        <v>1023</v>
      </c>
      <c r="H104" s="1">
        <v>3</v>
      </c>
      <c r="I104" s="1">
        <v>5</v>
      </c>
      <c r="J104" s="1" t="s">
        <v>2607</v>
      </c>
      <c r="K104" s="2">
        <v>227.44</v>
      </c>
      <c r="L104" s="6">
        <v>25</v>
      </c>
      <c r="M104" s="2">
        <f t="shared" si="5"/>
        <v>682.31999999999994</v>
      </c>
      <c r="N104" s="2">
        <f t="shared" si="6"/>
        <v>170.58</v>
      </c>
      <c r="O104" s="2">
        <f t="shared" si="7"/>
        <v>511.7399999999999</v>
      </c>
      <c r="P104" s="1">
        <v>114</v>
      </c>
      <c r="Q104" s="2">
        <v>159.21</v>
      </c>
      <c r="R104" s="2">
        <f t="shared" si="8"/>
        <v>34.1099999999999</v>
      </c>
      <c r="S104" s="1" t="s">
        <v>1003</v>
      </c>
      <c r="T104" s="1" t="s">
        <v>1007</v>
      </c>
      <c r="U104" s="1" t="str">
        <f t="shared" si="9"/>
        <v>NO</v>
      </c>
    </row>
    <row r="105" spans="1:21" x14ac:dyDescent="0.3">
      <c r="A105" s="1" t="s">
        <v>261</v>
      </c>
      <c r="B105" s="1" t="s">
        <v>262</v>
      </c>
      <c r="C105" s="1" t="s">
        <v>263</v>
      </c>
      <c r="D105" s="1" t="s">
        <v>104</v>
      </c>
      <c r="E105" s="1" t="s">
        <v>1118</v>
      </c>
      <c r="F105" s="1" t="s">
        <v>1015</v>
      </c>
      <c r="G105" s="1" t="s">
        <v>1002</v>
      </c>
      <c r="H105" s="1">
        <v>2</v>
      </c>
      <c r="I105" s="1">
        <v>4</v>
      </c>
      <c r="J105" s="1" t="s">
        <v>2566</v>
      </c>
      <c r="K105" s="2">
        <v>237.79</v>
      </c>
      <c r="L105" s="6">
        <v>12</v>
      </c>
      <c r="M105" s="2">
        <f t="shared" si="5"/>
        <v>475.58</v>
      </c>
      <c r="N105" s="2">
        <f t="shared" si="6"/>
        <v>57.069600000000001</v>
      </c>
      <c r="O105" s="2">
        <f t="shared" si="7"/>
        <v>418.5104</v>
      </c>
      <c r="P105" s="1">
        <v>182</v>
      </c>
      <c r="Q105" s="2">
        <v>166.45</v>
      </c>
      <c r="R105" s="2">
        <f t="shared" si="8"/>
        <v>85.610400000000027</v>
      </c>
      <c r="S105" s="1" t="s">
        <v>1016</v>
      </c>
      <c r="T105" s="1" t="s">
        <v>1004</v>
      </c>
      <c r="U105" s="1" t="str">
        <f t="shared" si="9"/>
        <v>YES</v>
      </c>
    </row>
    <row r="106" spans="1:21" x14ac:dyDescent="0.3">
      <c r="A106" s="1" t="s">
        <v>265</v>
      </c>
      <c r="B106" s="1" t="s">
        <v>72</v>
      </c>
      <c r="C106" s="1" t="s">
        <v>73</v>
      </c>
      <c r="D106" s="1" t="s">
        <v>47</v>
      </c>
      <c r="E106" s="1" t="s">
        <v>1119</v>
      </c>
      <c r="F106" s="1" t="s">
        <v>1006</v>
      </c>
      <c r="G106" s="1" t="s">
        <v>1023</v>
      </c>
      <c r="H106" s="1">
        <v>5</v>
      </c>
      <c r="I106" s="1">
        <v>6</v>
      </c>
      <c r="J106" s="1" t="s">
        <v>2608</v>
      </c>
      <c r="K106" s="2">
        <v>211.64</v>
      </c>
      <c r="L106" s="6">
        <v>19</v>
      </c>
      <c r="M106" s="2">
        <f t="shared" si="5"/>
        <v>1058.1999999999998</v>
      </c>
      <c r="N106" s="2">
        <f t="shared" si="6"/>
        <v>201.05799999999996</v>
      </c>
      <c r="O106" s="2">
        <f t="shared" si="7"/>
        <v>857.14199999999983</v>
      </c>
      <c r="P106" s="1">
        <v>149</v>
      </c>
      <c r="Q106" s="2">
        <v>148.15</v>
      </c>
      <c r="R106" s="2">
        <f t="shared" si="8"/>
        <v>116.39199999999983</v>
      </c>
      <c r="S106" s="1" t="s">
        <v>1003</v>
      </c>
      <c r="T106" s="1" t="s">
        <v>1007</v>
      </c>
      <c r="U106" s="1" t="str">
        <f t="shared" si="9"/>
        <v>NO</v>
      </c>
    </row>
    <row r="107" spans="1:21" x14ac:dyDescent="0.3">
      <c r="A107" s="1" t="s">
        <v>267</v>
      </c>
      <c r="B107" s="1" t="s">
        <v>107</v>
      </c>
      <c r="C107" s="1" t="s">
        <v>108</v>
      </c>
      <c r="D107" s="1" t="s">
        <v>39</v>
      </c>
      <c r="E107" s="1" t="s">
        <v>1120</v>
      </c>
      <c r="F107" s="1" t="s">
        <v>1015</v>
      </c>
      <c r="G107" s="1" t="s">
        <v>1010</v>
      </c>
      <c r="H107" s="1">
        <v>5</v>
      </c>
      <c r="I107" s="1">
        <v>1</v>
      </c>
      <c r="J107" s="1" t="s">
        <v>2602</v>
      </c>
      <c r="K107" s="2">
        <v>211.68</v>
      </c>
      <c r="L107" s="6">
        <v>9</v>
      </c>
      <c r="M107" s="2">
        <f t="shared" si="5"/>
        <v>1058.4000000000001</v>
      </c>
      <c r="N107" s="2">
        <f t="shared" si="6"/>
        <v>95.256</v>
      </c>
      <c r="O107" s="2">
        <f t="shared" si="7"/>
        <v>963.14400000000012</v>
      </c>
      <c r="P107" s="1">
        <v>155</v>
      </c>
      <c r="Q107" s="2">
        <v>148.18</v>
      </c>
      <c r="R107" s="2">
        <f t="shared" si="8"/>
        <v>222.24400000000003</v>
      </c>
      <c r="S107" s="1" t="s">
        <v>1016</v>
      </c>
      <c r="T107" s="1" t="s">
        <v>1007</v>
      </c>
      <c r="U107" s="1" t="str">
        <f t="shared" si="9"/>
        <v>YES</v>
      </c>
    </row>
    <row r="108" spans="1:21" x14ac:dyDescent="0.3">
      <c r="A108" s="1" t="s">
        <v>268</v>
      </c>
      <c r="B108" s="1" t="s">
        <v>111</v>
      </c>
      <c r="C108" s="1" t="s">
        <v>112</v>
      </c>
      <c r="D108" s="1" t="s">
        <v>97</v>
      </c>
      <c r="E108" s="1" t="s">
        <v>1121</v>
      </c>
      <c r="F108" s="1" t="s">
        <v>1006</v>
      </c>
      <c r="G108" s="1" t="s">
        <v>1023</v>
      </c>
      <c r="H108" s="1">
        <v>3</v>
      </c>
      <c r="I108" s="1">
        <v>5</v>
      </c>
      <c r="J108" s="1" t="s">
        <v>2609</v>
      </c>
      <c r="K108" s="2">
        <v>411.22</v>
      </c>
      <c r="L108" s="6">
        <v>2</v>
      </c>
      <c r="M108" s="2">
        <f t="shared" si="5"/>
        <v>1233.6600000000001</v>
      </c>
      <c r="N108" s="2">
        <f t="shared" si="6"/>
        <v>24.673200000000001</v>
      </c>
      <c r="O108" s="2">
        <f t="shared" si="7"/>
        <v>1208.9868000000001</v>
      </c>
      <c r="P108" s="1">
        <v>157</v>
      </c>
      <c r="Q108" s="2">
        <v>287.85000000000002</v>
      </c>
      <c r="R108" s="2">
        <f t="shared" si="8"/>
        <v>345.43680000000006</v>
      </c>
      <c r="S108" s="1" t="s">
        <v>1011</v>
      </c>
      <c r="T108" s="1" t="s">
        <v>1007</v>
      </c>
      <c r="U108" s="1" t="str">
        <f t="shared" si="9"/>
        <v>NO</v>
      </c>
    </row>
    <row r="109" spans="1:21" x14ac:dyDescent="0.3">
      <c r="A109" s="1" t="s">
        <v>269</v>
      </c>
      <c r="B109" s="1" t="s">
        <v>37</v>
      </c>
      <c r="C109" s="1" t="s">
        <v>38</v>
      </c>
      <c r="D109" s="1" t="s">
        <v>39</v>
      </c>
      <c r="E109" s="1" t="s">
        <v>1122</v>
      </c>
      <c r="F109" s="1" t="s">
        <v>1015</v>
      </c>
      <c r="G109" s="1" t="s">
        <v>1002</v>
      </c>
      <c r="H109" s="1">
        <v>8</v>
      </c>
      <c r="I109" s="1">
        <v>4</v>
      </c>
      <c r="J109" s="1" t="s">
        <v>2610</v>
      </c>
      <c r="K109" s="2">
        <v>267.60000000000002</v>
      </c>
      <c r="L109" s="6">
        <v>14</v>
      </c>
      <c r="M109" s="2">
        <f t="shared" si="5"/>
        <v>2140.8000000000002</v>
      </c>
      <c r="N109" s="2">
        <f t="shared" si="6"/>
        <v>299.71200000000005</v>
      </c>
      <c r="O109" s="2">
        <f t="shared" si="7"/>
        <v>1841.0880000000002</v>
      </c>
      <c r="P109" s="1">
        <v>252</v>
      </c>
      <c r="Q109" s="2">
        <v>187.32</v>
      </c>
      <c r="R109" s="2">
        <f t="shared" si="8"/>
        <v>342.52800000000025</v>
      </c>
      <c r="S109" s="1" t="s">
        <v>1011</v>
      </c>
      <c r="T109" s="1" t="s">
        <v>1007</v>
      </c>
      <c r="U109" s="1" t="str">
        <f t="shared" si="9"/>
        <v>NO</v>
      </c>
    </row>
    <row r="110" spans="1:21" x14ac:dyDescent="0.3">
      <c r="A110" s="1" t="s">
        <v>270</v>
      </c>
      <c r="B110" s="1" t="s">
        <v>69</v>
      </c>
      <c r="C110" s="1" t="s">
        <v>70</v>
      </c>
      <c r="D110" s="1" t="s">
        <v>59</v>
      </c>
      <c r="E110" s="1" t="s">
        <v>1123</v>
      </c>
      <c r="F110" s="1" t="s">
        <v>1015</v>
      </c>
      <c r="G110" s="1" t="s">
        <v>1002</v>
      </c>
      <c r="H110" s="1">
        <v>2</v>
      </c>
      <c r="I110" s="1">
        <v>5</v>
      </c>
      <c r="J110" s="1" t="s">
        <v>2564</v>
      </c>
      <c r="K110" s="2">
        <v>236.93</v>
      </c>
      <c r="L110" s="6">
        <v>1</v>
      </c>
      <c r="M110" s="2">
        <f t="shared" si="5"/>
        <v>473.86</v>
      </c>
      <c r="N110" s="2">
        <f t="shared" si="6"/>
        <v>4.7385999999999999</v>
      </c>
      <c r="O110" s="2">
        <f t="shared" si="7"/>
        <v>469.12139999999999</v>
      </c>
      <c r="P110" s="1">
        <v>233</v>
      </c>
      <c r="Q110" s="2">
        <v>165.85</v>
      </c>
      <c r="R110" s="2">
        <f t="shared" si="8"/>
        <v>137.42140000000001</v>
      </c>
      <c r="S110" s="1" t="s">
        <v>1003</v>
      </c>
      <c r="T110" s="1" t="s">
        <v>1004</v>
      </c>
      <c r="U110" s="1" t="str">
        <f t="shared" si="9"/>
        <v>NO</v>
      </c>
    </row>
    <row r="111" spans="1:21" x14ac:dyDescent="0.3">
      <c r="A111" s="1" t="s">
        <v>271</v>
      </c>
      <c r="B111" s="1" t="s">
        <v>123</v>
      </c>
      <c r="C111" s="1" t="s">
        <v>124</v>
      </c>
      <c r="D111" s="1" t="s">
        <v>47</v>
      </c>
      <c r="E111" s="1" t="s">
        <v>1124</v>
      </c>
      <c r="F111" s="1" t="s">
        <v>1006</v>
      </c>
      <c r="G111" s="1" t="s">
        <v>1002</v>
      </c>
      <c r="H111" s="1">
        <v>14</v>
      </c>
      <c r="I111" s="1">
        <v>3</v>
      </c>
      <c r="J111" s="1" t="s">
        <v>2584</v>
      </c>
      <c r="K111" s="2">
        <v>416.28</v>
      </c>
      <c r="L111" s="6">
        <v>1</v>
      </c>
      <c r="M111" s="2">
        <f t="shared" si="5"/>
        <v>5827.92</v>
      </c>
      <c r="N111" s="2">
        <f t="shared" si="6"/>
        <v>58.279200000000003</v>
      </c>
      <c r="O111" s="2">
        <f t="shared" si="7"/>
        <v>5769.6408000000001</v>
      </c>
      <c r="P111" s="1">
        <v>183</v>
      </c>
      <c r="Q111" s="2">
        <v>291.39999999999998</v>
      </c>
      <c r="R111" s="2">
        <f t="shared" si="8"/>
        <v>1690.0408000000007</v>
      </c>
      <c r="S111" s="1" t="s">
        <v>1003</v>
      </c>
      <c r="T111" s="1" t="s">
        <v>1007</v>
      </c>
      <c r="U111" s="1" t="str">
        <f t="shared" si="9"/>
        <v>NO</v>
      </c>
    </row>
    <row r="112" spans="1:21" x14ac:dyDescent="0.3">
      <c r="A112" s="1" t="s">
        <v>273</v>
      </c>
      <c r="B112" s="1" t="s">
        <v>197</v>
      </c>
      <c r="C112" s="1" t="s">
        <v>198</v>
      </c>
      <c r="D112" s="1" t="s">
        <v>104</v>
      </c>
      <c r="E112" s="1" t="s">
        <v>1125</v>
      </c>
      <c r="F112" s="1" t="s">
        <v>1020</v>
      </c>
      <c r="G112" s="1" t="s">
        <v>1010</v>
      </c>
      <c r="H112" s="1">
        <v>13</v>
      </c>
      <c r="I112" s="1">
        <v>6</v>
      </c>
      <c r="J112" s="1" t="s">
        <v>2611</v>
      </c>
      <c r="K112" s="2">
        <v>107.56</v>
      </c>
      <c r="L112" s="6">
        <v>3</v>
      </c>
      <c r="M112" s="2">
        <f t="shared" si="5"/>
        <v>1398.28</v>
      </c>
      <c r="N112" s="2">
        <f t="shared" si="6"/>
        <v>41.948399999999999</v>
      </c>
      <c r="O112" s="2">
        <f t="shared" si="7"/>
        <v>1356.3316</v>
      </c>
      <c r="P112" s="1">
        <v>141</v>
      </c>
      <c r="Q112" s="2">
        <v>75.290000000000006</v>
      </c>
      <c r="R112" s="2">
        <f t="shared" si="8"/>
        <v>377.56159999999988</v>
      </c>
      <c r="S112" s="1" t="s">
        <v>1011</v>
      </c>
      <c r="T112" s="1" t="s">
        <v>1004</v>
      </c>
      <c r="U112" s="1" t="str">
        <f t="shared" si="9"/>
        <v>NO</v>
      </c>
    </row>
    <row r="113" spans="1:21" x14ac:dyDescent="0.3">
      <c r="A113" s="1" t="s">
        <v>274</v>
      </c>
      <c r="B113" s="1" t="s">
        <v>192</v>
      </c>
      <c r="C113" s="1" t="s">
        <v>193</v>
      </c>
      <c r="D113" s="1" t="s">
        <v>85</v>
      </c>
      <c r="E113" s="1" t="s">
        <v>1126</v>
      </c>
      <c r="F113" s="1" t="s">
        <v>1027</v>
      </c>
      <c r="G113" s="1" t="s">
        <v>1010</v>
      </c>
      <c r="H113" s="1">
        <v>9</v>
      </c>
      <c r="I113" s="1">
        <v>6</v>
      </c>
      <c r="J113" s="1" t="s">
        <v>2546</v>
      </c>
      <c r="K113" s="2">
        <v>416.28</v>
      </c>
      <c r="L113" s="6">
        <v>10</v>
      </c>
      <c r="M113" s="2">
        <f t="shared" si="5"/>
        <v>3746.5199999999995</v>
      </c>
      <c r="N113" s="2">
        <f t="shared" si="6"/>
        <v>374.65199999999999</v>
      </c>
      <c r="O113" s="2">
        <f t="shared" si="7"/>
        <v>3371.8679999999995</v>
      </c>
      <c r="P113" s="1">
        <v>84</v>
      </c>
      <c r="Q113" s="2">
        <v>291.39999999999998</v>
      </c>
      <c r="R113" s="2">
        <f t="shared" si="8"/>
        <v>749.26799999999957</v>
      </c>
      <c r="S113" s="1" t="s">
        <v>1016</v>
      </c>
      <c r="T113" s="1" t="s">
        <v>1004</v>
      </c>
      <c r="U113" s="1" t="str">
        <f t="shared" si="9"/>
        <v>YES</v>
      </c>
    </row>
    <row r="114" spans="1:21" x14ac:dyDescent="0.3">
      <c r="A114" s="1" t="s">
        <v>275</v>
      </c>
      <c r="B114" s="1" t="s">
        <v>172</v>
      </c>
      <c r="C114" s="1" t="s">
        <v>173</v>
      </c>
      <c r="D114" s="1" t="s">
        <v>132</v>
      </c>
      <c r="E114" s="1" t="s">
        <v>1127</v>
      </c>
      <c r="F114" s="1" t="s">
        <v>1020</v>
      </c>
      <c r="G114" s="1" t="s">
        <v>1010</v>
      </c>
      <c r="H114" s="1">
        <v>5</v>
      </c>
      <c r="I114" s="1">
        <v>6</v>
      </c>
      <c r="J114" s="1" t="s">
        <v>2548</v>
      </c>
      <c r="K114" s="2">
        <v>68.11</v>
      </c>
      <c r="L114" s="6">
        <v>2</v>
      </c>
      <c r="M114" s="2">
        <f t="shared" si="5"/>
        <v>340.55</v>
      </c>
      <c r="N114" s="2">
        <f t="shared" si="6"/>
        <v>6.8109999999999999</v>
      </c>
      <c r="O114" s="2">
        <f t="shared" si="7"/>
        <v>333.73900000000003</v>
      </c>
      <c r="P114" s="1">
        <v>52</v>
      </c>
      <c r="Q114" s="2">
        <v>47.68</v>
      </c>
      <c r="R114" s="2">
        <f t="shared" si="8"/>
        <v>95.339000000000027</v>
      </c>
      <c r="S114" s="1" t="s">
        <v>1016</v>
      </c>
      <c r="T114" s="1" t="s">
        <v>1004</v>
      </c>
      <c r="U114" s="1" t="str">
        <f t="shared" si="9"/>
        <v>YES</v>
      </c>
    </row>
    <row r="115" spans="1:21" x14ac:dyDescent="0.3">
      <c r="A115" s="1" t="s">
        <v>276</v>
      </c>
      <c r="B115" s="1" t="s">
        <v>83</v>
      </c>
      <c r="C115" s="1" t="s">
        <v>84</v>
      </c>
      <c r="D115" s="1" t="s">
        <v>85</v>
      </c>
      <c r="E115" s="1" t="s">
        <v>1128</v>
      </c>
      <c r="F115" s="1" t="s">
        <v>1006</v>
      </c>
      <c r="G115" s="1" t="s">
        <v>1023</v>
      </c>
      <c r="H115" s="1">
        <v>4</v>
      </c>
      <c r="I115" s="1">
        <v>4</v>
      </c>
      <c r="J115" s="1" t="s">
        <v>2612</v>
      </c>
      <c r="K115" s="2">
        <v>339.54</v>
      </c>
      <c r="L115" s="6">
        <v>21</v>
      </c>
      <c r="M115" s="2">
        <f t="shared" si="5"/>
        <v>1358.16</v>
      </c>
      <c r="N115" s="2">
        <f t="shared" si="6"/>
        <v>285.21359999999999</v>
      </c>
      <c r="O115" s="2">
        <f t="shared" si="7"/>
        <v>1072.9464</v>
      </c>
      <c r="P115" s="1">
        <v>175</v>
      </c>
      <c r="Q115" s="2">
        <v>237.68</v>
      </c>
      <c r="R115" s="2">
        <f t="shared" si="8"/>
        <v>122.22640000000001</v>
      </c>
      <c r="S115" s="1" t="s">
        <v>1003</v>
      </c>
      <c r="T115" s="1" t="s">
        <v>1004</v>
      </c>
      <c r="U115" s="1" t="str">
        <f t="shared" si="9"/>
        <v>NO</v>
      </c>
    </row>
    <row r="116" spans="1:21" x14ac:dyDescent="0.3">
      <c r="A116" s="1" t="s">
        <v>277</v>
      </c>
      <c r="B116" s="1" t="s">
        <v>52</v>
      </c>
      <c r="C116" s="1" t="s">
        <v>53</v>
      </c>
      <c r="D116" s="1" t="s">
        <v>47</v>
      </c>
      <c r="E116" s="1" t="s">
        <v>1129</v>
      </c>
      <c r="F116" s="1" t="s">
        <v>1013</v>
      </c>
      <c r="G116" s="1" t="s">
        <v>1002</v>
      </c>
      <c r="H116" s="1">
        <v>10</v>
      </c>
      <c r="I116" s="1">
        <v>5</v>
      </c>
      <c r="J116" s="1" t="s">
        <v>2613</v>
      </c>
      <c r="K116" s="2">
        <v>94.76</v>
      </c>
      <c r="L116" s="6">
        <v>19</v>
      </c>
      <c r="M116" s="2">
        <f t="shared" si="5"/>
        <v>947.6</v>
      </c>
      <c r="N116" s="2">
        <f t="shared" si="6"/>
        <v>180.04400000000001</v>
      </c>
      <c r="O116" s="2">
        <f t="shared" si="7"/>
        <v>767.55600000000004</v>
      </c>
      <c r="P116" s="1">
        <v>224</v>
      </c>
      <c r="Q116" s="2">
        <v>66.33</v>
      </c>
      <c r="R116" s="2">
        <f t="shared" si="8"/>
        <v>104.25600000000009</v>
      </c>
      <c r="S116" s="1" t="s">
        <v>1011</v>
      </c>
      <c r="T116" s="1" t="s">
        <v>1007</v>
      </c>
      <c r="U116" s="1" t="str">
        <f t="shared" si="9"/>
        <v>NO</v>
      </c>
    </row>
    <row r="117" spans="1:21" x14ac:dyDescent="0.3">
      <c r="A117" s="1" t="s">
        <v>278</v>
      </c>
      <c r="B117" s="1" t="s">
        <v>126</v>
      </c>
      <c r="C117" s="1" t="s">
        <v>127</v>
      </c>
      <c r="D117" s="1" t="s">
        <v>85</v>
      </c>
      <c r="E117" s="1" t="s">
        <v>1130</v>
      </c>
      <c r="F117" s="1" t="s">
        <v>1027</v>
      </c>
      <c r="G117" s="1" t="s">
        <v>1002</v>
      </c>
      <c r="H117" s="1">
        <v>6</v>
      </c>
      <c r="I117" s="1">
        <v>1</v>
      </c>
      <c r="J117" s="1" t="s">
        <v>2614</v>
      </c>
      <c r="K117" s="2">
        <v>378.25</v>
      </c>
      <c r="L117" s="6">
        <v>13</v>
      </c>
      <c r="M117" s="2">
        <f t="shared" si="5"/>
        <v>2269.5</v>
      </c>
      <c r="N117" s="2">
        <f t="shared" si="6"/>
        <v>295.03500000000003</v>
      </c>
      <c r="O117" s="2">
        <f t="shared" si="7"/>
        <v>1974.4649999999999</v>
      </c>
      <c r="P117" s="1">
        <v>71</v>
      </c>
      <c r="Q117" s="2">
        <v>264.77</v>
      </c>
      <c r="R117" s="2">
        <f t="shared" si="8"/>
        <v>385.84500000000003</v>
      </c>
      <c r="S117" s="1" t="s">
        <v>1016</v>
      </c>
      <c r="T117" s="1" t="s">
        <v>1007</v>
      </c>
      <c r="U117" s="1" t="str">
        <f t="shared" si="9"/>
        <v>YES</v>
      </c>
    </row>
    <row r="118" spans="1:21" x14ac:dyDescent="0.3">
      <c r="A118" s="1" t="s">
        <v>279</v>
      </c>
      <c r="B118" s="1" t="s">
        <v>102</v>
      </c>
      <c r="C118" s="1" t="s">
        <v>103</v>
      </c>
      <c r="D118" s="1" t="s">
        <v>104</v>
      </c>
      <c r="E118" s="1" t="s">
        <v>1131</v>
      </c>
      <c r="F118" s="1" t="s">
        <v>1009</v>
      </c>
      <c r="G118" s="1" t="s">
        <v>1002</v>
      </c>
      <c r="H118" s="1">
        <v>11</v>
      </c>
      <c r="I118" s="1">
        <v>4</v>
      </c>
      <c r="J118" s="1" t="s">
        <v>2615</v>
      </c>
      <c r="K118" s="2">
        <v>361.5</v>
      </c>
      <c r="L118" s="6">
        <v>11</v>
      </c>
      <c r="M118" s="2">
        <f t="shared" si="5"/>
        <v>3976.5</v>
      </c>
      <c r="N118" s="2">
        <f t="shared" si="6"/>
        <v>437.41500000000002</v>
      </c>
      <c r="O118" s="2">
        <f t="shared" si="7"/>
        <v>3539.085</v>
      </c>
      <c r="P118" s="1">
        <v>245</v>
      </c>
      <c r="Q118" s="2">
        <v>253.05</v>
      </c>
      <c r="R118" s="2">
        <f t="shared" si="8"/>
        <v>755.53499999999985</v>
      </c>
      <c r="S118" s="1" t="s">
        <v>1003</v>
      </c>
      <c r="T118" s="1" t="s">
        <v>1004</v>
      </c>
      <c r="U118" s="1" t="str">
        <f t="shared" si="9"/>
        <v>NO</v>
      </c>
    </row>
    <row r="119" spans="1:21" x14ac:dyDescent="0.3">
      <c r="A119" s="1" t="s">
        <v>281</v>
      </c>
      <c r="B119" s="1" t="s">
        <v>172</v>
      </c>
      <c r="C119" s="1" t="s">
        <v>173</v>
      </c>
      <c r="D119" s="1" t="s">
        <v>132</v>
      </c>
      <c r="E119" s="1" t="s">
        <v>1132</v>
      </c>
      <c r="F119" s="1" t="s">
        <v>1015</v>
      </c>
      <c r="G119" s="1" t="s">
        <v>1002</v>
      </c>
      <c r="H119" s="1">
        <v>8</v>
      </c>
      <c r="I119" s="1">
        <v>1</v>
      </c>
      <c r="J119" s="1" t="s">
        <v>2616</v>
      </c>
      <c r="K119" s="2">
        <v>386.73</v>
      </c>
      <c r="L119" s="6">
        <v>22</v>
      </c>
      <c r="M119" s="2">
        <f t="shared" si="5"/>
        <v>3093.84</v>
      </c>
      <c r="N119" s="2">
        <f t="shared" si="6"/>
        <v>680.64480000000015</v>
      </c>
      <c r="O119" s="2">
        <f t="shared" si="7"/>
        <v>2413.1952000000001</v>
      </c>
      <c r="P119" s="1">
        <v>265</v>
      </c>
      <c r="Q119" s="2">
        <v>270.70999999999998</v>
      </c>
      <c r="R119" s="2">
        <f t="shared" si="8"/>
        <v>247.51520000000028</v>
      </c>
      <c r="S119" s="1" t="s">
        <v>1016</v>
      </c>
      <c r="T119" s="1" t="s">
        <v>1004</v>
      </c>
      <c r="U119" s="1" t="str">
        <f t="shared" si="9"/>
        <v>YES</v>
      </c>
    </row>
    <row r="120" spans="1:21" x14ac:dyDescent="0.3">
      <c r="A120" s="1" t="s">
        <v>282</v>
      </c>
      <c r="B120" s="1" t="s">
        <v>111</v>
      </c>
      <c r="C120" s="1" t="s">
        <v>112</v>
      </c>
      <c r="D120" s="1" t="s">
        <v>97</v>
      </c>
      <c r="E120" s="1" t="s">
        <v>1133</v>
      </c>
      <c r="F120" s="1" t="s">
        <v>1020</v>
      </c>
      <c r="G120" s="1" t="s">
        <v>1010</v>
      </c>
      <c r="H120" s="1">
        <v>15</v>
      </c>
      <c r="I120" s="1">
        <v>4</v>
      </c>
      <c r="J120" s="1" t="s">
        <v>2617</v>
      </c>
      <c r="K120" s="2">
        <v>495.59</v>
      </c>
      <c r="L120" s="6">
        <v>9</v>
      </c>
      <c r="M120" s="2">
        <f t="shared" si="5"/>
        <v>7433.8499999999995</v>
      </c>
      <c r="N120" s="2">
        <f t="shared" si="6"/>
        <v>669.04649999999992</v>
      </c>
      <c r="O120" s="2">
        <f t="shared" si="7"/>
        <v>6764.8035</v>
      </c>
      <c r="P120" s="1">
        <v>235</v>
      </c>
      <c r="Q120" s="2">
        <v>346.91</v>
      </c>
      <c r="R120" s="2">
        <f t="shared" si="8"/>
        <v>1561.1534999999994</v>
      </c>
      <c r="S120" s="1" t="s">
        <v>1016</v>
      </c>
      <c r="T120" s="1" t="s">
        <v>1004</v>
      </c>
      <c r="U120" s="1" t="str">
        <f t="shared" si="9"/>
        <v>YES</v>
      </c>
    </row>
    <row r="121" spans="1:21" x14ac:dyDescent="0.3">
      <c r="A121" s="1" t="s">
        <v>283</v>
      </c>
      <c r="B121" s="1" t="s">
        <v>37</v>
      </c>
      <c r="C121" s="1" t="s">
        <v>38</v>
      </c>
      <c r="D121" s="1" t="s">
        <v>39</v>
      </c>
      <c r="E121" s="1" t="s">
        <v>1134</v>
      </c>
      <c r="F121" s="1" t="s">
        <v>1001</v>
      </c>
      <c r="G121" s="1" t="s">
        <v>1002</v>
      </c>
      <c r="H121" s="1">
        <v>4</v>
      </c>
      <c r="I121" s="1">
        <v>5</v>
      </c>
      <c r="J121" s="1" t="s">
        <v>2618</v>
      </c>
      <c r="K121" s="2">
        <v>373.9</v>
      </c>
      <c r="L121" s="6">
        <v>22</v>
      </c>
      <c r="M121" s="2">
        <f t="shared" si="5"/>
        <v>1495.6</v>
      </c>
      <c r="N121" s="2">
        <f t="shared" si="6"/>
        <v>329.03199999999998</v>
      </c>
      <c r="O121" s="2">
        <f t="shared" si="7"/>
        <v>1166.568</v>
      </c>
      <c r="P121" s="1">
        <v>144</v>
      </c>
      <c r="Q121" s="2">
        <v>261.73</v>
      </c>
      <c r="R121" s="2">
        <f t="shared" si="8"/>
        <v>119.64799999999991</v>
      </c>
      <c r="S121" s="1" t="s">
        <v>1016</v>
      </c>
      <c r="T121" s="1" t="s">
        <v>1007</v>
      </c>
      <c r="U121" s="1" t="str">
        <f t="shared" si="9"/>
        <v>YES</v>
      </c>
    </row>
    <row r="122" spans="1:21" x14ac:dyDescent="0.3">
      <c r="A122" s="1" t="s">
        <v>285</v>
      </c>
      <c r="B122" s="1" t="s">
        <v>172</v>
      </c>
      <c r="C122" s="1" t="s">
        <v>173</v>
      </c>
      <c r="D122" s="1" t="s">
        <v>132</v>
      </c>
      <c r="E122" s="1" t="s">
        <v>1135</v>
      </c>
      <c r="F122" s="1" t="s">
        <v>1009</v>
      </c>
      <c r="G122" s="1" t="s">
        <v>1023</v>
      </c>
      <c r="H122" s="1">
        <v>6</v>
      </c>
      <c r="I122" s="1">
        <v>4</v>
      </c>
      <c r="J122" s="1" t="s">
        <v>2619</v>
      </c>
      <c r="K122" s="2">
        <v>269.70999999999998</v>
      </c>
      <c r="L122" s="6">
        <v>15</v>
      </c>
      <c r="M122" s="2">
        <f t="shared" si="5"/>
        <v>1618.2599999999998</v>
      </c>
      <c r="N122" s="2">
        <f t="shared" si="6"/>
        <v>242.73899999999998</v>
      </c>
      <c r="O122" s="2">
        <f t="shared" si="7"/>
        <v>1375.5209999999997</v>
      </c>
      <c r="P122" s="1">
        <v>133</v>
      </c>
      <c r="Q122" s="2">
        <v>188.8</v>
      </c>
      <c r="R122" s="2">
        <f t="shared" si="8"/>
        <v>242.72099999999955</v>
      </c>
      <c r="S122" s="1" t="s">
        <v>1016</v>
      </c>
      <c r="T122" s="1" t="s">
        <v>1004</v>
      </c>
      <c r="U122" s="1" t="str">
        <f t="shared" si="9"/>
        <v>YES</v>
      </c>
    </row>
    <row r="123" spans="1:21" x14ac:dyDescent="0.3">
      <c r="A123" s="1" t="s">
        <v>286</v>
      </c>
      <c r="B123" s="1" t="s">
        <v>123</v>
      </c>
      <c r="C123" s="1" t="s">
        <v>124</v>
      </c>
      <c r="D123" s="1" t="s">
        <v>47</v>
      </c>
      <c r="E123" s="1" t="s">
        <v>1136</v>
      </c>
      <c r="F123" s="1" t="s">
        <v>1013</v>
      </c>
      <c r="G123" s="1" t="s">
        <v>1002</v>
      </c>
      <c r="H123" s="1">
        <v>7</v>
      </c>
      <c r="I123" s="1">
        <v>4</v>
      </c>
      <c r="J123" s="1" t="s">
        <v>2620</v>
      </c>
      <c r="K123" s="2">
        <v>273.47000000000003</v>
      </c>
      <c r="L123" s="6">
        <v>21</v>
      </c>
      <c r="M123" s="2">
        <f t="shared" si="5"/>
        <v>1914.2900000000002</v>
      </c>
      <c r="N123" s="2">
        <f t="shared" si="6"/>
        <v>402.00090000000006</v>
      </c>
      <c r="O123" s="2">
        <f t="shared" si="7"/>
        <v>1512.2891000000002</v>
      </c>
      <c r="P123" s="1">
        <v>223</v>
      </c>
      <c r="Q123" s="2">
        <v>191.43</v>
      </c>
      <c r="R123" s="2">
        <f t="shared" si="8"/>
        <v>172.2791000000002</v>
      </c>
      <c r="S123" s="1" t="s">
        <v>1003</v>
      </c>
      <c r="T123" s="1" t="s">
        <v>1004</v>
      </c>
      <c r="U123" s="1" t="str">
        <f t="shared" si="9"/>
        <v>NO</v>
      </c>
    </row>
    <row r="124" spans="1:21" x14ac:dyDescent="0.3">
      <c r="A124" s="1" t="s">
        <v>288</v>
      </c>
      <c r="B124" s="1" t="s">
        <v>192</v>
      </c>
      <c r="C124" s="1" t="s">
        <v>193</v>
      </c>
      <c r="D124" s="1" t="s">
        <v>85</v>
      </c>
      <c r="E124" s="1" t="s">
        <v>1137</v>
      </c>
      <c r="F124" s="1" t="s">
        <v>1009</v>
      </c>
      <c r="G124" s="1" t="s">
        <v>1010</v>
      </c>
      <c r="H124" s="1">
        <v>11</v>
      </c>
      <c r="I124" s="1">
        <v>7</v>
      </c>
      <c r="J124" s="1" t="s">
        <v>2621</v>
      </c>
      <c r="K124" s="2">
        <v>285.20999999999998</v>
      </c>
      <c r="L124" s="6">
        <v>3</v>
      </c>
      <c r="M124" s="2">
        <f t="shared" si="5"/>
        <v>3137.31</v>
      </c>
      <c r="N124" s="2">
        <f t="shared" si="6"/>
        <v>94.11930000000001</v>
      </c>
      <c r="O124" s="2">
        <f t="shared" si="7"/>
        <v>3043.1907000000001</v>
      </c>
      <c r="P124" s="1">
        <v>154</v>
      </c>
      <c r="Q124" s="2">
        <v>199.65</v>
      </c>
      <c r="R124" s="2">
        <f t="shared" si="8"/>
        <v>847.04070000000002</v>
      </c>
      <c r="S124" s="1" t="s">
        <v>1003</v>
      </c>
      <c r="T124" s="1" t="s">
        <v>1004</v>
      </c>
      <c r="U124" s="1" t="str">
        <f t="shared" si="9"/>
        <v>NO</v>
      </c>
    </row>
    <row r="125" spans="1:21" x14ac:dyDescent="0.3">
      <c r="A125" s="1" t="s">
        <v>290</v>
      </c>
      <c r="B125" s="1" t="s">
        <v>63</v>
      </c>
      <c r="C125" s="1" t="s">
        <v>64</v>
      </c>
      <c r="D125" s="1" t="s">
        <v>28</v>
      </c>
      <c r="E125" s="1" t="s">
        <v>1138</v>
      </c>
      <c r="F125" s="1" t="s">
        <v>1015</v>
      </c>
      <c r="G125" s="1" t="s">
        <v>1002</v>
      </c>
      <c r="H125" s="1">
        <v>14</v>
      </c>
      <c r="I125" s="1">
        <v>7</v>
      </c>
      <c r="J125" s="1" t="s">
        <v>2539</v>
      </c>
      <c r="K125" s="2">
        <v>46.06</v>
      </c>
      <c r="L125" s="6">
        <v>15</v>
      </c>
      <c r="M125" s="2">
        <f t="shared" si="5"/>
        <v>644.84</v>
      </c>
      <c r="N125" s="2">
        <f t="shared" si="6"/>
        <v>96.725999999999999</v>
      </c>
      <c r="O125" s="2">
        <f t="shared" si="7"/>
        <v>548.11400000000003</v>
      </c>
      <c r="P125" s="1">
        <v>54</v>
      </c>
      <c r="Q125" s="2">
        <v>32.24</v>
      </c>
      <c r="R125" s="2">
        <f t="shared" si="8"/>
        <v>96.754000000000019</v>
      </c>
      <c r="S125" s="1" t="s">
        <v>1016</v>
      </c>
      <c r="T125" s="1" t="s">
        <v>1004</v>
      </c>
      <c r="U125" s="1" t="str">
        <f t="shared" si="9"/>
        <v>YES</v>
      </c>
    </row>
    <row r="126" spans="1:21" x14ac:dyDescent="0.3">
      <c r="A126" s="1" t="s">
        <v>291</v>
      </c>
      <c r="B126" s="1" t="s">
        <v>189</v>
      </c>
      <c r="C126" s="1" t="s">
        <v>190</v>
      </c>
      <c r="D126" s="1" t="s">
        <v>59</v>
      </c>
      <c r="E126" s="1" t="s">
        <v>1139</v>
      </c>
      <c r="F126" s="1" t="s">
        <v>1006</v>
      </c>
      <c r="G126" s="1" t="s">
        <v>1010</v>
      </c>
      <c r="H126" s="1">
        <v>10</v>
      </c>
      <c r="I126" s="1">
        <v>6</v>
      </c>
      <c r="J126" s="1" t="s">
        <v>2622</v>
      </c>
      <c r="K126" s="2">
        <v>438.7</v>
      </c>
      <c r="L126" s="6">
        <v>3</v>
      </c>
      <c r="M126" s="2">
        <f t="shared" si="5"/>
        <v>4387</v>
      </c>
      <c r="N126" s="2">
        <f t="shared" si="6"/>
        <v>131.61000000000001</v>
      </c>
      <c r="O126" s="2">
        <f t="shared" si="7"/>
        <v>4255.3900000000003</v>
      </c>
      <c r="P126" s="1">
        <v>272</v>
      </c>
      <c r="Q126" s="2">
        <v>307.08999999999997</v>
      </c>
      <c r="R126" s="2">
        <f t="shared" si="8"/>
        <v>1184.4900000000007</v>
      </c>
      <c r="S126" s="1" t="s">
        <v>1003</v>
      </c>
      <c r="T126" s="1" t="s">
        <v>1004</v>
      </c>
      <c r="U126" s="1" t="str">
        <f t="shared" si="9"/>
        <v>NO</v>
      </c>
    </row>
    <row r="127" spans="1:21" x14ac:dyDescent="0.3">
      <c r="A127" s="1" t="s">
        <v>293</v>
      </c>
      <c r="B127" s="1" t="s">
        <v>102</v>
      </c>
      <c r="C127" s="1" t="s">
        <v>103</v>
      </c>
      <c r="D127" s="1" t="s">
        <v>104</v>
      </c>
      <c r="E127" s="1" t="s">
        <v>1140</v>
      </c>
      <c r="F127" s="1" t="s">
        <v>1006</v>
      </c>
      <c r="G127" s="1" t="s">
        <v>1023</v>
      </c>
      <c r="H127" s="1">
        <v>11</v>
      </c>
      <c r="I127" s="1">
        <v>5</v>
      </c>
      <c r="J127" s="1" t="s">
        <v>2623</v>
      </c>
      <c r="K127" s="2">
        <v>455.92</v>
      </c>
      <c r="L127" s="6">
        <v>19</v>
      </c>
      <c r="M127" s="2">
        <f t="shared" si="5"/>
        <v>5015.12</v>
      </c>
      <c r="N127" s="2">
        <f t="shared" si="6"/>
        <v>952.87279999999998</v>
      </c>
      <c r="O127" s="2">
        <f t="shared" si="7"/>
        <v>4062.2471999999998</v>
      </c>
      <c r="P127" s="1">
        <v>175</v>
      </c>
      <c r="Q127" s="2">
        <v>319.14</v>
      </c>
      <c r="R127" s="2">
        <f t="shared" si="8"/>
        <v>551.70719999999983</v>
      </c>
      <c r="S127" s="1" t="s">
        <v>1011</v>
      </c>
      <c r="T127" s="1" t="s">
        <v>1004</v>
      </c>
      <c r="U127" s="1" t="str">
        <f t="shared" si="9"/>
        <v>NO</v>
      </c>
    </row>
    <row r="128" spans="1:21" x14ac:dyDescent="0.3">
      <c r="A128" s="1" t="s">
        <v>294</v>
      </c>
      <c r="B128" s="1" t="s">
        <v>123</v>
      </c>
      <c r="C128" s="1" t="s">
        <v>124</v>
      </c>
      <c r="D128" s="1" t="s">
        <v>47</v>
      </c>
      <c r="E128" s="1" t="s">
        <v>1141</v>
      </c>
      <c r="F128" s="1" t="s">
        <v>1027</v>
      </c>
      <c r="G128" s="1" t="s">
        <v>1002</v>
      </c>
      <c r="H128" s="1">
        <v>11</v>
      </c>
      <c r="I128" s="1">
        <v>7</v>
      </c>
      <c r="J128" s="1" t="s">
        <v>2624</v>
      </c>
      <c r="K128" s="2">
        <v>396.83</v>
      </c>
      <c r="L128" s="6">
        <v>7</v>
      </c>
      <c r="M128" s="2">
        <f t="shared" si="5"/>
        <v>4365.13</v>
      </c>
      <c r="N128" s="2">
        <f t="shared" si="6"/>
        <v>305.5591</v>
      </c>
      <c r="O128" s="2">
        <f t="shared" si="7"/>
        <v>4059.5709000000002</v>
      </c>
      <c r="P128" s="1">
        <v>170</v>
      </c>
      <c r="Q128" s="2">
        <v>277.77999999999997</v>
      </c>
      <c r="R128" s="2">
        <f t="shared" si="8"/>
        <v>1003.9909000000002</v>
      </c>
      <c r="S128" s="1" t="s">
        <v>1011</v>
      </c>
      <c r="T128" s="1" t="s">
        <v>1007</v>
      </c>
      <c r="U128" s="1" t="str">
        <f t="shared" si="9"/>
        <v>NO</v>
      </c>
    </row>
    <row r="129" spans="1:21" x14ac:dyDescent="0.3">
      <c r="A129" s="1" t="s">
        <v>295</v>
      </c>
      <c r="B129" s="1" t="s">
        <v>83</v>
      </c>
      <c r="C129" s="1" t="s">
        <v>84</v>
      </c>
      <c r="D129" s="1" t="s">
        <v>85</v>
      </c>
      <c r="E129" s="1" t="s">
        <v>1142</v>
      </c>
      <c r="F129" s="1" t="s">
        <v>1001</v>
      </c>
      <c r="G129" s="1" t="s">
        <v>1010</v>
      </c>
      <c r="H129" s="1">
        <v>9</v>
      </c>
      <c r="I129" s="1">
        <v>7</v>
      </c>
      <c r="J129" s="1" t="s">
        <v>2607</v>
      </c>
      <c r="K129" s="2">
        <v>52.5</v>
      </c>
      <c r="L129" s="6">
        <v>11</v>
      </c>
      <c r="M129" s="2">
        <f t="shared" si="5"/>
        <v>472.5</v>
      </c>
      <c r="N129" s="2">
        <f t="shared" si="6"/>
        <v>51.975000000000001</v>
      </c>
      <c r="O129" s="2">
        <f t="shared" si="7"/>
        <v>420.52499999999998</v>
      </c>
      <c r="P129" s="1">
        <v>72</v>
      </c>
      <c r="Q129" s="2">
        <v>36.75</v>
      </c>
      <c r="R129" s="2">
        <f t="shared" si="8"/>
        <v>89.774999999999977</v>
      </c>
      <c r="S129" s="1" t="s">
        <v>1003</v>
      </c>
      <c r="T129" s="1" t="s">
        <v>1007</v>
      </c>
      <c r="U129" s="1" t="str">
        <f t="shared" si="9"/>
        <v>NO</v>
      </c>
    </row>
    <row r="130" spans="1:21" x14ac:dyDescent="0.3">
      <c r="A130" s="1" t="s">
        <v>296</v>
      </c>
      <c r="B130" s="1" t="s">
        <v>189</v>
      </c>
      <c r="C130" s="1" t="s">
        <v>190</v>
      </c>
      <c r="D130" s="1" t="s">
        <v>59</v>
      </c>
      <c r="E130" s="1" t="s">
        <v>1143</v>
      </c>
      <c r="F130" s="1" t="s">
        <v>1015</v>
      </c>
      <c r="G130" s="1" t="s">
        <v>1023</v>
      </c>
      <c r="H130" s="1">
        <v>7</v>
      </c>
      <c r="I130" s="1">
        <v>5</v>
      </c>
      <c r="J130" s="1" t="s">
        <v>2625</v>
      </c>
      <c r="K130" s="2">
        <v>251.25</v>
      </c>
      <c r="L130" s="6">
        <v>12</v>
      </c>
      <c r="M130" s="2">
        <f t="shared" ref="M130:M193" si="10">H130*K130</f>
        <v>1758.75</v>
      </c>
      <c r="N130" s="2">
        <f t="shared" ref="N130:N193" si="11">M130*L130/100</f>
        <v>211.05</v>
      </c>
      <c r="O130" s="2">
        <f t="shared" ref="O130:O193" si="12">M130-N130</f>
        <v>1547.7</v>
      </c>
      <c r="P130" s="1">
        <v>249</v>
      </c>
      <c r="Q130" s="2">
        <v>175.88</v>
      </c>
      <c r="R130" s="2">
        <f t="shared" ref="R130:R193" si="13">O130-(H130*Q130)</f>
        <v>316.54000000000019</v>
      </c>
      <c r="S130" s="1" t="s">
        <v>1011</v>
      </c>
      <c r="T130" s="1" t="s">
        <v>1004</v>
      </c>
      <c r="U130" s="1" t="str">
        <f t="shared" ref="U130:U193" si="14">IF(S130="Delivered","YES","NO")</f>
        <v>NO</v>
      </c>
    </row>
    <row r="131" spans="1:21" x14ac:dyDescent="0.3">
      <c r="A131" s="1" t="s">
        <v>297</v>
      </c>
      <c r="B131" s="1" t="s">
        <v>172</v>
      </c>
      <c r="C131" s="1" t="s">
        <v>173</v>
      </c>
      <c r="D131" s="1" t="s">
        <v>132</v>
      </c>
      <c r="E131" s="1" t="s">
        <v>1144</v>
      </c>
      <c r="F131" s="1" t="s">
        <v>1020</v>
      </c>
      <c r="G131" s="1" t="s">
        <v>1010</v>
      </c>
      <c r="H131" s="1">
        <v>12</v>
      </c>
      <c r="I131" s="1">
        <v>4</v>
      </c>
      <c r="J131" s="1" t="s">
        <v>2545</v>
      </c>
      <c r="K131" s="2">
        <v>443.79</v>
      </c>
      <c r="L131" s="6">
        <v>21</v>
      </c>
      <c r="M131" s="2">
        <f t="shared" si="10"/>
        <v>5325.4800000000005</v>
      </c>
      <c r="N131" s="2">
        <f t="shared" si="11"/>
        <v>1118.3508000000002</v>
      </c>
      <c r="O131" s="2">
        <f t="shared" si="12"/>
        <v>4207.1292000000003</v>
      </c>
      <c r="P131" s="1">
        <v>117</v>
      </c>
      <c r="Q131" s="2">
        <v>310.64999999999998</v>
      </c>
      <c r="R131" s="2">
        <f t="shared" si="13"/>
        <v>479.32920000000058</v>
      </c>
      <c r="S131" s="1" t="s">
        <v>1011</v>
      </c>
      <c r="T131" s="1" t="s">
        <v>1007</v>
      </c>
      <c r="U131" s="1" t="str">
        <f t="shared" si="14"/>
        <v>NO</v>
      </c>
    </row>
    <row r="132" spans="1:21" x14ac:dyDescent="0.3">
      <c r="A132" s="1" t="s">
        <v>298</v>
      </c>
      <c r="B132" s="1" t="s">
        <v>299</v>
      </c>
      <c r="C132" s="1" t="s">
        <v>300</v>
      </c>
      <c r="D132" s="1" t="s">
        <v>39</v>
      </c>
      <c r="E132" s="1" t="s">
        <v>1145</v>
      </c>
      <c r="F132" s="1" t="s">
        <v>1013</v>
      </c>
      <c r="G132" s="1" t="s">
        <v>1010</v>
      </c>
      <c r="H132" s="1">
        <v>1</v>
      </c>
      <c r="I132" s="1">
        <v>4</v>
      </c>
      <c r="J132" s="1" t="s">
        <v>2626</v>
      </c>
      <c r="K132" s="2">
        <v>106.33</v>
      </c>
      <c r="L132" s="6">
        <v>16</v>
      </c>
      <c r="M132" s="2">
        <f t="shared" si="10"/>
        <v>106.33</v>
      </c>
      <c r="N132" s="2">
        <f t="shared" si="11"/>
        <v>17.012799999999999</v>
      </c>
      <c r="O132" s="2">
        <f t="shared" si="12"/>
        <v>89.3172</v>
      </c>
      <c r="P132" s="1">
        <v>148</v>
      </c>
      <c r="Q132" s="2">
        <v>74.430000000000007</v>
      </c>
      <c r="R132" s="2">
        <f t="shared" si="13"/>
        <v>14.887199999999993</v>
      </c>
      <c r="S132" s="1" t="s">
        <v>1011</v>
      </c>
      <c r="T132" s="1" t="s">
        <v>1007</v>
      </c>
      <c r="U132" s="1" t="str">
        <f t="shared" si="14"/>
        <v>NO</v>
      </c>
    </row>
    <row r="133" spans="1:21" x14ac:dyDescent="0.3">
      <c r="A133" s="1" t="s">
        <v>301</v>
      </c>
      <c r="B133" s="1" t="s">
        <v>166</v>
      </c>
      <c r="C133" s="1" t="s">
        <v>167</v>
      </c>
      <c r="D133" s="1" t="s">
        <v>59</v>
      </c>
      <c r="E133" s="1" t="s">
        <v>1146</v>
      </c>
      <c r="F133" s="1" t="s">
        <v>1020</v>
      </c>
      <c r="G133" s="1" t="s">
        <v>1010</v>
      </c>
      <c r="H133" s="1">
        <v>1</v>
      </c>
      <c r="I133" s="1">
        <v>6</v>
      </c>
      <c r="J133" s="1" t="s">
        <v>2627</v>
      </c>
      <c r="K133" s="2">
        <v>195.97</v>
      </c>
      <c r="L133" s="6">
        <v>1</v>
      </c>
      <c r="M133" s="2">
        <f t="shared" si="10"/>
        <v>195.97</v>
      </c>
      <c r="N133" s="2">
        <f t="shared" si="11"/>
        <v>1.9597</v>
      </c>
      <c r="O133" s="2">
        <f t="shared" si="12"/>
        <v>194.0103</v>
      </c>
      <c r="P133" s="1">
        <v>285</v>
      </c>
      <c r="Q133" s="2">
        <v>137.18</v>
      </c>
      <c r="R133" s="2">
        <f t="shared" si="13"/>
        <v>56.830299999999994</v>
      </c>
      <c r="S133" s="1" t="s">
        <v>1011</v>
      </c>
      <c r="T133" s="1" t="s">
        <v>1007</v>
      </c>
      <c r="U133" s="1" t="str">
        <f t="shared" si="14"/>
        <v>NO</v>
      </c>
    </row>
    <row r="134" spans="1:21" x14ac:dyDescent="0.3">
      <c r="A134" s="1" t="s">
        <v>303</v>
      </c>
      <c r="B134" s="1" t="s">
        <v>130</v>
      </c>
      <c r="C134" s="1" t="s">
        <v>131</v>
      </c>
      <c r="D134" s="1" t="s">
        <v>132</v>
      </c>
      <c r="E134" s="1" t="s">
        <v>1147</v>
      </c>
      <c r="F134" s="1" t="s">
        <v>1015</v>
      </c>
      <c r="G134" s="1" t="s">
        <v>1010</v>
      </c>
      <c r="H134" s="1">
        <v>10</v>
      </c>
      <c r="I134" s="1">
        <v>1</v>
      </c>
      <c r="J134" s="1" t="s">
        <v>2627</v>
      </c>
      <c r="K134" s="2">
        <v>106.3</v>
      </c>
      <c r="L134" s="6">
        <v>9</v>
      </c>
      <c r="M134" s="2">
        <f t="shared" si="10"/>
        <v>1063</v>
      </c>
      <c r="N134" s="2">
        <f t="shared" si="11"/>
        <v>95.67</v>
      </c>
      <c r="O134" s="2">
        <f t="shared" si="12"/>
        <v>967.33</v>
      </c>
      <c r="P134" s="1">
        <v>112</v>
      </c>
      <c r="Q134" s="2">
        <v>74.41</v>
      </c>
      <c r="R134" s="2">
        <f t="shared" si="13"/>
        <v>223.23000000000013</v>
      </c>
      <c r="S134" s="1" t="s">
        <v>1016</v>
      </c>
      <c r="T134" s="1" t="s">
        <v>1004</v>
      </c>
      <c r="U134" s="1" t="str">
        <f t="shared" si="14"/>
        <v>YES</v>
      </c>
    </row>
    <row r="135" spans="1:21" x14ac:dyDescent="0.3">
      <c r="A135" s="1" t="s">
        <v>304</v>
      </c>
      <c r="B135" s="1" t="s">
        <v>83</v>
      </c>
      <c r="C135" s="1" t="s">
        <v>84</v>
      </c>
      <c r="D135" s="1" t="s">
        <v>85</v>
      </c>
      <c r="E135" s="1" t="s">
        <v>1148</v>
      </c>
      <c r="F135" s="1" t="s">
        <v>1015</v>
      </c>
      <c r="G135" s="1" t="s">
        <v>1010</v>
      </c>
      <c r="H135" s="1">
        <v>2</v>
      </c>
      <c r="I135" s="1">
        <v>3</v>
      </c>
      <c r="J135" s="1" t="s">
        <v>2628</v>
      </c>
      <c r="K135" s="2">
        <v>173.18</v>
      </c>
      <c r="L135" s="6">
        <v>7</v>
      </c>
      <c r="M135" s="2">
        <f t="shared" si="10"/>
        <v>346.36</v>
      </c>
      <c r="N135" s="2">
        <f t="shared" si="11"/>
        <v>24.245200000000001</v>
      </c>
      <c r="O135" s="2">
        <f t="shared" si="12"/>
        <v>322.1148</v>
      </c>
      <c r="P135" s="1">
        <v>69</v>
      </c>
      <c r="Q135" s="2">
        <v>121.23</v>
      </c>
      <c r="R135" s="2">
        <f t="shared" si="13"/>
        <v>79.654799999999994</v>
      </c>
      <c r="S135" s="1" t="s">
        <v>1016</v>
      </c>
      <c r="T135" s="1" t="s">
        <v>1007</v>
      </c>
      <c r="U135" s="1" t="str">
        <f t="shared" si="14"/>
        <v>YES</v>
      </c>
    </row>
    <row r="136" spans="1:21" x14ac:dyDescent="0.3">
      <c r="A136" s="1" t="s">
        <v>305</v>
      </c>
      <c r="B136" s="1" t="s">
        <v>172</v>
      </c>
      <c r="C136" s="1" t="s">
        <v>173</v>
      </c>
      <c r="D136" s="1" t="s">
        <v>132</v>
      </c>
      <c r="E136" s="1" t="s">
        <v>1149</v>
      </c>
      <c r="F136" s="1" t="s">
        <v>1009</v>
      </c>
      <c r="G136" s="1" t="s">
        <v>1010</v>
      </c>
      <c r="H136" s="1">
        <v>14</v>
      </c>
      <c r="I136" s="1">
        <v>2</v>
      </c>
      <c r="J136" s="1" t="s">
        <v>2629</v>
      </c>
      <c r="K136" s="2">
        <v>404</v>
      </c>
      <c r="L136" s="6">
        <v>23</v>
      </c>
      <c r="M136" s="2">
        <f t="shared" si="10"/>
        <v>5656</v>
      </c>
      <c r="N136" s="2">
        <f t="shared" si="11"/>
        <v>1300.8800000000001</v>
      </c>
      <c r="O136" s="2">
        <f t="shared" si="12"/>
        <v>4355.12</v>
      </c>
      <c r="P136" s="1">
        <v>129</v>
      </c>
      <c r="Q136" s="2">
        <v>282.8</v>
      </c>
      <c r="R136" s="2">
        <f t="shared" si="13"/>
        <v>395.91999999999962</v>
      </c>
      <c r="S136" s="1" t="s">
        <v>1016</v>
      </c>
      <c r="T136" s="1" t="s">
        <v>1004</v>
      </c>
      <c r="U136" s="1" t="str">
        <f t="shared" si="14"/>
        <v>YES</v>
      </c>
    </row>
    <row r="137" spans="1:21" x14ac:dyDescent="0.3">
      <c r="A137" s="1" t="s">
        <v>306</v>
      </c>
      <c r="B137" s="1" t="s">
        <v>52</v>
      </c>
      <c r="C137" s="1" t="s">
        <v>53</v>
      </c>
      <c r="D137" s="1" t="s">
        <v>47</v>
      </c>
      <c r="E137" s="1" t="s">
        <v>1150</v>
      </c>
      <c r="F137" s="1" t="s">
        <v>1027</v>
      </c>
      <c r="G137" s="1" t="s">
        <v>1002</v>
      </c>
      <c r="H137" s="1">
        <v>5</v>
      </c>
      <c r="I137" s="1">
        <v>3</v>
      </c>
      <c r="J137" s="1" t="s">
        <v>2630</v>
      </c>
      <c r="K137" s="2">
        <v>344.75</v>
      </c>
      <c r="L137" s="6">
        <v>17</v>
      </c>
      <c r="M137" s="2">
        <f t="shared" si="10"/>
        <v>1723.75</v>
      </c>
      <c r="N137" s="2">
        <f t="shared" si="11"/>
        <v>293.03750000000002</v>
      </c>
      <c r="O137" s="2">
        <f t="shared" si="12"/>
        <v>1430.7125000000001</v>
      </c>
      <c r="P137" s="1">
        <v>196</v>
      </c>
      <c r="Q137" s="2">
        <v>241.32</v>
      </c>
      <c r="R137" s="2">
        <f t="shared" si="13"/>
        <v>224.11250000000018</v>
      </c>
      <c r="S137" s="1" t="s">
        <v>1003</v>
      </c>
      <c r="T137" s="1" t="s">
        <v>1004</v>
      </c>
      <c r="U137" s="1" t="str">
        <f t="shared" si="14"/>
        <v>NO</v>
      </c>
    </row>
    <row r="138" spans="1:21" x14ac:dyDescent="0.3">
      <c r="A138" s="1" t="s">
        <v>307</v>
      </c>
      <c r="B138" s="1" t="s">
        <v>52</v>
      </c>
      <c r="C138" s="1" t="s">
        <v>53</v>
      </c>
      <c r="D138" s="1" t="s">
        <v>47</v>
      </c>
      <c r="E138" s="1" t="s">
        <v>1151</v>
      </c>
      <c r="F138" s="1" t="s">
        <v>1009</v>
      </c>
      <c r="G138" s="1" t="s">
        <v>1010</v>
      </c>
      <c r="H138" s="1">
        <v>8</v>
      </c>
      <c r="I138" s="1">
        <v>2</v>
      </c>
      <c r="J138" s="1" t="s">
        <v>2618</v>
      </c>
      <c r="K138" s="2">
        <v>392.33</v>
      </c>
      <c r="L138" s="6">
        <v>18</v>
      </c>
      <c r="M138" s="2">
        <f t="shared" si="10"/>
        <v>3138.64</v>
      </c>
      <c r="N138" s="2">
        <f t="shared" si="11"/>
        <v>564.95519999999999</v>
      </c>
      <c r="O138" s="2">
        <f t="shared" si="12"/>
        <v>2573.6848</v>
      </c>
      <c r="P138" s="1">
        <v>218</v>
      </c>
      <c r="Q138" s="2">
        <v>274.63</v>
      </c>
      <c r="R138" s="2">
        <f t="shared" si="13"/>
        <v>376.64480000000003</v>
      </c>
      <c r="S138" s="1" t="s">
        <v>1016</v>
      </c>
      <c r="T138" s="1" t="s">
        <v>1007</v>
      </c>
      <c r="U138" s="1" t="str">
        <f t="shared" si="14"/>
        <v>YES</v>
      </c>
    </row>
    <row r="139" spans="1:21" x14ac:dyDescent="0.3">
      <c r="A139" s="1" t="s">
        <v>308</v>
      </c>
      <c r="B139" s="1" t="s">
        <v>237</v>
      </c>
      <c r="C139" s="1" t="s">
        <v>238</v>
      </c>
      <c r="D139" s="1" t="s">
        <v>85</v>
      </c>
      <c r="E139" s="1" t="s">
        <v>1152</v>
      </c>
      <c r="F139" s="1" t="s">
        <v>1001</v>
      </c>
      <c r="G139" s="1" t="s">
        <v>1023</v>
      </c>
      <c r="H139" s="1">
        <v>10</v>
      </c>
      <c r="I139" s="1">
        <v>3</v>
      </c>
      <c r="J139" s="1" t="s">
        <v>2631</v>
      </c>
      <c r="K139" s="2">
        <v>347.21</v>
      </c>
      <c r="L139" s="6">
        <v>12</v>
      </c>
      <c r="M139" s="2">
        <f t="shared" si="10"/>
        <v>3472.1</v>
      </c>
      <c r="N139" s="2">
        <f t="shared" si="11"/>
        <v>416.65199999999999</v>
      </c>
      <c r="O139" s="2">
        <f t="shared" si="12"/>
        <v>3055.4479999999999</v>
      </c>
      <c r="P139" s="1">
        <v>271</v>
      </c>
      <c r="Q139" s="2">
        <v>243.05</v>
      </c>
      <c r="R139" s="2">
        <f t="shared" si="13"/>
        <v>624.94799999999987</v>
      </c>
      <c r="S139" s="1" t="s">
        <v>1003</v>
      </c>
      <c r="T139" s="1" t="s">
        <v>1007</v>
      </c>
      <c r="U139" s="1" t="str">
        <f t="shared" si="14"/>
        <v>NO</v>
      </c>
    </row>
    <row r="140" spans="1:21" x14ac:dyDescent="0.3">
      <c r="A140" s="1" t="s">
        <v>310</v>
      </c>
      <c r="B140" s="1" t="s">
        <v>95</v>
      </c>
      <c r="C140" s="1" t="s">
        <v>96</v>
      </c>
      <c r="D140" s="1" t="s">
        <v>97</v>
      </c>
      <c r="E140" s="1" t="s">
        <v>1153</v>
      </c>
      <c r="F140" s="1" t="s">
        <v>1009</v>
      </c>
      <c r="G140" s="1" t="s">
        <v>1023</v>
      </c>
      <c r="H140" s="1">
        <v>1</v>
      </c>
      <c r="I140" s="1">
        <v>7</v>
      </c>
      <c r="J140" s="1" t="s">
        <v>2598</v>
      </c>
      <c r="K140" s="2">
        <v>205.43</v>
      </c>
      <c r="L140" s="6">
        <v>6</v>
      </c>
      <c r="M140" s="2">
        <f t="shared" si="10"/>
        <v>205.43</v>
      </c>
      <c r="N140" s="2">
        <f t="shared" si="11"/>
        <v>12.325799999999999</v>
      </c>
      <c r="O140" s="2">
        <f t="shared" si="12"/>
        <v>193.10420000000002</v>
      </c>
      <c r="P140" s="1">
        <v>183</v>
      </c>
      <c r="Q140" s="2">
        <v>143.80000000000001</v>
      </c>
      <c r="R140" s="2">
        <f t="shared" si="13"/>
        <v>49.304200000000009</v>
      </c>
      <c r="S140" s="1" t="s">
        <v>1003</v>
      </c>
      <c r="T140" s="1" t="s">
        <v>1007</v>
      </c>
      <c r="U140" s="1" t="str">
        <f t="shared" si="14"/>
        <v>NO</v>
      </c>
    </row>
    <row r="141" spans="1:21" x14ac:dyDescent="0.3">
      <c r="A141" s="1" t="s">
        <v>312</v>
      </c>
      <c r="B141" s="1" t="s">
        <v>118</v>
      </c>
      <c r="C141" s="1" t="s">
        <v>119</v>
      </c>
      <c r="D141" s="1" t="s">
        <v>97</v>
      </c>
      <c r="E141" s="1" t="s">
        <v>1154</v>
      </c>
      <c r="F141" s="1" t="s">
        <v>1013</v>
      </c>
      <c r="G141" s="1" t="s">
        <v>1023</v>
      </c>
      <c r="H141" s="1">
        <v>6</v>
      </c>
      <c r="I141" s="1">
        <v>7</v>
      </c>
      <c r="J141" s="1" t="s">
        <v>2632</v>
      </c>
      <c r="K141" s="2">
        <v>67.88</v>
      </c>
      <c r="L141" s="6">
        <v>6</v>
      </c>
      <c r="M141" s="2">
        <f t="shared" si="10"/>
        <v>407.28</v>
      </c>
      <c r="N141" s="2">
        <f t="shared" si="11"/>
        <v>24.436799999999998</v>
      </c>
      <c r="O141" s="2">
        <f t="shared" si="12"/>
        <v>382.84319999999997</v>
      </c>
      <c r="P141" s="1">
        <v>80</v>
      </c>
      <c r="Q141" s="2">
        <v>47.52</v>
      </c>
      <c r="R141" s="2">
        <f t="shared" si="13"/>
        <v>97.723199999999963</v>
      </c>
      <c r="S141" s="1" t="s">
        <v>1003</v>
      </c>
      <c r="T141" s="1" t="s">
        <v>1004</v>
      </c>
      <c r="U141" s="1" t="str">
        <f t="shared" si="14"/>
        <v>NO</v>
      </c>
    </row>
    <row r="142" spans="1:21" x14ac:dyDescent="0.3">
      <c r="A142" s="1" t="s">
        <v>313</v>
      </c>
      <c r="B142" s="1" t="s">
        <v>172</v>
      </c>
      <c r="C142" s="1" t="s">
        <v>173</v>
      </c>
      <c r="D142" s="1" t="s">
        <v>132</v>
      </c>
      <c r="E142" s="1" t="s">
        <v>1155</v>
      </c>
      <c r="F142" s="1" t="s">
        <v>1027</v>
      </c>
      <c r="G142" s="1" t="s">
        <v>1010</v>
      </c>
      <c r="H142" s="1">
        <v>11</v>
      </c>
      <c r="I142" s="1">
        <v>1</v>
      </c>
      <c r="J142" s="1" t="s">
        <v>2581</v>
      </c>
      <c r="K142" s="2">
        <v>445.29</v>
      </c>
      <c r="L142" s="6">
        <v>16</v>
      </c>
      <c r="M142" s="2">
        <f t="shared" si="10"/>
        <v>4898.1900000000005</v>
      </c>
      <c r="N142" s="2">
        <f t="shared" si="11"/>
        <v>783.71040000000005</v>
      </c>
      <c r="O142" s="2">
        <f t="shared" si="12"/>
        <v>4114.4796000000006</v>
      </c>
      <c r="P142" s="1">
        <v>179</v>
      </c>
      <c r="Q142" s="2">
        <v>311.7</v>
      </c>
      <c r="R142" s="2">
        <f t="shared" si="13"/>
        <v>685.77960000000076</v>
      </c>
      <c r="S142" s="1" t="s">
        <v>1016</v>
      </c>
      <c r="T142" s="1" t="s">
        <v>1004</v>
      </c>
      <c r="U142" s="1" t="str">
        <f t="shared" si="14"/>
        <v>YES</v>
      </c>
    </row>
    <row r="143" spans="1:21" x14ac:dyDescent="0.3">
      <c r="A143" s="1" t="s">
        <v>314</v>
      </c>
      <c r="B143" s="1" t="s">
        <v>299</v>
      </c>
      <c r="C143" s="1" t="s">
        <v>300</v>
      </c>
      <c r="D143" s="1" t="s">
        <v>39</v>
      </c>
      <c r="E143" s="1" t="s">
        <v>1156</v>
      </c>
      <c r="F143" s="1" t="s">
        <v>1001</v>
      </c>
      <c r="G143" s="1" t="s">
        <v>1023</v>
      </c>
      <c r="H143" s="1">
        <v>12</v>
      </c>
      <c r="I143" s="1">
        <v>7</v>
      </c>
      <c r="J143" s="1" t="s">
        <v>2550</v>
      </c>
      <c r="K143" s="2">
        <v>289.89</v>
      </c>
      <c r="L143" s="6">
        <v>12</v>
      </c>
      <c r="M143" s="2">
        <f t="shared" si="10"/>
        <v>3478.68</v>
      </c>
      <c r="N143" s="2">
        <f t="shared" si="11"/>
        <v>417.44159999999994</v>
      </c>
      <c r="O143" s="2">
        <f t="shared" si="12"/>
        <v>3061.2383999999997</v>
      </c>
      <c r="P143" s="1">
        <v>107</v>
      </c>
      <c r="Q143" s="2">
        <v>202.92</v>
      </c>
      <c r="R143" s="2">
        <f t="shared" si="13"/>
        <v>626.19839999999976</v>
      </c>
      <c r="S143" s="1" t="s">
        <v>1003</v>
      </c>
      <c r="T143" s="1" t="s">
        <v>1004</v>
      </c>
      <c r="U143" s="1" t="str">
        <f t="shared" si="14"/>
        <v>NO</v>
      </c>
    </row>
    <row r="144" spans="1:21" x14ac:dyDescent="0.3">
      <c r="A144" s="1" t="s">
        <v>315</v>
      </c>
      <c r="B144" s="1" t="s">
        <v>69</v>
      </c>
      <c r="C144" s="1" t="s">
        <v>70</v>
      </c>
      <c r="D144" s="1" t="s">
        <v>59</v>
      </c>
      <c r="E144" s="1" t="s">
        <v>1157</v>
      </c>
      <c r="F144" s="1" t="s">
        <v>1013</v>
      </c>
      <c r="G144" s="1" t="s">
        <v>1010</v>
      </c>
      <c r="H144" s="1">
        <v>13</v>
      </c>
      <c r="I144" s="1">
        <v>7</v>
      </c>
      <c r="J144" s="1" t="s">
        <v>2633</v>
      </c>
      <c r="K144" s="2">
        <v>403.23</v>
      </c>
      <c r="L144" s="6">
        <v>2</v>
      </c>
      <c r="M144" s="2">
        <f t="shared" si="10"/>
        <v>5241.99</v>
      </c>
      <c r="N144" s="2">
        <f t="shared" si="11"/>
        <v>104.8398</v>
      </c>
      <c r="O144" s="2">
        <f t="shared" si="12"/>
        <v>5137.1502</v>
      </c>
      <c r="P144" s="1">
        <v>156</v>
      </c>
      <c r="Q144" s="2">
        <v>282.26</v>
      </c>
      <c r="R144" s="2">
        <f t="shared" si="13"/>
        <v>1467.7701999999999</v>
      </c>
      <c r="S144" s="1" t="s">
        <v>1003</v>
      </c>
      <c r="T144" s="1" t="s">
        <v>1004</v>
      </c>
      <c r="U144" s="1" t="str">
        <f t="shared" si="14"/>
        <v>NO</v>
      </c>
    </row>
    <row r="145" spans="1:21" x14ac:dyDescent="0.3">
      <c r="A145" s="1" t="s">
        <v>316</v>
      </c>
      <c r="B145" s="1" t="s">
        <v>52</v>
      </c>
      <c r="C145" s="1" t="s">
        <v>53</v>
      </c>
      <c r="D145" s="1" t="s">
        <v>47</v>
      </c>
      <c r="E145" s="1" t="s">
        <v>1158</v>
      </c>
      <c r="F145" s="1" t="s">
        <v>1015</v>
      </c>
      <c r="G145" s="1" t="s">
        <v>1010</v>
      </c>
      <c r="H145" s="1">
        <v>10</v>
      </c>
      <c r="I145" s="1">
        <v>1</v>
      </c>
      <c r="J145" s="1" t="s">
        <v>2634</v>
      </c>
      <c r="K145" s="2">
        <v>114.38</v>
      </c>
      <c r="L145" s="6">
        <v>1</v>
      </c>
      <c r="M145" s="2">
        <f t="shared" si="10"/>
        <v>1143.8</v>
      </c>
      <c r="N145" s="2">
        <f t="shared" si="11"/>
        <v>11.437999999999999</v>
      </c>
      <c r="O145" s="2">
        <f t="shared" si="12"/>
        <v>1132.3619999999999</v>
      </c>
      <c r="P145" s="1">
        <v>247</v>
      </c>
      <c r="Q145" s="2">
        <v>80.069999999999993</v>
      </c>
      <c r="R145" s="2">
        <f t="shared" si="13"/>
        <v>331.66199999999992</v>
      </c>
      <c r="S145" s="1" t="s">
        <v>1011</v>
      </c>
      <c r="T145" s="1" t="s">
        <v>1004</v>
      </c>
      <c r="U145" s="1" t="str">
        <f t="shared" si="14"/>
        <v>NO</v>
      </c>
    </row>
    <row r="146" spans="1:21" x14ac:dyDescent="0.3">
      <c r="A146" s="1" t="s">
        <v>317</v>
      </c>
      <c r="B146" s="1" t="s">
        <v>77</v>
      </c>
      <c r="C146" s="1" t="s">
        <v>78</v>
      </c>
      <c r="D146" s="1" t="s">
        <v>47</v>
      </c>
      <c r="E146" s="1" t="s">
        <v>1159</v>
      </c>
      <c r="F146" s="1" t="s">
        <v>1009</v>
      </c>
      <c r="G146" s="1" t="s">
        <v>1002</v>
      </c>
      <c r="H146" s="1">
        <v>5</v>
      </c>
      <c r="I146" s="1">
        <v>5</v>
      </c>
      <c r="J146" s="1" t="s">
        <v>2635</v>
      </c>
      <c r="K146" s="2">
        <v>360.73</v>
      </c>
      <c r="L146" s="6">
        <v>12</v>
      </c>
      <c r="M146" s="2">
        <f t="shared" si="10"/>
        <v>1803.65</v>
      </c>
      <c r="N146" s="2">
        <f t="shared" si="11"/>
        <v>216.43800000000002</v>
      </c>
      <c r="O146" s="2">
        <f t="shared" si="12"/>
        <v>1587.212</v>
      </c>
      <c r="P146" s="1">
        <v>253</v>
      </c>
      <c r="Q146" s="2">
        <v>252.51</v>
      </c>
      <c r="R146" s="2">
        <f t="shared" si="13"/>
        <v>324.66200000000003</v>
      </c>
      <c r="S146" s="1" t="s">
        <v>1011</v>
      </c>
      <c r="T146" s="1" t="s">
        <v>1004</v>
      </c>
      <c r="U146" s="1" t="str">
        <f t="shared" si="14"/>
        <v>NO</v>
      </c>
    </row>
    <row r="147" spans="1:21" x14ac:dyDescent="0.3">
      <c r="A147" s="1" t="s">
        <v>318</v>
      </c>
      <c r="B147" s="1" t="s">
        <v>126</v>
      </c>
      <c r="C147" s="1" t="s">
        <v>127</v>
      </c>
      <c r="D147" s="1" t="s">
        <v>85</v>
      </c>
      <c r="E147" s="1" t="s">
        <v>1160</v>
      </c>
      <c r="F147" s="1" t="s">
        <v>1006</v>
      </c>
      <c r="G147" s="1" t="s">
        <v>1002</v>
      </c>
      <c r="H147" s="1">
        <v>1</v>
      </c>
      <c r="I147" s="1">
        <v>7</v>
      </c>
      <c r="J147" s="1" t="s">
        <v>2584</v>
      </c>
      <c r="K147" s="2">
        <v>89.69</v>
      </c>
      <c r="L147" s="6">
        <v>18</v>
      </c>
      <c r="M147" s="2">
        <f t="shared" si="10"/>
        <v>89.69</v>
      </c>
      <c r="N147" s="2">
        <f t="shared" si="11"/>
        <v>16.144200000000001</v>
      </c>
      <c r="O147" s="2">
        <f t="shared" si="12"/>
        <v>73.5458</v>
      </c>
      <c r="P147" s="1">
        <v>203</v>
      </c>
      <c r="Q147" s="2">
        <v>62.78</v>
      </c>
      <c r="R147" s="2">
        <f t="shared" si="13"/>
        <v>10.765799999999999</v>
      </c>
      <c r="S147" s="1" t="s">
        <v>1011</v>
      </c>
      <c r="T147" s="1" t="s">
        <v>1007</v>
      </c>
      <c r="U147" s="1" t="str">
        <f t="shared" si="14"/>
        <v>NO</v>
      </c>
    </row>
    <row r="148" spans="1:21" x14ac:dyDescent="0.3">
      <c r="A148" s="1" t="s">
        <v>319</v>
      </c>
      <c r="B148" s="1" t="s">
        <v>130</v>
      </c>
      <c r="C148" s="1" t="s">
        <v>131</v>
      </c>
      <c r="D148" s="1" t="s">
        <v>132</v>
      </c>
      <c r="E148" s="1" t="s">
        <v>1161</v>
      </c>
      <c r="F148" s="1" t="s">
        <v>1009</v>
      </c>
      <c r="G148" s="1" t="s">
        <v>1010</v>
      </c>
      <c r="H148" s="1">
        <v>8</v>
      </c>
      <c r="I148" s="1">
        <v>2</v>
      </c>
      <c r="J148" s="1" t="s">
        <v>2636</v>
      </c>
      <c r="K148" s="2">
        <v>373.65</v>
      </c>
      <c r="L148" s="6">
        <v>23</v>
      </c>
      <c r="M148" s="2">
        <f t="shared" si="10"/>
        <v>2989.2</v>
      </c>
      <c r="N148" s="2">
        <f t="shared" si="11"/>
        <v>687.51599999999996</v>
      </c>
      <c r="O148" s="2">
        <f t="shared" si="12"/>
        <v>2301.6839999999997</v>
      </c>
      <c r="P148" s="1">
        <v>176</v>
      </c>
      <c r="Q148" s="2">
        <v>261.55</v>
      </c>
      <c r="R148" s="2">
        <f t="shared" si="13"/>
        <v>209.28399999999965</v>
      </c>
      <c r="S148" s="1" t="s">
        <v>1016</v>
      </c>
      <c r="T148" s="1" t="s">
        <v>1007</v>
      </c>
      <c r="U148" s="1" t="str">
        <f t="shared" si="14"/>
        <v>YES</v>
      </c>
    </row>
    <row r="149" spans="1:21" x14ac:dyDescent="0.3">
      <c r="A149" s="1" t="s">
        <v>320</v>
      </c>
      <c r="B149" s="1" t="s">
        <v>299</v>
      </c>
      <c r="C149" s="1" t="s">
        <v>300</v>
      </c>
      <c r="D149" s="1" t="s">
        <v>39</v>
      </c>
      <c r="E149" s="1" t="s">
        <v>1162</v>
      </c>
      <c r="F149" s="1" t="s">
        <v>1009</v>
      </c>
      <c r="G149" s="1" t="s">
        <v>1010</v>
      </c>
      <c r="H149" s="1">
        <v>8</v>
      </c>
      <c r="I149" s="1">
        <v>7</v>
      </c>
      <c r="J149" s="1" t="s">
        <v>2637</v>
      </c>
      <c r="K149" s="2">
        <v>425.62</v>
      </c>
      <c r="L149" s="6">
        <v>25</v>
      </c>
      <c r="M149" s="2">
        <f t="shared" si="10"/>
        <v>3404.96</v>
      </c>
      <c r="N149" s="2">
        <f t="shared" si="11"/>
        <v>851.24</v>
      </c>
      <c r="O149" s="2">
        <f t="shared" si="12"/>
        <v>2553.7200000000003</v>
      </c>
      <c r="P149" s="1">
        <v>160</v>
      </c>
      <c r="Q149" s="2">
        <v>297.93</v>
      </c>
      <c r="R149" s="2">
        <f t="shared" si="13"/>
        <v>170.2800000000002</v>
      </c>
      <c r="S149" s="1" t="s">
        <v>1016</v>
      </c>
      <c r="T149" s="1" t="s">
        <v>1004</v>
      </c>
      <c r="U149" s="1" t="str">
        <f t="shared" si="14"/>
        <v>YES</v>
      </c>
    </row>
    <row r="150" spans="1:21" x14ac:dyDescent="0.3">
      <c r="A150" s="1" t="s">
        <v>321</v>
      </c>
      <c r="B150" s="1" t="s">
        <v>299</v>
      </c>
      <c r="C150" s="1" t="s">
        <v>300</v>
      </c>
      <c r="D150" s="1" t="s">
        <v>39</v>
      </c>
      <c r="E150" s="1" t="s">
        <v>1163</v>
      </c>
      <c r="F150" s="1" t="s">
        <v>1013</v>
      </c>
      <c r="G150" s="1" t="s">
        <v>1010</v>
      </c>
      <c r="H150" s="1">
        <v>12</v>
      </c>
      <c r="I150" s="1">
        <v>2</v>
      </c>
      <c r="J150" s="1" t="s">
        <v>2627</v>
      </c>
      <c r="K150" s="2">
        <v>357.29</v>
      </c>
      <c r="L150" s="6">
        <v>9</v>
      </c>
      <c r="M150" s="2">
        <f t="shared" si="10"/>
        <v>4287.4800000000005</v>
      </c>
      <c r="N150" s="2">
        <f t="shared" si="11"/>
        <v>385.87320000000005</v>
      </c>
      <c r="O150" s="2">
        <f t="shared" si="12"/>
        <v>3901.6068000000005</v>
      </c>
      <c r="P150" s="1">
        <v>68</v>
      </c>
      <c r="Q150" s="2">
        <v>250.1</v>
      </c>
      <c r="R150" s="2">
        <f t="shared" si="13"/>
        <v>900.40680000000066</v>
      </c>
      <c r="S150" s="1" t="s">
        <v>1016</v>
      </c>
      <c r="T150" s="1" t="s">
        <v>1004</v>
      </c>
      <c r="U150" s="1" t="str">
        <f t="shared" si="14"/>
        <v>YES</v>
      </c>
    </row>
    <row r="151" spans="1:21" x14ac:dyDescent="0.3">
      <c r="A151" s="1" t="s">
        <v>322</v>
      </c>
      <c r="B151" s="1" t="s">
        <v>192</v>
      </c>
      <c r="C151" s="1" t="s">
        <v>193</v>
      </c>
      <c r="D151" s="1" t="s">
        <v>85</v>
      </c>
      <c r="E151" s="1" t="s">
        <v>1164</v>
      </c>
      <c r="F151" s="1" t="s">
        <v>1006</v>
      </c>
      <c r="G151" s="1" t="s">
        <v>1002</v>
      </c>
      <c r="H151" s="1">
        <v>10</v>
      </c>
      <c r="I151" s="1">
        <v>7</v>
      </c>
      <c r="J151" s="1" t="s">
        <v>2638</v>
      </c>
      <c r="K151" s="2">
        <v>231.74</v>
      </c>
      <c r="L151" s="6">
        <v>4</v>
      </c>
      <c r="M151" s="2">
        <f t="shared" si="10"/>
        <v>2317.4</v>
      </c>
      <c r="N151" s="2">
        <f t="shared" si="11"/>
        <v>92.695999999999998</v>
      </c>
      <c r="O151" s="2">
        <f t="shared" si="12"/>
        <v>2224.7040000000002</v>
      </c>
      <c r="P151" s="1">
        <v>73</v>
      </c>
      <c r="Q151" s="2">
        <v>162.22</v>
      </c>
      <c r="R151" s="2">
        <f t="shared" si="13"/>
        <v>602.50400000000013</v>
      </c>
      <c r="S151" s="1" t="s">
        <v>1011</v>
      </c>
      <c r="T151" s="1" t="s">
        <v>1007</v>
      </c>
      <c r="U151" s="1" t="str">
        <f t="shared" si="14"/>
        <v>NO</v>
      </c>
    </row>
    <row r="152" spans="1:21" x14ac:dyDescent="0.3">
      <c r="A152" s="1" t="s">
        <v>323</v>
      </c>
      <c r="B152" s="1" t="s">
        <v>102</v>
      </c>
      <c r="C152" s="1" t="s">
        <v>103</v>
      </c>
      <c r="D152" s="1" t="s">
        <v>104</v>
      </c>
      <c r="E152" s="1" t="s">
        <v>1165</v>
      </c>
      <c r="F152" s="1" t="s">
        <v>1020</v>
      </c>
      <c r="G152" s="1" t="s">
        <v>1023</v>
      </c>
      <c r="H152" s="1">
        <v>15</v>
      </c>
      <c r="I152" s="1">
        <v>4</v>
      </c>
      <c r="J152" s="1" t="s">
        <v>2515</v>
      </c>
      <c r="K152" s="2">
        <v>473.77</v>
      </c>
      <c r="L152" s="6">
        <v>9</v>
      </c>
      <c r="M152" s="2">
        <f t="shared" si="10"/>
        <v>7106.5499999999993</v>
      </c>
      <c r="N152" s="2">
        <f t="shared" si="11"/>
        <v>639.58949999999993</v>
      </c>
      <c r="O152" s="2">
        <f t="shared" si="12"/>
        <v>6466.9604999999992</v>
      </c>
      <c r="P152" s="1">
        <v>197</v>
      </c>
      <c r="Q152" s="2">
        <v>331.64</v>
      </c>
      <c r="R152" s="2">
        <f t="shared" si="13"/>
        <v>1492.3604999999998</v>
      </c>
      <c r="S152" s="1" t="s">
        <v>1003</v>
      </c>
      <c r="T152" s="1" t="s">
        <v>1007</v>
      </c>
      <c r="U152" s="1" t="str">
        <f t="shared" si="14"/>
        <v>NO</v>
      </c>
    </row>
    <row r="153" spans="1:21" x14ac:dyDescent="0.3">
      <c r="A153" s="1" t="s">
        <v>324</v>
      </c>
      <c r="B153" s="1" t="s">
        <v>262</v>
      </c>
      <c r="C153" s="1" t="s">
        <v>263</v>
      </c>
      <c r="D153" s="1" t="s">
        <v>104</v>
      </c>
      <c r="E153" s="1" t="s">
        <v>1166</v>
      </c>
      <c r="F153" s="1" t="s">
        <v>1015</v>
      </c>
      <c r="G153" s="1" t="s">
        <v>1010</v>
      </c>
      <c r="H153" s="1">
        <v>4</v>
      </c>
      <c r="I153" s="1">
        <v>6</v>
      </c>
      <c r="J153" s="1" t="s">
        <v>2639</v>
      </c>
      <c r="K153" s="2">
        <v>63.33</v>
      </c>
      <c r="L153" s="6">
        <v>4</v>
      </c>
      <c r="M153" s="2">
        <f t="shared" si="10"/>
        <v>253.32</v>
      </c>
      <c r="N153" s="2">
        <f t="shared" si="11"/>
        <v>10.1328</v>
      </c>
      <c r="O153" s="2">
        <f t="shared" si="12"/>
        <v>243.18719999999999</v>
      </c>
      <c r="P153" s="1">
        <v>111</v>
      </c>
      <c r="Q153" s="2">
        <v>44.33</v>
      </c>
      <c r="R153" s="2">
        <f t="shared" si="13"/>
        <v>65.867199999999997</v>
      </c>
      <c r="S153" s="1" t="s">
        <v>1011</v>
      </c>
      <c r="T153" s="1" t="s">
        <v>1007</v>
      </c>
      <c r="U153" s="1" t="str">
        <f t="shared" si="14"/>
        <v>NO</v>
      </c>
    </row>
    <row r="154" spans="1:21" x14ac:dyDescent="0.3">
      <c r="A154" s="1" t="s">
        <v>325</v>
      </c>
      <c r="B154" s="1" t="s">
        <v>72</v>
      </c>
      <c r="C154" s="1" t="s">
        <v>73</v>
      </c>
      <c r="D154" s="1" t="s">
        <v>47</v>
      </c>
      <c r="E154" s="1" t="s">
        <v>1167</v>
      </c>
      <c r="F154" s="1" t="s">
        <v>1015</v>
      </c>
      <c r="G154" s="1" t="s">
        <v>1002</v>
      </c>
      <c r="H154" s="1">
        <v>13</v>
      </c>
      <c r="I154" s="1">
        <v>6</v>
      </c>
      <c r="J154" s="1" t="s">
        <v>2570</v>
      </c>
      <c r="K154" s="2">
        <v>444.22</v>
      </c>
      <c r="L154" s="6">
        <v>7</v>
      </c>
      <c r="M154" s="2">
        <f t="shared" si="10"/>
        <v>5774.8600000000006</v>
      </c>
      <c r="N154" s="2">
        <f t="shared" si="11"/>
        <v>404.24020000000002</v>
      </c>
      <c r="O154" s="2">
        <f t="shared" si="12"/>
        <v>5370.6198000000004</v>
      </c>
      <c r="P154" s="1">
        <v>197</v>
      </c>
      <c r="Q154" s="2">
        <v>310.95</v>
      </c>
      <c r="R154" s="2">
        <f t="shared" si="13"/>
        <v>1328.2698000000005</v>
      </c>
      <c r="S154" s="1" t="s">
        <v>1016</v>
      </c>
      <c r="T154" s="1" t="s">
        <v>1004</v>
      </c>
      <c r="U154" s="1" t="str">
        <f t="shared" si="14"/>
        <v>YES</v>
      </c>
    </row>
    <row r="155" spans="1:21" x14ac:dyDescent="0.3">
      <c r="A155" s="1" t="s">
        <v>326</v>
      </c>
      <c r="B155" s="1" t="s">
        <v>123</v>
      </c>
      <c r="C155" s="1" t="s">
        <v>124</v>
      </c>
      <c r="D155" s="1" t="s">
        <v>47</v>
      </c>
      <c r="E155" s="1" t="s">
        <v>1168</v>
      </c>
      <c r="F155" s="1" t="s">
        <v>1015</v>
      </c>
      <c r="G155" s="1" t="s">
        <v>1010</v>
      </c>
      <c r="H155" s="1">
        <v>3</v>
      </c>
      <c r="I155" s="1">
        <v>6</v>
      </c>
      <c r="J155" s="1" t="s">
        <v>2640</v>
      </c>
      <c r="K155" s="2">
        <v>370.87</v>
      </c>
      <c r="L155" s="6">
        <v>24</v>
      </c>
      <c r="M155" s="2">
        <f t="shared" si="10"/>
        <v>1112.6100000000001</v>
      </c>
      <c r="N155" s="2">
        <f t="shared" si="11"/>
        <v>267.02640000000002</v>
      </c>
      <c r="O155" s="2">
        <f t="shared" si="12"/>
        <v>845.58360000000016</v>
      </c>
      <c r="P155" s="1">
        <v>232</v>
      </c>
      <c r="Q155" s="2">
        <v>259.61</v>
      </c>
      <c r="R155" s="2">
        <f t="shared" si="13"/>
        <v>66.75360000000012</v>
      </c>
      <c r="S155" s="1" t="s">
        <v>1016</v>
      </c>
      <c r="T155" s="1" t="s">
        <v>1004</v>
      </c>
      <c r="U155" s="1" t="str">
        <f t="shared" si="14"/>
        <v>YES</v>
      </c>
    </row>
    <row r="156" spans="1:21" x14ac:dyDescent="0.3">
      <c r="A156" s="1" t="s">
        <v>327</v>
      </c>
      <c r="B156" s="1" t="s">
        <v>237</v>
      </c>
      <c r="C156" s="1" t="s">
        <v>238</v>
      </c>
      <c r="D156" s="1" t="s">
        <v>85</v>
      </c>
      <c r="E156" s="1" t="s">
        <v>1169</v>
      </c>
      <c r="F156" s="1" t="s">
        <v>1001</v>
      </c>
      <c r="G156" s="1" t="s">
        <v>1010</v>
      </c>
      <c r="H156" s="1">
        <v>2</v>
      </c>
      <c r="I156" s="1">
        <v>7</v>
      </c>
      <c r="J156" s="1" t="s">
        <v>2544</v>
      </c>
      <c r="K156" s="2">
        <v>183.97</v>
      </c>
      <c r="L156" s="6">
        <v>20</v>
      </c>
      <c r="M156" s="2">
        <f t="shared" si="10"/>
        <v>367.94</v>
      </c>
      <c r="N156" s="2">
        <f t="shared" si="11"/>
        <v>73.588000000000008</v>
      </c>
      <c r="O156" s="2">
        <f t="shared" si="12"/>
        <v>294.35199999999998</v>
      </c>
      <c r="P156" s="1">
        <v>245</v>
      </c>
      <c r="Q156" s="2">
        <v>128.78</v>
      </c>
      <c r="R156" s="2">
        <f t="shared" si="13"/>
        <v>36.791999999999973</v>
      </c>
      <c r="S156" s="1" t="s">
        <v>1011</v>
      </c>
      <c r="T156" s="1" t="s">
        <v>1007</v>
      </c>
      <c r="U156" s="1" t="str">
        <f t="shared" si="14"/>
        <v>NO</v>
      </c>
    </row>
    <row r="157" spans="1:21" x14ac:dyDescent="0.3">
      <c r="A157" s="1" t="s">
        <v>328</v>
      </c>
      <c r="B157" s="1" t="s">
        <v>192</v>
      </c>
      <c r="C157" s="1" t="s">
        <v>193</v>
      </c>
      <c r="D157" s="1" t="s">
        <v>85</v>
      </c>
      <c r="E157" s="1" t="s">
        <v>1170</v>
      </c>
      <c r="F157" s="1" t="s">
        <v>1009</v>
      </c>
      <c r="G157" s="1" t="s">
        <v>1002</v>
      </c>
      <c r="H157" s="1">
        <v>7</v>
      </c>
      <c r="I157" s="1">
        <v>1</v>
      </c>
      <c r="J157" s="1" t="s">
        <v>2641</v>
      </c>
      <c r="K157" s="2">
        <v>172.36</v>
      </c>
      <c r="L157" s="6">
        <v>9</v>
      </c>
      <c r="M157" s="2">
        <f t="shared" si="10"/>
        <v>1206.52</v>
      </c>
      <c r="N157" s="2">
        <f t="shared" si="11"/>
        <v>108.5868</v>
      </c>
      <c r="O157" s="2">
        <f t="shared" si="12"/>
        <v>1097.9331999999999</v>
      </c>
      <c r="P157" s="1">
        <v>283</v>
      </c>
      <c r="Q157" s="2">
        <v>120.65</v>
      </c>
      <c r="R157" s="2">
        <f t="shared" si="13"/>
        <v>253.38319999999987</v>
      </c>
      <c r="S157" s="1" t="s">
        <v>1011</v>
      </c>
      <c r="T157" s="1" t="s">
        <v>1007</v>
      </c>
      <c r="U157" s="1" t="str">
        <f t="shared" si="14"/>
        <v>NO</v>
      </c>
    </row>
    <row r="158" spans="1:21" x14ac:dyDescent="0.3">
      <c r="A158" s="1" t="s">
        <v>329</v>
      </c>
      <c r="B158" s="1" t="s">
        <v>166</v>
      </c>
      <c r="C158" s="1" t="s">
        <v>167</v>
      </c>
      <c r="D158" s="1" t="s">
        <v>59</v>
      </c>
      <c r="E158" s="1" t="s">
        <v>1171</v>
      </c>
      <c r="F158" s="1" t="s">
        <v>1006</v>
      </c>
      <c r="G158" s="1" t="s">
        <v>1023</v>
      </c>
      <c r="H158" s="1">
        <v>9</v>
      </c>
      <c r="I158" s="1">
        <v>5</v>
      </c>
      <c r="J158" s="1" t="s">
        <v>2642</v>
      </c>
      <c r="K158" s="2">
        <v>82.55</v>
      </c>
      <c r="L158" s="6">
        <v>21</v>
      </c>
      <c r="M158" s="2">
        <f t="shared" si="10"/>
        <v>742.94999999999993</v>
      </c>
      <c r="N158" s="2">
        <f t="shared" si="11"/>
        <v>156.01949999999999</v>
      </c>
      <c r="O158" s="2">
        <f t="shared" si="12"/>
        <v>586.93049999999994</v>
      </c>
      <c r="P158" s="1">
        <v>100</v>
      </c>
      <c r="Q158" s="2">
        <v>57.78</v>
      </c>
      <c r="R158" s="2">
        <f t="shared" si="13"/>
        <v>66.910499999999956</v>
      </c>
      <c r="S158" s="1" t="s">
        <v>1016</v>
      </c>
      <c r="T158" s="1" t="s">
        <v>1004</v>
      </c>
      <c r="U158" s="1" t="str">
        <f t="shared" si="14"/>
        <v>YES</v>
      </c>
    </row>
    <row r="159" spans="1:21" x14ac:dyDescent="0.3">
      <c r="A159" s="1" t="s">
        <v>330</v>
      </c>
      <c r="B159" s="1" t="s">
        <v>69</v>
      </c>
      <c r="C159" s="1" t="s">
        <v>70</v>
      </c>
      <c r="D159" s="1" t="s">
        <v>59</v>
      </c>
      <c r="E159" s="1" t="s">
        <v>1172</v>
      </c>
      <c r="F159" s="1" t="s">
        <v>1015</v>
      </c>
      <c r="G159" s="1" t="s">
        <v>1002</v>
      </c>
      <c r="H159" s="1">
        <v>10</v>
      </c>
      <c r="I159" s="1">
        <v>2</v>
      </c>
      <c r="J159" s="1" t="s">
        <v>2524</v>
      </c>
      <c r="K159" s="2">
        <v>251.43</v>
      </c>
      <c r="L159" s="6">
        <v>23</v>
      </c>
      <c r="M159" s="2">
        <f t="shared" si="10"/>
        <v>2514.3000000000002</v>
      </c>
      <c r="N159" s="2">
        <f t="shared" si="11"/>
        <v>578.28899999999999</v>
      </c>
      <c r="O159" s="2">
        <f t="shared" si="12"/>
        <v>1936.0110000000002</v>
      </c>
      <c r="P159" s="1">
        <v>169</v>
      </c>
      <c r="Q159" s="2">
        <v>176</v>
      </c>
      <c r="R159" s="2">
        <f t="shared" si="13"/>
        <v>176.01100000000019</v>
      </c>
      <c r="S159" s="1" t="s">
        <v>1011</v>
      </c>
      <c r="T159" s="1" t="s">
        <v>1007</v>
      </c>
      <c r="U159" s="1" t="str">
        <f t="shared" si="14"/>
        <v>NO</v>
      </c>
    </row>
    <row r="160" spans="1:21" x14ac:dyDescent="0.3">
      <c r="A160" s="1" t="s">
        <v>331</v>
      </c>
      <c r="B160" s="1" t="s">
        <v>143</v>
      </c>
      <c r="C160" s="1" t="s">
        <v>144</v>
      </c>
      <c r="D160" s="1" t="s">
        <v>47</v>
      </c>
      <c r="E160" s="1" t="s">
        <v>1173</v>
      </c>
      <c r="F160" s="1" t="s">
        <v>1001</v>
      </c>
      <c r="G160" s="1" t="s">
        <v>1023</v>
      </c>
      <c r="H160" s="1">
        <v>4</v>
      </c>
      <c r="I160" s="1">
        <v>5</v>
      </c>
      <c r="J160" s="1" t="s">
        <v>2643</v>
      </c>
      <c r="K160" s="2">
        <v>448.81</v>
      </c>
      <c r="L160" s="6">
        <v>3</v>
      </c>
      <c r="M160" s="2">
        <f t="shared" si="10"/>
        <v>1795.24</v>
      </c>
      <c r="N160" s="2">
        <f t="shared" si="11"/>
        <v>53.857200000000006</v>
      </c>
      <c r="O160" s="2">
        <f t="shared" si="12"/>
        <v>1741.3828000000001</v>
      </c>
      <c r="P160" s="1">
        <v>55</v>
      </c>
      <c r="Q160" s="2">
        <v>314.17</v>
      </c>
      <c r="R160" s="2">
        <f t="shared" si="13"/>
        <v>484.70280000000002</v>
      </c>
      <c r="S160" s="1" t="s">
        <v>1011</v>
      </c>
      <c r="T160" s="1" t="s">
        <v>1004</v>
      </c>
      <c r="U160" s="1" t="str">
        <f t="shared" si="14"/>
        <v>NO</v>
      </c>
    </row>
    <row r="161" spans="1:21" x14ac:dyDescent="0.3">
      <c r="A161" s="1" t="s">
        <v>332</v>
      </c>
      <c r="B161" s="1" t="s">
        <v>111</v>
      </c>
      <c r="C161" s="1" t="s">
        <v>112</v>
      </c>
      <c r="D161" s="1" t="s">
        <v>97</v>
      </c>
      <c r="E161" s="1" t="s">
        <v>1174</v>
      </c>
      <c r="F161" s="1" t="s">
        <v>1006</v>
      </c>
      <c r="G161" s="1" t="s">
        <v>1023</v>
      </c>
      <c r="H161" s="1">
        <v>10</v>
      </c>
      <c r="I161" s="1">
        <v>1</v>
      </c>
      <c r="J161" s="1" t="s">
        <v>2644</v>
      </c>
      <c r="K161" s="2">
        <v>176.39</v>
      </c>
      <c r="L161" s="6">
        <v>25</v>
      </c>
      <c r="M161" s="2">
        <f t="shared" si="10"/>
        <v>1763.8999999999999</v>
      </c>
      <c r="N161" s="2">
        <f t="shared" si="11"/>
        <v>440.97500000000002</v>
      </c>
      <c r="O161" s="2">
        <f t="shared" si="12"/>
        <v>1322.9249999999997</v>
      </c>
      <c r="P161" s="1">
        <v>264</v>
      </c>
      <c r="Q161" s="2">
        <v>123.47</v>
      </c>
      <c r="R161" s="2">
        <f t="shared" si="13"/>
        <v>88.224999999999682</v>
      </c>
      <c r="S161" s="1" t="s">
        <v>1016</v>
      </c>
      <c r="T161" s="1" t="s">
        <v>1004</v>
      </c>
      <c r="U161" s="1" t="str">
        <f t="shared" si="14"/>
        <v>YES</v>
      </c>
    </row>
    <row r="162" spans="1:21" x14ac:dyDescent="0.3">
      <c r="A162" s="1" t="s">
        <v>334</v>
      </c>
      <c r="B162" s="1" t="s">
        <v>172</v>
      </c>
      <c r="C162" s="1" t="s">
        <v>173</v>
      </c>
      <c r="D162" s="1" t="s">
        <v>132</v>
      </c>
      <c r="E162" s="1" t="s">
        <v>1175</v>
      </c>
      <c r="F162" s="1" t="s">
        <v>1027</v>
      </c>
      <c r="G162" s="1" t="s">
        <v>1002</v>
      </c>
      <c r="H162" s="1">
        <v>2</v>
      </c>
      <c r="I162" s="1">
        <v>6</v>
      </c>
      <c r="J162" s="1" t="s">
        <v>2645</v>
      </c>
      <c r="K162" s="2">
        <v>210.48</v>
      </c>
      <c r="L162" s="6">
        <v>2</v>
      </c>
      <c r="M162" s="2">
        <f t="shared" si="10"/>
        <v>420.96</v>
      </c>
      <c r="N162" s="2">
        <f t="shared" si="11"/>
        <v>8.4192</v>
      </c>
      <c r="O162" s="2">
        <f t="shared" si="12"/>
        <v>412.54079999999999</v>
      </c>
      <c r="P162" s="1">
        <v>256</v>
      </c>
      <c r="Q162" s="2">
        <v>147.34</v>
      </c>
      <c r="R162" s="2">
        <f t="shared" si="13"/>
        <v>117.86079999999998</v>
      </c>
      <c r="S162" s="1" t="s">
        <v>1011</v>
      </c>
      <c r="T162" s="1" t="s">
        <v>1007</v>
      </c>
      <c r="U162" s="1" t="str">
        <f t="shared" si="14"/>
        <v>NO</v>
      </c>
    </row>
    <row r="163" spans="1:21" x14ac:dyDescent="0.3">
      <c r="A163" s="1" t="s">
        <v>335</v>
      </c>
      <c r="B163" s="1" t="s">
        <v>166</v>
      </c>
      <c r="C163" s="1" t="s">
        <v>167</v>
      </c>
      <c r="D163" s="1" t="s">
        <v>59</v>
      </c>
      <c r="E163" s="1" t="s">
        <v>1176</v>
      </c>
      <c r="F163" s="1" t="s">
        <v>1020</v>
      </c>
      <c r="G163" s="1" t="s">
        <v>1002</v>
      </c>
      <c r="H163" s="1">
        <v>13</v>
      </c>
      <c r="I163" s="1">
        <v>1</v>
      </c>
      <c r="J163" s="1" t="s">
        <v>2589</v>
      </c>
      <c r="K163" s="2">
        <v>77.09</v>
      </c>
      <c r="L163" s="6">
        <v>23</v>
      </c>
      <c r="M163" s="2">
        <f t="shared" si="10"/>
        <v>1002.1700000000001</v>
      </c>
      <c r="N163" s="2">
        <f t="shared" si="11"/>
        <v>230.49910000000003</v>
      </c>
      <c r="O163" s="2">
        <f t="shared" si="12"/>
        <v>771.67090000000007</v>
      </c>
      <c r="P163" s="1">
        <v>168</v>
      </c>
      <c r="Q163" s="2">
        <v>53.96</v>
      </c>
      <c r="R163" s="2">
        <f t="shared" si="13"/>
        <v>70.190900000000056</v>
      </c>
      <c r="S163" s="1" t="s">
        <v>1016</v>
      </c>
      <c r="T163" s="1" t="s">
        <v>1007</v>
      </c>
      <c r="U163" s="1" t="str">
        <f t="shared" si="14"/>
        <v>YES</v>
      </c>
    </row>
    <row r="164" spans="1:21" x14ac:dyDescent="0.3">
      <c r="A164" s="1" t="s">
        <v>337</v>
      </c>
      <c r="B164" s="1" t="s">
        <v>102</v>
      </c>
      <c r="C164" s="1" t="s">
        <v>103</v>
      </c>
      <c r="D164" s="1" t="s">
        <v>104</v>
      </c>
      <c r="E164" s="1" t="s">
        <v>1177</v>
      </c>
      <c r="F164" s="1" t="s">
        <v>1001</v>
      </c>
      <c r="G164" s="1" t="s">
        <v>1023</v>
      </c>
      <c r="H164" s="1">
        <v>10</v>
      </c>
      <c r="I164" s="1">
        <v>4</v>
      </c>
      <c r="J164" s="1" t="s">
        <v>2646</v>
      </c>
      <c r="K164" s="2">
        <v>376.51</v>
      </c>
      <c r="L164" s="6">
        <v>16</v>
      </c>
      <c r="M164" s="2">
        <f t="shared" si="10"/>
        <v>3765.1</v>
      </c>
      <c r="N164" s="2">
        <f t="shared" si="11"/>
        <v>602.41599999999994</v>
      </c>
      <c r="O164" s="2">
        <f t="shared" si="12"/>
        <v>3162.6840000000002</v>
      </c>
      <c r="P164" s="1">
        <v>182</v>
      </c>
      <c r="Q164" s="2">
        <v>263.56</v>
      </c>
      <c r="R164" s="2">
        <f t="shared" si="13"/>
        <v>527.08400000000029</v>
      </c>
      <c r="S164" s="1" t="s">
        <v>1016</v>
      </c>
      <c r="T164" s="1" t="s">
        <v>1004</v>
      </c>
      <c r="U164" s="1" t="str">
        <f t="shared" si="14"/>
        <v>YES</v>
      </c>
    </row>
    <row r="165" spans="1:21" x14ac:dyDescent="0.3">
      <c r="A165" s="1" t="s">
        <v>338</v>
      </c>
      <c r="B165" s="1" t="s">
        <v>123</v>
      </c>
      <c r="C165" s="1" t="s">
        <v>124</v>
      </c>
      <c r="D165" s="1" t="s">
        <v>47</v>
      </c>
      <c r="E165" s="1" t="s">
        <v>1178</v>
      </c>
      <c r="F165" s="1" t="s">
        <v>1020</v>
      </c>
      <c r="G165" s="1" t="s">
        <v>1010</v>
      </c>
      <c r="H165" s="1">
        <v>13</v>
      </c>
      <c r="I165" s="1">
        <v>6</v>
      </c>
      <c r="J165" s="1" t="s">
        <v>2647</v>
      </c>
      <c r="K165" s="2">
        <v>414</v>
      </c>
      <c r="L165" s="6">
        <v>13</v>
      </c>
      <c r="M165" s="2">
        <f t="shared" si="10"/>
        <v>5382</v>
      </c>
      <c r="N165" s="2">
        <f t="shared" si="11"/>
        <v>699.66</v>
      </c>
      <c r="O165" s="2">
        <f t="shared" si="12"/>
        <v>4682.34</v>
      </c>
      <c r="P165" s="1">
        <v>102</v>
      </c>
      <c r="Q165" s="2">
        <v>289.8</v>
      </c>
      <c r="R165" s="2">
        <f t="shared" si="13"/>
        <v>914.94</v>
      </c>
      <c r="S165" s="1" t="s">
        <v>1011</v>
      </c>
      <c r="T165" s="1" t="s">
        <v>1007</v>
      </c>
      <c r="U165" s="1" t="str">
        <f t="shared" si="14"/>
        <v>NO</v>
      </c>
    </row>
    <row r="166" spans="1:21" x14ac:dyDescent="0.3">
      <c r="A166" s="1" t="s">
        <v>339</v>
      </c>
      <c r="B166" s="1" t="s">
        <v>126</v>
      </c>
      <c r="C166" s="1" t="s">
        <v>127</v>
      </c>
      <c r="D166" s="1" t="s">
        <v>85</v>
      </c>
      <c r="E166" s="1" t="s">
        <v>1179</v>
      </c>
      <c r="F166" s="1" t="s">
        <v>1006</v>
      </c>
      <c r="G166" s="1" t="s">
        <v>1023</v>
      </c>
      <c r="H166" s="1">
        <v>6</v>
      </c>
      <c r="I166" s="1">
        <v>7</v>
      </c>
      <c r="J166" s="1" t="s">
        <v>2572</v>
      </c>
      <c r="K166" s="2">
        <v>299.81</v>
      </c>
      <c r="L166" s="6">
        <v>8</v>
      </c>
      <c r="M166" s="2">
        <f t="shared" si="10"/>
        <v>1798.8600000000001</v>
      </c>
      <c r="N166" s="2">
        <f t="shared" si="11"/>
        <v>143.90880000000001</v>
      </c>
      <c r="O166" s="2">
        <f t="shared" si="12"/>
        <v>1654.9512000000002</v>
      </c>
      <c r="P166" s="1">
        <v>176</v>
      </c>
      <c r="Q166" s="2">
        <v>209.87</v>
      </c>
      <c r="R166" s="2">
        <f t="shared" si="13"/>
        <v>395.73120000000017</v>
      </c>
      <c r="S166" s="1" t="s">
        <v>1003</v>
      </c>
      <c r="T166" s="1" t="s">
        <v>1007</v>
      </c>
      <c r="U166" s="1" t="str">
        <f t="shared" si="14"/>
        <v>NO</v>
      </c>
    </row>
    <row r="167" spans="1:21" x14ac:dyDescent="0.3">
      <c r="A167" s="1" t="s">
        <v>341</v>
      </c>
      <c r="B167" s="1" t="s">
        <v>172</v>
      </c>
      <c r="C167" s="1" t="s">
        <v>173</v>
      </c>
      <c r="D167" s="1" t="s">
        <v>132</v>
      </c>
      <c r="E167" s="1" t="s">
        <v>1180</v>
      </c>
      <c r="F167" s="1" t="s">
        <v>1027</v>
      </c>
      <c r="G167" s="1" t="s">
        <v>1010</v>
      </c>
      <c r="H167" s="1">
        <v>7</v>
      </c>
      <c r="I167" s="1">
        <v>4</v>
      </c>
      <c r="J167" s="1" t="s">
        <v>2648</v>
      </c>
      <c r="K167" s="2">
        <v>359.14</v>
      </c>
      <c r="L167" s="6">
        <v>14</v>
      </c>
      <c r="M167" s="2">
        <f t="shared" si="10"/>
        <v>2513.98</v>
      </c>
      <c r="N167" s="2">
        <f t="shared" si="11"/>
        <v>351.9572</v>
      </c>
      <c r="O167" s="2">
        <f t="shared" si="12"/>
        <v>2162.0228000000002</v>
      </c>
      <c r="P167" s="1">
        <v>101</v>
      </c>
      <c r="Q167" s="2">
        <v>251.4</v>
      </c>
      <c r="R167" s="2">
        <f t="shared" si="13"/>
        <v>402.22280000000023</v>
      </c>
      <c r="S167" s="1" t="s">
        <v>1011</v>
      </c>
      <c r="T167" s="1" t="s">
        <v>1004</v>
      </c>
      <c r="U167" s="1" t="str">
        <f t="shared" si="14"/>
        <v>NO</v>
      </c>
    </row>
    <row r="168" spans="1:21" x14ac:dyDescent="0.3">
      <c r="A168" s="1" t="s">
        <v>342</v>
      </c>
      <c r="B168" s="1" t="s">
        <v>57</v>
      </c>
      <c r="C168" s="1" t="s">
        <v>58</v>
      </c>
      <c r="D168" s="1" t="s">
        <v>59</v>
      </c>
      <c r="E168" s="1" t="s">
        <v>1181</v>
      </c>
      <c r="F168" s="1" t="s">
        <v>1006</v>
      </c>
      <c r="G168" s="1" t="s">
        <v>1010</v>
      </c>
      <c r="H168" s="1">
        <v>8</v>
      </c>
      <c r="I168" s="1">
        <v>2</v>
      </c>
      <c r="J168" s="1" t="s">
        <v>2624</v>
      </c>
      <c r="K168" s="2">
        <v>475.64</v>
      </c>
      <c r="L168" s="6">
        <v>4</v>
      </c>
      <c r="M168" s="2">
        <f t="shared" si="10"/>
        <v>3805.12</v>
      </c>
      <c r="N168" s="2">
        <f t="shared" si="11"/>
        <v>152.20480000000001</v>
      </c>
      <c r="O168" s="2">
        <f t="shared" si="12"/>
        <v>3652.9151999999999</v>
      </c>
      <c r="P168" s="1">
        <v>209</v>
      </c>
      <c r="Q168" s="2">
        <v>332.95</v>
      </c>
      <c r="R168" s="2">
        <f t="shared" si="13"/>
        <v>989.3152</v>
      </c>
      <c r="S168" s="1" t="s">
        <v>1003</v>
      </c>
      <c r="T168" s="1" t="s">
        <v>1007</v>
      </c>
      <c r="U168" s="1" t="str">
        <f t="shared" si="14"/>
        <v>NO</v>
      </c>
    </row>
    <row r="169" spans="1:21" x14ac:dyDescent="0.3">
      <c r="A169" s="1" t="s">
        <v>343</v>
      </c>
      <c r="B169" s="1" t="s">
        <v>111</v>
      </c>
      <c r="C169" s="1" t="s">
        <v>112</v>
      </c>
      <c r="D169" s="1" t="s">
        <v>97</v>
      </c>
      <c r="E169" s="1" t="s">
        <v>1182</v>
      </c>
      <c r="F169" s="1" t="s">
        <v>1020</v>
      </c>
      <c r="G169" s="1" t="s">
        <v>1002</v>
      </c>
      <c r="H169" s="1">
        <v>15</v>
      </c>
      <c r="I169" s="1">
        <v>1</v>
      </c>
      <c r="J169" s="1" t="s">
        <v>2649</v>
      </c>
      <c r="K169" s="2">
        <v>41.83</v>
      </c>
      <c r="L169" s="6">
        <v>12</v>
      </c>
      <c r="M169" s="2">
        <f t="shared" si="10"/>
        <v>627.44999999999993</v>
      </c>
      <c r="N169" s="2">
        <f t="shared" si="11"/>
        <v>75.293999999999997</v>
      </c>
      <c r="O169" s="2">
        <f t="shared" si="12"/>
        <v>552.15599999999995</v>
      </c>
      <c r="P169" s="1">
        <v>185</v>
      </c>
      <c r="Q169" s="2">
        <v>29.28</v>
      </c>
      <c r="R169" s="2">
        <f t="shared" si="13"/>
        <v>112.9559999999999</v>
      </c>
      <c r="S169" s="1" t="s">
        <v>1011</v>
      </c>
      <c r="T169" s="1" t="s">
        <v>1007</v>
      </c>
      <c r="U169" s="1" t="str">
        <f t="shared" si="14"/>
        <v>NO</v>
      </c>
    </row>
    <row r="170" spans="1:21" x14ac:dyDescent="0.3">
      <c r="A170" s="1" t="s">
        <v>344</v>
      </c>
      <c r="B170" s="1" t="s">
        <v>123</v>
      </c>
      <c r="C170" s="1" t="s">
        <v>124</v>
      </c>
      <c r="D170" s="1" t="s">
        <v>47</v>
      </c>
      <c r="E170" s="1" t="s">
        <v>1183</v>
      </c>
      <c r="F170" s="1" t="s">
        <v>1027</v>
      </c>
      <c r="G170" s="1" t="s">
        <v>1002</v>
      </c>
      <c r="H170" s="1">
        <v>6</v>
      </c>
      <c r="I170" s="1">
        <v>6</v>
      </c>
      <c r="J170" s="1" t="s">
        <v>2650</v>
      </c>
      <c r="K170" s="2">
        <v>359.99</v>
      </c>
      <c r="L170" s="6">
        <v>11</v>
      </c>
      <c r="M170" s="2">
        <f t="shared" si="10"/>
        <v>2159.94</v>
      </c>
      <c r="N170" s="2">
        <f t="shared" si="11"/>
        <v>237.5934</v>
      </c>
      <c r="O170" s="2">
        <f t="shared" si="12"/>
        <v>1922.3466000000001</v>
      </c>
      <c r="P170" s="1">
        <v>223</v>
      </c>
      <c r="Q170" s="2">
        <v>251.99</v>
      </c>
      <c r="R170" s="2">
        <f t="shared" si="13"/>
        <v>410.40660000000003</v>
      </c>
      <c r="S170" s="1" t="s">
        <v>1011</v>
      </c>
      <c r="T170" s="1" t="s">
        <v>1007</v>
      </c>
      <c r="U170" s="1" t="str">
        <f t="shared" si="14"/>
        <v>NO</v>
      </c>
    </row>
    <row r="171" spans="1:21" x14ac:dyDescent="0.3">
      <c r="A171" s="1" t="s">
        <v>345</v>
      </c>
      <c r="B171" s="1" t="s">
        <v>37</v>
      </c>
      <c r="C171" s="1" t="s">
        <v>38</v>
      </c>
      <c r="D171" s="1" t="s">
        <v>39</v>
      </c>
      <c r="E171" s="1" t="s">
        <v>1184</v>
      </c>
      <c r="F171" s="1" t="s">
        <v>1006</v>
      </c>
      <c r="G171" s="1" t="s">
        <v>1010</v>
      </c>
      <c r="H171" s="1">
        <v>12</v>
      </c>
      <c r="I171" s="1">
        <v>1</v>
      </c>
      <c r="J171" s="1" t="s">
        <v>2651</v>
      </c>
      <c r="K171" s="2">
        <v>320.47000000000003</v>
      </c>
      <c r="L171" s="6">
        <v>19</v>
      </c>
      <c r="M171" s="2">
        <f t="shared" si="10"/>
        <v>3845.6400000000003</v>
      </c>
      <c r="N171" s="2">
        <f t="shared" si="11"/>
        <v>730.67160000000001</v>
      </c>
      <c r="O171" s="2">
        <f t="shared" si="12"/>
        <v>3114.9684000000002</v>
      </c>
      <c r="P171" s="1">
        <v>200</v>
      </c>
      <c r="Q171" s="2">
        <v>224.33</v>
      </c>
      <c r="R171" s="2">
        <f t="shared" si="13"/>
        <v>423.00840000000017</v>
      </c>
      <c r="S171" s="1" t="s">
        <v>1016</v>
      </c>
      <c r="T171" s="1" t="s">
        <v>1007</v>
      </c>
      <c r="U171" s="1" t="str">
        <f t="shared" si="14"/>
        <v>YES</v>
      </c>
    </row>
    <row r="172" spans="1:21" x14ac:dyDescent="0.3">
      <c r="A172" s="1" t="s">
        <v>346</v>
      </c>
      <c r="B172" s="1" t="s">
        <v>189</v>
      </c>
      <c r="C172" s="1" t="s">
        <v>190</v>
      </c>
      <c r="D172" s="1" t="s">
        <v>59</v>
      </c>
      <c r="E172" s="1" t="s">
        <v>1185</v>
      </c>
      <c r="F172" s="1" t="s">
        <v>1013</v>
      </c>
      <c r="G172" s="1" t="s">
        <v>1023</v>
      </c>
      <c r="H172" s="1">
        <v>10</v>
      </c>
      <c r="I172" s="1">
        <v>4</v>
      </c>
      <c r="J172" s="1" t="s">
        <v>2524</v>
      </c>
      <c r="K172" s="2">
        <v>65.87</v>
      </c>
      <c r="L172" s="6">
        <v>3</v>
      </c>
      <c r="M172" s="2">
        <f t="shared" si="10"/>
        <v>658.7</v>
      </c>
      <c r="N172" s="2">
        <f t="shared" si="11"/>
        <v>19.761000000000003</v>
      </c>
      <c r="O172" s="2">
        <f t="shared" si="12"/>
        <v>638.93900000000008</v>
      </c>
      <c r="P172" s="1">
        <v>97</v>
      </c>
      <c r="Q172" s="2">
        <v>46.11</v>
      </c>
      <c r="R172" s="2">
        <f t="shared" si="13"/>
        <v>177.83900000000006</v>
      </c>
      <c r="S172" s="1" t="s">
        <v>1011</v>
      </c>
      <c r="T172" s="1" t="s">
        <v>1007</v>
      </c>
      <c r="U172" s="1" t="str">
        <f t="shared" si="14"/>
        <v>NO</v>
      </c>
    </row>
    <row r="173" spans="1:21" x14ac:dyDescent="0.3">
      <c r="A173" s="1" t="s">
        <v>348</v>
      </c>
      <c r="B173" s="1" t="s">
        <v>95</v>
      </c>
      <c r="C173" s="1" t="s">
        <v>96</v>
      </c>
      <c r="D173" s="1" t="s">
        <v>97</v>
      </c>
      <c r="E173" s="1" t="s">
        <v>1186</v>
      </c>
      <c r="F173" s="1" t="s">
        <v>1009</v>
      </c>
      <c r="G173" s="1" t="s">
        <v>1023</v>
      </c>
      <c r="H173" s="1">
        <v>11</v>
      </c>
      <c r="I173" s="1">
        <v>3</v>
      </c>
      <c r="J173" s="1" t="s">
        <v>2652</v>
      </c>
      <c r="K173" s="2">
        <v>201.17</v>
      </c>
      <c r="L173" s="6">
        <v>5</v>
      </c>
      <c r="M173" s="2">
        <f t="shared" si="10"/>
        <v>2212.87</v>
      </c>
      <c r="N173" s="2">
        <f t="shared" si="11"/>
        <v>110.64349999999999</v>
      </c>
      <c r="O173" s="2">
        <f t="shared" si="12"/>
        <v>2102.2264999999998</v>
      </c>
      <c r="P173" s="1">
        <v>262</v>
      </c>
      <c r="Q173" s="2">
        <v>140.82</v>
      </c>
      <c r="R173" s="2">
        <f t="shared" si="13"/>
        <v>553.20649999999978</v>
      </c>
      <c r="S173" s="1" t="s">
        <v>1011</v>
      </c>
      <c r="T173" s="1" t="s">
        <v>1004</v>
      </c>
      <c r="U173" s="1" t="str">
        <f t="shared" si="14"/>
        <v>NO</v>
      </c>
    </row>
    <row r="174" spans="1:21" x14ac:dyDescent="0.3">
      <c r="A174" s="1" t="s">
        <v>349</v>
      </c>
      <c r="B174" s="1" t="s">
        <v>83</v>
      </c>
      <c r="C174" s="1" t="s">
        <v>84</v>
      </c>
      <c r="D174" s="1" t="s">
        <v>85</v>
      </c>
      <c r="E174" s="1" t="s">
        <v>1187</v>
      </c>
      <c r="F174" s="1" t="s">
        <v>1006</v>
      </c>
      <c r="G174" s="1" t="s">
        <v>1023</v>
      </c>
      <c r="H174" s="1">
        <v>8</v>
      </c>
      <c r="I174" s="1">
        <v>4</v>
      </c>
      <c r="J174" s="1" t="s">
        <v>2653</v>
      </c>
      <c r="K174" s="2">
        <v>215.99</v>
      </c>
      <c r="L174" s="6">
        <v>0</v>
      </c>
      <c r="M174" s="2">
        <f t="shared" si="10"/>
        <v>1727.92</v>
      </c>
      <c r="N174" s="2">
        <f t="shared" si="11"/>
        <v>0</v>
      </c>
      <c r="O174" s="2">
        <f t="shared" si="12"/>
        <v>1727.92</v>
      </c>
      <c r="P174" s="1">
        <v>265</v>
      </c>
      <c r="Q174" s="2">
        <v>151.19</v>
      </c>
      <c r="R174" s="2">
        <f t="shared" si="13"/>
        <v>518.40000000000009</v>
      </c>
      <c r="S174" s="1" t="s">
        <v>1003</v>
      </c>
      <c r="T174" s="1" t="s">
        <v>1007</v>
      </c>
      <c r="U174" s="1" t="str">
        <f t="shared" si="14"/>
        <v>NO</v>
      </c>
    </row>
    <row r="175" spans="1:21" x14ac:dyDescent="0.3">
      <c r="A175" s="1" t="s">
        <v>350</v>
      </c>
      <c r="B175" s="1" t="s">
        <v>172</v>
      </c>
      <c r="C175" s="1" t="s">
        <v>173</v>
      </c>
      <c r="D175" s="1" t="s">
        <v>132</v>
      </c>
      <c r="E175" s="1" t="s">
        <v>1188</v>
      </c>
      <c r="F175" s="1" t="s">
        <v>1006</v>
      </c>
      <c r="G175" s="1" t="s">
        <v>1023</v>
      </c>
      <c r="H175" s="1">
        <v>10</v>
      </c>
      <c r="I175" s="1">
        <v>2</v>
      </c>
      <c r="J175" s="1" t="s">
        <v>2618</v>
      </c>
      <c r="K175" s="2">
        <v>339.06</v>
      </c>
      <c r="L175" s="6">
        <v>9</v>
      </c>
      <c r="M175" s="2">
        <f t="shared" si="10"/>
        <v>3390.6</v>
      </c>
      <c r="N175" s="2">
        <f t="shared" si="11"/>
        <v>305.154</v>
      </c>
      <c r="O175" s="2">
        <f t="shared" si="12"/>
        <v>3085.4459999999999</v>
      </c>
      <c r="P175" s="1">
        <v>111</v>
      </c>
      <c r="Q175" s="2">
        <v>237.34</v>
      </c>
      <c r="R175" s="2">
        <f t="shared" si="13"/>
        <v>712.04599999999982</v>
      </c>
      <c r="S175" s="1" t="s">
        <v>1011</v>
      </c>
      <c r="T175" s="1" t="s">
        <v>1007</v>
      </c>
      <c r="U175" s="1" t="str">
        <f t="shared" si="14"/>
        <v>NO</v>
      </c>
    </row>
    <row r="176" spans="1:21" x14ac:dyDescent="0.3">
      <c r="A176" s="1" t="s">
        <v>351</v>
      </c>
      <c r="B176" s="1" t="s">
        <v>83</v>
      </c>
      <c r="C176" s="1" t="s">
        <v>84</v>
      </c>
      <c r="D176" s="1" t="s">
        <v>85</v>
      </c>
      <c r="E176" s="1" t="s">
        <v>1189</v>
      </c>
      <c r="F176" s="1" t="s">
        <v>1013</v>
      </c>
      <c r="G176" s="1" t="s">
        <v>1002</v>
      </c>
      <c r="H176" s="1">
        <v>9</v>
      </c>
      <c r="I176" s="1">
        <v>4</v>
      </c>
      <c r="J176" s="1" t="s">
        <v>2617</v>
      </c>
      <c r="K176" s="2">
        <v>226.42</v>
      </c>
      <c r="L176" s="6">
        <v>4</v>
      </c>
      <c r="M176" s="2">
        <f t="shared" si="10"/>
        <v>2037.78</v>
      </c>
      <c r="N176" s="2">
        <f t="shared" si="11"/>
        <v>81.511200000000002</v>
      </c>
      <c r="O176" s="2">
        <f t="shared" si="12"/>
        <v>1956.2688000000001</v>
      </c>
      <c r="P176" s="1">
        <v>271</v>
      </c>
      <c r="Q176" s="2">
        <v>158.49</v>
      </c>
      <c r="R176" s="2">
        <f t="shared" si="13"/>
        <v>529.85879999999997</v>
      </c>
      <c r="S176" s="1" t="s">
        <v>1011</v>
      </c>
      <c r="T176" s="1" t="s">
        <v>1007</v>
      </c>
      <c r="U176" s="1" t="str">
        <f t="shared" si="14"/>
        <v>NO</v>
      </c>
    </row>
    <row r="177" spans="1:21" x14ac:dyDescent="0.3">
      <c r="A177" s="1" t="s">
        <v>352</v>
      </c>
      <c r="B177" s="1" t="s">
        <v>118</v>
      </c>
      <c r="C177" s="1" t="s">
        <v>119</v>
      </c>
      <c r="D177" s="1" t="s">
        <v>97</v>
      </c>
      <c r="E177" s="1" t="s">
        <v>1190</v>
      </c>
      <c r="F177" s="1" t="s">
        <v>1009</v>
      </c>
      <c r="G177" s="1" t="s">
        <v>1010</v>
      </c>
      <c r="H177" s="1">
        <v>4</v>
      </c>
      <c r="I177" s="1">
        <v>5</v>
      </c>
      <c r="J177" s="1" t="s">
        <v>2654</v>
      </c>
      <c r="K177" s="2">
        <v>362.1</v>
      </c>
      <c r="L177" s="6">
        <v>1</v>
      </c>
      <c r="M177" s="2">
        <f t="shared" si="10"/>
        <v>1448.4</v>
      </c>
      <c r="N177" s="2">
        <f t="shared" si="11"/>
        <v>14.484000000000002</v>
      </c>
      <c r="O177" s="2">
        <f t="shared" si="12"/>
        <v>1433.9160000000002</v>
      </c>
      <c r="P177" s="1">
        <v>135</v>
      </c>
      <c r="Q177" s="2">
        <v>253.47</v>
      </c>
      <c r="R177" s="2">
        <f t="shared" si="13"/>
        <v>420.03600000000017</v>
      </c>
      <c r="S177" s="1" t="s">
        <v>1011</v>
      </c>
      <c r="T177" s="1" t="s">
        <v>1007</v>
      </c>
      <c r="U177" s="1" t="str">
        <f t="shared" si="14"/>
        <v>NO</v>
      </c>
    </row>
    <row r="178" spans="1:21" x14ac:dyDescent="0.3">
      <c r="A178" s="1" t="s">
        <v>353</v>
      </c>
      <c r="B178" s="1" t="s">
        <v>107</v>
      </c>
      <c r="C178" s="1" t="s">
        <v>108</v>
      </c>
      <c r="D178" s="1" t="s">
        <v>39</v>
      </c>
      <c r="E178" s="1" t="s">
        <v>1191</v>
      </c>
      <c r="F178" s="1" t="s">
        <v>1013</v>
      </c>
      <c r="G178" s="1" t="s">
        <v>1023</v>
      </c>
      <c r="H178" s="1">
        <v>9</v>
      </c>
      <c r="I178" s="1">
        <v>4</v>
      </c>
      <c r="J178" s="1" t="s">
        <v>2655</v>
      </c>
      <c r="K178" s="2">
        <v>494.99</v>
      </c>
      <c r="L178" s="6">
        <v>19</v>
      </c>
      <c r="M178" s="2">
        <f t="shared" si="10"/>
        <v>4454.91</v>
      </c>
      <c r="N178" s="2">
        <f t="shared" si="11"/>
        <v>846.4328999999999</v>
      </c>
      <c r="O178" s="2">
        <f t="shared" si="12"/>
        <v>3608.4771000000001</v>
      </c>
      <c r="P178" s="1">
        <v>136</v>
      </c>
      <c r="Q178" s="2">
        <v>346.49</v>
      </c>
      <c r="R178" s="2">
        <f t="shared" si="13"/>
        <v>490.06710000000021</v>
      </c>
      <c r="S178" s="1" t="s">
        <v>1016</v>
      </c>
      <c r="T178" s="1" t="s">
        <v>1007</v>
      </c>
      <c r="U178" s="1" t="str">
        <f t="shared" si="14"/>
        <v>YES</v>
      </c>
    </row>
    <row r="179" spans="1:21" x14ac:dyDescent="0.3">
      <c r="A179" s="1" t="s">
        <v>354</v>
      </c>
      <c r="B179" s="1" t="s">
        <v>102</v>
      </c>
      <c r="C179" s="1" t="s">
        <v>103</v>
      </c>
      <c r="D179" s="1" t="s">
        <v>104</v>
      </c>
      <c r="E179" s="1" t="s">
        <v>1192</v>
      </c>
      <c r="F179" s="1" t="s">
        <v>1013</v>
      </c>
      <c r="G179" s="1" t="s">
        <v>1010</v>
      </c>
      <c r="H179" s="1">
        <v>14</v>
      </c>
      <c r="I179" s="1">
        <v>2</v>
      </c>
      <c r="J179" s="1" t="s">
        <v>2656</v>
      </c>
      <c r="K179" s="2">
        <v>400.36</v>
      </c>
      <c r="L179" s="6">
        <v>0</v>
      </c>
      <c r="M179" s="2">
        <f t="shared" si="10"/>
        <v>5605.04</v>
      </c>
      <c r="N179" s="2">
        <f t="shared" si="11"/>
        <v>0</v>
      </c>
      <c r="O179" s="2">
        <f t="shared" si="12"/>
        <v>5605.04</v>
      </c>
      <c r="P179" s="1">
        <v>123</v>
      </c>
      <c r="Q179" s="2">
        <v>280.25</v>
      </c>
      <c r="R179" s="2">
        <f t="shared" si="13"/>
        <v>1681.54</v>
      </c>
      <c r="S179" s="1" t="s">
        <v>1003</v>
      </c>
      <c r="T179" s="1" t="s">
        <v>1007</v>
      </c>
      <c r="U179" s="1" t="str">
        <f t="shared" si="14"/>
        <v>NO</v>
      </c>
    </row>
    <row r="180" spans="1:21" x14ac:dyDescent="0.3">
      <c r="A180" s="1" t="s">
        <v>355</v>
      </c>
      <c r="B180" s="1" t="s">
        <v>111</v>
      </c>
      <c r="C180" s="1" t="s">
        <v>112</v>
      </c>
      <c r="D180" s="1" t="s">
        <v>97</v>
      </c>
      <c r="E180" s="1" t="s">
        <v>1193</v>
      </c>
      <c r="F180" s="1" t="s">
        <v>1020</v>
      </c>
      <c r="G180" s="1" t="s">
        <v>1010</v>
      </c>
      <c r="H180" s="1">
        <v>5</v>
      </c>
      <c r="I180" s="1">
        <v>7</v>
      </c>
      <c r="J180" s="1" t="s">
        <v>2607</v>
      </c>
      <c r="K180" s="2">
        <v>189.5</v>
      </c>
      <c r="L180" s="6">
        <v>18</v>
      </c>
      <c r="M180" s="2">
        <f t="shared" si="10"/>
        <v>947.5</v>
      </c>
      <c r="N180" s="2">
        <f t="shared" si="11"/>
        <v>170.55</v>
      </c>
      <c r="O180" s="2">
        <f t="shared" si="12"/>
        <v>776.95</v>
      </c>
      <c r="P180" s="1">
        <v>145</v>
      </c>
      <c r="Q180" s="2">
        <v>132.65</v>
      </c>
      <c r="R180" s="2">
        <f t="shared" si="13"/>
        <v>113.70000000000005</v>
      </c>
      <c r="S180" s="1" t="s">
        <v>1016</v>
      </c>
      <c r="T180" s="1" t="s">
        <v>1007</v>
      </c>
      <c r="U180" s="1" t="str">
        <f t="shared" si="14"/>
        <v>YES</v>
      </c>
    </row>
    <row r="181" spans="1:21" x14ac:dyDescent="0.3">
      <c r="A181" s="1" t="s">
        <v>356</v>
      </c>
      <c r="B181" s="1" t="s">
        <v>83</v>
      </c>
      <c r="C181" s="1" t="s">
        <v>84</v>
      </c>
      <c r="D181" s="1" t="s">
        <v>85</v>
      </c>
      <c r="E181" s="1" t="s">
        <v>1194</v>
      </c>
      <c r="F181" s="1" t="s">
        <v>1013</v>
      </c>
      <c r="G181" s="1" t="s">
        <v>1010</v>
      </c>
      <c r="H181" s="1">
        <v>6</v>
      </c>
      <c r="I181" s="1">
        <v>7</v>
      </c>
      <c r="J181" s="1" t="s">
        <v>2657</v>
      </c>
      <c r="K181" s="2">
        <v>362.06</v>
      </c>
      <c r="L181" s="6">
        <v>2</v>
      </c>
      <c r="M181" s="2">
        <f t="shared" si="10"/>
        <v>2172.36</v>
      </c>
      <c r="N181" s="2">
        <f t="shared" si="11"/>
        <v>43.447200000000002</v>
      </c>
      <c r="O181" s="2">
        <f t="shared" si="12"/>
        <v>2128.9128000000001</v>
      </c>
      <c r="P181" s="1">
        <v>92</v>
      </c>
      <c r="Q181" s="2">
        <v>253.44</v>
      </c>
      <c r="R181" s="2">
        <f t="shared" si="13"/>
        <v>608.27280000000019</v>
      </c>
      <c r="S181" s="1" t="s">
        <v>1003</v>
      </c>
      <c r="T181" s="1" t="s">
        <v>1004</v>
      </c>
      <c r="U181" s="1" t="str">
        <f t="shared" si="14"/>
        <v>NO</v>
      </c>
    </row>
    <row r="182" spans="1:21" x14ac:dyDescent="0.3">
      <c r="A182" s="1" t="s">
        <v>357</v>
      </c>
      <c r="B182" s="1" t="s">
        <v>143</v>
      </c>
      <c r="C182" s="1" t="s">
        <v>144</v>
      </c>
      <c r="D182" s="1" t="s">
        <v>47</v>
      </c>
      <c r="E182" s="1" t="s">
        <v>1195</v>
      </c>
      <c r="F182" s="1" t="s">
        <v>1013</v>
      </c>
      <c r="G182" s="1" t="s">
        <v>1010</v>
      </c>
      <c r="H182" s="1">
        <v>11</v>
      </c>
      <c r="I182" s="1">
        <v>5</v>
      </c>
      <c r="J182" s="1" t="s">
        <v>2555</v>
      </c>
      <c r="K182" s="2">
        <v>308.02</v>
      </c>
      <c r="L182" s="6">
        <v>0</v>
      </c>
      <c r="M182" s="2">
        <f t="shared" si="10"/>
        <v>3388.22</v>
      </c>
      <c r="N182" s="2">
        <f t="shared" si="11"/>
        <v>0</v>
      </c>
      <c r="O182" s="2">
        <f t="shared" si="12"/>
        <v>3388.22</v>
      </c>
      <c r="P182" s="1">
        <v>133</v>
      </c>
      <c r="Q182" s="2">
        <v>215.61</v>
      </c>
      <c r="R182" s="2">
        <f t="shared" si="13"/>
        <v>1016.5099999999998</v>
      </c>
      <c r="S182" s="1" t="s">
        <v>1011</v>
      </c>
      <c r="T182" s="1" t="s">
        <v>1004</v>
      </c>
      <c r="U182" s="1" t="str">
        <f t="shared" si="14"/>
        <v>NO</v>
      </c>
    </row>
    <row r="183" spans="1:21" x14ac:dyDescent="0.3">
      <c r="A183" s="1" t="s">
        <v>358</v>
      </c>
      <c r="B183" s="1" t="s">
        <v>189</v>
      </c>
      <c r="C183" s="1" t="s">
        <v>190</v>
      </c>
      <c r="D183" s="1" t="s">
        <v>59</v>
      </c>
      <c r="E183" s="1" t="s">
        <v>1196</v>
      </c>
      <c r="F183" s="1" t="s">
        <v>1015</v>
      </c>
      <c r="G183" s="1" t="s">
        <v>1023</v>
      </c>
      <c r="H183" s="1">
        <v>5</v>
      </c>
      <c r="I183" s="1">
        <v>5</v>
      </c>
      <c r="J183" s="1" t="s">
        <v>2658</v>
      </c>
      <c r="K183" s="2">
        <v>141.44999999999999</v>
      </c>
      <c r="L183" s="6">
        <v>7</v>
      </c>
      <c r="M183" s="2">
        <f t="shared" si="10"/>
        <v>707.25</v>
      </c>
      <c r="N183" s="2">
        <f t="shared" si="11"/>
        <v>49.5075</v>
      </c>
      <c r="O183" s="2">
        <f t="shared" si="12"/>
        <v>657.74249999999995</v>
      </c>
      <c r="P183" s="1">
        <v>114</v>
      </c>
      <c r="Q183" s="2">
        <v>99.01</v>
      </c>
      <c r="R183" s="2">
        <f t="shared" si="13"/>
        <v>162.69249999999994</v>
      </c>
      <c r="S183" s="1" t="s">
        <v>1003</v>
      </c>
      <c r="T183" s="1" t="s">
        <v>1007</v>
      </c>
      <c r="U183" s="1" t="str">
        <f t="shared" si="14"/>
        <v>NO</v>
      </c>
    </row>
    <row r="184" spans="1:21" x14ac:dyDescent="0.3">
      <c r="A184" s="1" t="s">
        <v>359</v>
      </c>
      <c r="B184" s="1" t="s">
        <v>299</v>
      </c>
      <c r="C184" s="1" t="s">
        <v>300</v>
      </c>
      <c r="D184" s="1" t="s">
        <v>39</v>
      </c>
      <c r="E184" s="1" t="s">
        <v>1197</v>
      </c>
      <c r="F184" s="1" t="s">
        <v>1015</v>
      </c>
      <c r="G184" s="1" t="s">
        <v>1002</v>
      </c>
      <c r="H184" s="1">
        <v>4</v>
      </c>
      <c r="I184" s="1">
        <v>1</v>
      </c>
      <c r="J184" s="1" t="s">
        <v>2659</v>
      </c>
      <c r="K184" s="2">
        <v>345.68</v>
      </c>
      <c r="L184" s="6">
        <v>1</v>
      </c>
      <c r="M184" s="2">
        <f t="shared" si="10"/>
        <v>1382.72</v>
      </c>
      <c r="N184" s="2">
        <f t="shared" si="11"/>
        <v>13.827199999999999</v>
      </c>
      <c r="O184" s="2">
        <f t="shared" si="12"/>
        <v>1368.8928000000001</v>
      </c>
      <c r="P184" s="1">
        <v>84</v>
      </c>
      <c r="Q184" s="2">
        <v>241.98</v>
      </c>
      <c r="R184" s="2">
        <f t="shared" si="13"/>
        <v>400.97280000000012</v>
      </c>
      <c r="S184" s="1" t="s">
        <v>1011</v>
      </c>
      <c r="T184" s="1" t="s">
        <v>1007</v>
      </c>
      <c r="U184" s="1" t="str">
        <f t="shared" si="14"/>
        <v>NO</v>
      </c>
    </row>
    <row r="185" spans="1:21" x14ac:dyDescent="0.3">
      <c r="A185" s="1" t="s">
        <v>360</v>
      </c>
      <c r="B185" s="1" t="s">
        <v>192</v>
      </c>
      <c r="C185" s="1" t="s">
        <v>193</v>
      </c>
      <c r="D185" s="1" t="s">
        <v>85</v>
      </c>
      <c r="E185" s="1" t="s">
        <v>1198</v>
      </c>
      <c r="F185" s="1" t="s">
        <v>1006</v>
      </c>
      <c r="G185" s="1" t="s">
        <v>1023</v>
      </c>
      <c r="H185" s="1">
        <v>5</v>
      </c>
      <c r="I185" s="1">
        <v>6</v>
      </c>
      <c r="J185" s="1" t="s">
        <v>2519</v>
      </c>
      <c r="K185" s="2">
        <v>381.27</v>
      </c>
      <c r="L185" s="6">
        <v>23</v>
      </c>
      <c r="M185" s="2">
        <f t="shared" si="10"/>
        <v>1906.35</v>
      </c>
      <c r="N185" s="2">
        <f t="shared" si="11"/>
        <v>438.46049999999997</v>
      </c>
      <c r="O185" s="2">
        <f t="shared" si="12"/>
        <v>1467.8895</v>
      </c>
      <c r="P185" s="1">
        <v>209</v>
      </c>
      <c r="Q185" s="2">
        <v>266.89</v>
      </c>
      <c r="R185" s="2">
        <f t="shared" si="13"/>
        <v>133.43950000000018</v>
      </c>
      <c r="S185" s="1" t="s">
        <v>1003</v>
      </c>
      <c r="T185" s="1" t="s">
        <v>1007</v>
      </c>
      <c r="U185" s="1" t="str">
        <f t="shared" si="14"/>
        <v>NO</v>
      </c>
    </row>
    <row r="186" spans="1:21" x14ac:dyDescent="0.3">
      <c r="A186" s="1" t="s">
        <v>362</v>
      </c>
      <c r="B186" s="1" t="s">
        <v>130</v>
      </c>
      <c r="C186" s="1" t="s">
        <v>131</v>
      </c>
      <c r="D186" s="1" t="s">
        <v>132</v>
      </c>
      <c r="E186" s="1" t="s">
        <v>1199</v>
      </c>
      <c r="F186" s="1" t="s">
        <v>1001</v>
      </c>
      <c r="G186" s="1" t="s">
        <v>1010</v>
      </c>
      <c r="H186" s="1">
        <v>15</v>
      </c>
      <c r="I186" s="1">
        <v>5</v>
      </c>
      <c r="J186" s="1" t="s">
        <v>2541</v>
      </c>
      <c r="K186" s="2">
        <v>138.41999999999999</v>
      </c>
      <c r="L186" s="6">
        <v>23</v>
      </c>
      <c r="M186" s="2">
        <f t="shared" si="10"/>
        <v>2076.2999999999997</v>
      </c>
      <c r="N186" s="2">
        <f t="shared" si="11"/>
        <v>477.54899999999992</v>
      </c>
      <c r="O186" s="2">
        <f t="shared" si="12"/>
        <v>1598.7509999999997</v>
      </c>
      <c r="P186" s="1">
        <v>42</v>
      </c>
      <c r="Q186" s="2">
        <v>96.89</v>
      </c>
      <c r="R186" s="2">
        <f t="shared" si="13"/>
        <v>145.40099999999984</v>
      </c>
      <c r="S186" s="1" t="s">
        <v>1016</v>
      </c>
      <c r="T186" s="1" t="s">
        <v>1004</v>
      </c>
      <c r="U186" s="1" t="str">
        <f t="shared" si="14"/>
        <v>YES</v>
      </c>
    </row>
    <row r="187" spans="1:21" x14ac:dyDescent="0.3">
      <c r="A187" s="1" t="s">
        <v>363</v>
      </c>
      <c r="B187" s="1" t="s">
        <v>77</v>
      </c>
      <c r="C187" s="1" t="s">
        <v>78</v>
      </c>
      <c r="D187" s="1" t="s">
        <v>47</v>
      </c>
      <c r="E187" s="1" t="s">
        <v>1200</v>
      </c>
      <c r="F187" s="1" t="s">
        <v>1001</v>
      </c>
      <c r="G187" s="1" t="s">
        <v>1010</v>
      </c>
      <c r="H187" s="1">
        <v>11</v>
      </c>
      <c r="I187" s="1">
        <v>4</v>
      </c>
      <c r="J187" s="1" t="s">
        <v>2660</v>
      </c>
      <c r="K187" s="2">
        <v>102.49</v>
      </c>
      <c r="L187" s="6">
        <v>9</v>
      </c>
      <c r="M187" s="2">
        <f t="shared" si="10"/>
        <v>1127.3899999999999</v>
      </c>
      <c r="N187" s="2">
        <f t="shared" si="11"/>
        <v>101.46509999999998</v>
      </c>
      <c r="O187" s="2">
        <f t="shared" si="12"/>
        <v>1025.9249</v>
      </c>
      <c r="P187" s="1">
        <v>273</v>
      </c>
      <c r="Q187" s="2">
        <v>71.739999999999995</v>
      </c>
      <c r="R187" s="2">
        <f t="shared" si="13"/>
        <v>236.78489999999999</v>
      </c>
      <c r="S187" s="1" t="s">
        <v>1011</v>
      </c>
      <c r="T187" s="1" t="s">
        <v>1004</v>
      </c>
      <c r="U187" s="1" t="str">
        <f t="shared" si="14"/>
        <v>NO</v>
      </c>
    </row>
    <row r="188" spans="1:21" x14ac:dyDescent="0.3">
      <c r="A188" s="1" t="s">
        <v>364</v>
      </c>
      <c r="B188" s="1" t="s">
        <v>83</v>
      </c>
      <c r="C188" s="1" t="s">
        <v>84</v>
      </c>
      <c r="D188" s="1" t="s">
        <v>85</v>
      </c>
      <c r="E188" s="1" t="s">
        <v>1201</v>
      </c>
      <c r="F188" s="1" t="s">
        <v>1015</v>
      </c>
      <c r="G188" s="1" t="s">
        <v>1002</v>
      </c>
      <c r="H188" s="1">
        <v>10</v>
      </c>
      <c r="I188" s="1">
        <v>7</v>
      </c>
      <c r="J188" s="1" t="s">
        <v>2661</v>
      </c>
      <c r="K188" s="2">
        <v>119.12</v>
      </c>
      <c r="L188" s="6">
        <v>8</v>
      </c>
      <c r="M188" s="2">
        <f t="shared" si="10"/>
        <v>1191.2</v>
      </c>
      <c r="N188" s="2">
        <f t="shared" si="11"/>
        <v>95.296000000000006</v>
      </c>
      <c r="O188" s="2">
        <f t="shared" si="12"/>
        <v>1095.904</v>
      </c>
      <c r="P188" s="1">
        <v>56</v>
      </c>
      <c r="Q188" s="2">
        <v>83.38</v>
      </c>
      <c r="R188" s="2">
        <f t="shared" si="13"/>
        <v>262.10400000000004</v>
      </c>
      <c r="S188" s="1" t="s">
        <v>1016</v>
      </c>
      <c r="T188" s="1" t="s">
        <v>1007</v>
      </c>
      <c r="U188" s="1" t="str">
        <f t="shared" si="14"/>
        <v>YES</v>
      </c>
    </row>
    <row r="189" spans="1:21" x14ac:dyDescent="0.3">
      <c r="A189" s="1" t="s">
        <v>365</v>
      </c>
      <c r="B189" s="1" t="s">
        <v>45</v>
      </c>
      <c r="C189" s="1" t="s">
        <v>46</v>
      </c>
      <c r="D189" s="1" t="s">
        <v>47</v>
      </c>
      <c r="E189" s="1" t="s">
        <v>1202</v>
      </c>
      <c r="F189" s="1" t="s">
        <v>1006</v>
      </c>
      <c r="G189" s="1" t="s">
        <v>1002</v>
      </c>
      <c r="H189" s="1">
        <v>7</v>
      </c>
      <c r="I189" s="1">
        <v>1</v>
      </c>
      <c r="J189" s="1" t="s">
        <v>2662</v>
      </c>
      <c r="K189" s="2">
        <v>464.91</v>
      </c>
      <c r="L189" s="6">
        <v>11</v>
      </c>
      <c r="M189" s="2">
        <f t="shared" si="10"/>
        <v>3254.3700000000003</v>
      </c>
      <c r="N189" s="2">
        <f t="shared" si="11"/>
        <v>357.98070000000007</v>
      </c>
      <c r="O189" s="2">
        <f t="shared" si="12"/>
        <v>2896.3893000000003</v>
      </c>
      <c r="P189" s="1">
        <v>210</v>
      </c>
      <c r="Q189" s="2">
        <v>325.44</v>
      </c>
      <c r="R189" s="2">
        <f t="shared" si="13"/>
        <v>618.30930000000035</v>
      </c>
      <c r="S189" s="1" t="s">
        <v>1003</v>
      </c>
      <c r="T189" s="1" t="s">
        <v>1007</v>
      </c>
      <c r="U189" s="1" t="str">
        <f t="shared" si="14"/>
        <v>NO</v>
      </c>
    </row>
    <row r="190" spans="1:21" x14ac:dyDescent="0.3">
      <c r="A190" s="1" t="s">
        <v>366</v>
      </c>
      <c r="B190" s="1" t="s">
        <v>107</v>
      </c>
      <c r="C190" s="1" t="s">
        <v>108</v>
      </c>
      <c r="D190" s="1" t="s">
        <v>39</v>
      </c>
      <c r="E190" s="1" t="s">
        <v>1203</v>
      </c>
      <c r="F190" s="1" t="s">
        <v>1001</v>
      </c>
      <c r="G190" s="1" t="s">
        <v>1010</v>
      </c>
      <c r="H190" s="1">
        <v>2</v>
      </c>
      <c r="I190" s="1">
        <v>2</v>
      </c>
      <c r="J190" s="1" t="s">
        <v>2663</v>
      </c>
      <c r="K190" s="2">
        <v>240.8</v>
      </c>
      <c r="L190" s="6">
        <v>7</v>
      </c>
      <c r="M190" s="2">
        <f t="shared" si="10"/>
        <v>481.6</v>
      </c>
      <c r="N190" s="2">
        <f t="shared" si="11"/>
        <v>33.712000000000003</v>
      </c>
      <c r="O190" s="2">
        <f t="shared" si="12"/>
        <v>447.88800000000003</v>
      </c>
      <c r="P190" s="1">
        <v>258</v>
      </c>
      <c r="Q190" s="2">
        <v>168.56</v>
      </c>
      <c r="R190" s="2">
        <f t="shared" si="13"/>
        <v>110.76800000000003</v>
      </c>
      <c r="S190" s="1" t="s">
        <v>1003</v>
      </c>
      <c r="T190" s="1" t="s">
        <v>1007</v>
      </c>
      <c r="U190" s="1" t="str">
        <f t="shared" si="14"/>
        <v>NO</v>
      </c>
    </row>
    <row r="191" spans="1:21" x14ac:dyDescent="0.3">
      <c r="A191" s="1" t="s">
        <v>367</v>
      </c>
      <c r="B191" s="1" t="s">
        <v>123</v>
      </c>
      <c r="C191" s="1" t="s">
        <v>124</v>
      </c>
      <c r="D191" s="1" t="s">
        <v>47</v>
      </c>
      <c r="E191" s="1" t="s">
        <v>1204</v>
      </c>
      <c r="F191" s="1" t="s">
        <v>1015</v>
      </c>
      <c r="G191" s="1" t="s">
        <v>1002</v>
      </c>
      <c r="H191" s="1">
        <v>2</v>
      </c>
      <c r="I191" s="1">
        <v>2</v>
      </c>
      <c r="J191" s="1" t="s">
        <v>2554</v>
      </c>
      <c r="K191" s="2">
        <v>209.03</v>
      </c>
      <c r="L191" s="6">
        <v>20</v>
      </c>
      <c r="M191" s="2">
        <f t="shared" si="10"/>
        <v>418.06</v>
      </c>
      <c r="N191" s="2">
        <f t="shared" si="11"/>
        <v>83.612000000000009</v>
      </c>
      <c r="O191" s="2">
        <f t="shared" si="12"/>
        <v>334.44799999999998</v>
      </c>
      <c r="P191" s="1">
        <v>180</v>
      </c>
      <c r="Q191" s="2">
        <v>146.32</v>
      </c>
      <c r="R191" s="2">
        <f t="shared" si="13"/>
        <v>41.807999999999993</v>
      </c>
      <c r="S191" s="1" t="s">
        <v>1011</v>
      </c>
      <c r="T191" s="1" t="s">
        <v>1007</v>
      </c>
      <c r="U191" s="1" t="str">
        <f t="shared" si="14"/>
        <v>NO</v>
      </c>
    </row>
    <row r="192" spans="1:21" x14ac:dyDescent="0.3">
      <c r="A192" s="1" t="s">
        <v>368</v>
      </c>
      <c r="B192" s="1" t="s">
        <v>111</v>
      </c>
      <c r="C192" s="1" t="s">
        <v>112</v>
      </c>
      <c r="D192" s="1" t="s">
        <v>97</v>
      </c>
      <c r="E192" s="1" t="s">
        <v>1205</v>
      </c>
      <c r="F192" s="1" t="s">
        <v>1020</v>
      </c>
      <c r="G192" s="1" t="s">
        <v>1010</v>
      </c>
      <c r="H192" s="1">
        <v>2</v>
      </c>
      <c r="I192" s="1">
        <v>6</v>
      </c>
      <c r="J192" s="1" t="s">
        <v>2664</v>
      </c>
      <c r="K192" s="2">
        <v>348.35</v>
      </c>
      <c r="L192" s="6">
        <v>19</v>
      </c>
      <c r="M192" s="2">
        <f t="shared" si="10"/>
        <v>696.7</v>
      </c>
      <c r="N192" s="2">
        <f t="shared" si="11"/>
        <v>132.37300000000002</v>
      </c>
      <c r="O192" s="2">
        <f t="shared" si="12"/>
        <v>564.327</v>
      </c>
      <c r="P192" s="1">
        <v>123</v>
      </c>
      <c r="Q192" s="2">
        <v>243.84</v>
      </c>
      <c r="R192" s="2">
        <f t="shared" si="13"/>
        <v>76.646999999999991</v>
      </c>
      <c r="S192" s="1" t="s">
        <v>1003</v>
      </c>
      <c r="T192" s="1" t="s">
        <v>1007</v>
      </c>
      <c r="U192" s="1" t="str">
        <f t="shared" si="14"/>
        <v>NO</v>
      </c>
    </row>
    <row r="193" spans="1:21" x14ac:dyDescent="0.3">
      <c r="A193" s="1" t="s">
        <v>369</v>
      </c>
      <c r="B193" s="1" t="s">
        <v>118</v>
      </c>
      <c r="C193" s="1" t="s">
        <v>119</v>
      </c>
      <c r="D193" s="1" t="s">
        <v>97</v>
      </c>
      <c r="E193" s="1" t="s">
        <v>1206</v>
      </c>
      <c r="F193" s="1" t="s">
        <v>1006</v>
      </c>
      <c r="G193" s="1" t="s">
        <v>1010</v>
      </c>
      <c r="H193" s="1">
        <v>6</v>
      </c>
      <c r="I193" s="1">
        <v>7</v>
      </c>
      <c r="J193" s="1" t="s">
        <v>2529</v>
      </c>
      <c r="K193" s="2">
        <v>476.06</v>
      </c>
      <c r="L193" s="6">
        <v>1</v>
      </c>
      <c r="M193" s="2">
        <f t="shared" si="10"/>
        <v>2856.36</v>
      </c>
      <c r="N193" s="2">
        <f t="shared" si="11"/>
        <v>28.563600000000001</v>
      </c>
      <c r="O193" s="2">
        <f t="shared" si="12"/>
        <v>2827.7964000000002</v>
      </c>
      <c r="P193" s="1">
        <v>229</v>
      </c>
      <c r="Q193" s="2">
        <v>333.24</v>
      </c>
      <c r="R193" s="2">
        <f t="shared" si="13"/>
        <v>828.35640000000012</v>
      </c>
      <c r="S193" s="1" t="s">
        <v>1016</v>
      </c>
      <c r="T193" s="1" t="s">
        <v>1004</v>
      </c>
      <c r="U193" s="1" t="str">
        <f t="shared" si="14"/>
        <v>YES</v>
      </c>
    </row>
    <row r="194" spans="1:21" x14ac:dyDescent="0.3">
      <c r="A194" s="1" t="s">
        <v>370</v>
      </c>
      <c r="B194" s="1" t="s">
        <v>107</v>
      </c>
      <c r="C194" s="1" t="s">
        <v>108</v>
      </c>
      <c r="D194" s="1" t="s">
        <v>39</v>
      </c>
      <c r="E194" s="1" t="s">
        <v>1207</v>
      </c>
      <c r="F194" s="1" t="s">
        <v>1006</v>
      </c>
      <c r="G194" s="1" t="s">
        <v>1002</v>
      </c>
      <c r="H194" s="1">
        <v>1</v>
      </c>
      <c r="I194" s="1">
        <v>6</v>
      </c>
      <c r="J194" s="1" t="s">
        <v>2665</v>
      </c>
      <c r="K194" s="2">
        <v>43.07</v>
      </c>
      <c r="L194" s="6">
        <v>8</v>
      </c>
      <c r="M194" s="2">
        <f t="shared" ref="M194:M257" si="15">H194*K194</f>
        <v>43.07</v>
      </c>
      <c r="N194" s="2">
        <f t="shared" ref="N194:N257" si="16">M194*L194/100</f>
        <v>3.4456000000000002</v>
      </c>
      <c r="O194" s="2">
        <f t="shared" ref="O194:O257" si="17">M194-N194</f>
        <v>39.624400000000001</v>
      </c>
      <c r="P194" s="1">
        <v>263</v>
      </c>
      <c r="Q194" s="2">
        <v>30.15</v>
      </c>
      <c r="R194" s="2">
        <f t="shared" ref="R194:R257" si="18">O194-(H194*Q194)</f>
        <v>9.4744000000000028</v>
      </c>
      <c r="S194" s="1" t="s">
        <v>1003</v>
      </c>
      <c r="T194" s="1" t="s">
        <v>1007</v>
      </c>
      <c r="U194" s="1" t="str">
        <f t="shared" ref="U194:U257" si="19">IF(S194="Delivered","YES","NO")</f>
        <v>NO</v>
      </c>
    </row>
    <row r="195" spans="1:21" x14ac:dyDescent="0.3">
      <c r="A195" s="1" t="s">
        <v>371</v>
      </c>
      <c r="B195" s="1" t="s">
        <v>118</v>
      </c>
      <c r="C195" s="1" t="s">
        <v>119</v>
      </c>
      <c r="D195" s="1" t="s">
        <v>97</v>
      </c>
      <c r="E195" s="1" t="s">
        <v>1208</v>
      </c>
      <c r="F195" s="1" t="s">
        <v>1013</v>
      </c>
      <c r="G195" s="1" t="s">
        <v>1023</v>
      </c>
      <c r="H195" s="1">
        <v>6</v>
      </c>
      <c r="I195" s="1">
        <v>5</v>
      </c>
      <c r="J195" s="1" t="s">
        <v>2548</v>
      </c>
      <c r="K195" s="2">
        <v>364.06</v>
      </c>
      <c r="L195" s="6">
        <v>22</v>
      </c>
      <c r="M195" s="2">
        <f t="shared" si="15"/>
        <v>2184.36</v>
      </c>
      <c r="N195" s="2">
        <f t="shared" si="16"/>
        <v>480.55920000000003</v>
      </c>
      <c r="O195" s="2">
        <f t="shared" si="17"/>
        <v>1703.8008</v>
      </c>
      <c r="P195" s="1">
        <v>69</v>
      </c>
      <c r="Q195" s="2">
        <v>254.84</v>
      </c>
      <c r="R195" s="2">
        <f t="shared" si="18"/>
        <v>174.76080000000002</v>
      </c>
      <c r="S195" s="1" t="s">
        <v>1016</v>
      </c>
      <c r="T195" s="1" t="s">
        <v>1007</v>
      </c>
      <c r="U195" s="1" t="str">
        <f t="shared" si="19"/>
        <v>YES</v>
      </c>
    </row>
    <row r="196" spans="1:21" x14ac:dyDescent="0.3">
      <c r="A196" s="1" t="s">
        <v>372</v>
      </c>
      <c r="B196" s="1" t="s">
        <v>262</v>
      </c>
      <c r="C196" s="1" t="s">
        <v>263</v>
      </c>
      <c r="D196" s="1" t="s">
        <v>104</v>
      </c>
      <c r="E196" s="1" t="s">
        <v>1209</v>
      </c>
      <c r="F196" s="1" t="s">
        <v>1027</v>
      </c>
      <c r="G196" s="1" t="s">
        <v>1023</v>
      </c>
      <c r="H196" s="1">
        <v>12</v>
      </c>
      <c r="I196" s="1">
        <v>3</v>
      </c>
      <c r="J196" s="1" t="s">
        <v>2623</v>
      </c>
      <c r="K196" s="2">
        <v>47.3</v>
      </c>
      <c r="L196" s="6">
        <v>13</v>
      </c>
      <c r="M196" s="2">
        <f t="shared" si="15"/>
        <v>567.59999999999991</v>
      </c>
      <c r="N196" s="2">
        <f t="shared" si="16"/>
        <v>73.787999999999997</v>
      </c>
      <c r="O196" s="2">
        <f t="shared" si="17"/>
        <v>493.8119999999999</v>
      </c>
      <c r="P196" s="1">
        <v>242</v>
      </c>
      <c r="Q196" s="2">
        <v>33.11</v>
      </c>
      <c r="R196" s="2">
        <f t="shared" si="18"/>
        <v>96.491999999999905</v>
      </c>
      <c r="S196" s="1" t="s">
        <v>1011</v>
      </c>
      <c r="T196" s="1" t="s">
        <v>1004</v>
      </c>
      <c r="U196" s="1" t="str">
        <f t="shared" si="19"/>
        <v>NO</v>
      </c>
    </row>
    <row r="197" spans="1:21" x14ac:dyDescent="0.3">
      <c r="A197" s="1" t="s">
        <v>373</v>
      </c>
      <c r="B197" s="1" t="s">
        <v>83</v>
      </c>
      <c r="C197" s="1" t="s">
        <v>84</v>
      </c>
      <c r="D197" s="1" t="s">
        <v>85</v>
      </c>
      <c r="E197" s="1" t="s">
        <v>1210</v>
      </c>
      <c r="F197" s="1" t="s">
        <v>1001</v>
      </c>
      <c r="G197" s="1" t="s">
        <v>1002</v>
      </c>
      <c r="H197" s="1">
        <v>12</v>
      </c>
      <c r="I197" s="1">
        <v>5</v>
      </c>
      <c r="J197" s="1" t="s">
        <v>2598</v>
      </c>
      <c r="K197" s="2">
        <v>305.14</v>
      </c>
      <c r="L197" s="6">
        <v>17</v>
      </c>
      <c r="M197" s="2">
        <f t="shared" si="15"/>
        <v>3661.68</v>
      </c>
      <c r="N197" s="2">
        <f t="shared" si="16"/>
        <v>622.48559999999998</v>
      </c>
      <c r="O197" s="2">
        <f t="shared" si="17"/>
        <v>3039.1943999999999</v>
      </c>
      <c r="P197" s="1">
        <v>58</v>
      </c>
      <c r="Q197" s="2">
        <v>213.6</v>
      </c>
      <c r="R197" s="2">
        <f t="shared" si="18"/>
        <v>475.99440000000004</v>
      </c>
      <c r="S197" s="1" t="s">
        <v>1003</v>
      </c>
      <c r="T197" s="1" t="s">
        <v>1007</v>
      </c>
      <c r="U197" s="1" t="str">
        <f t="shared" si="19"/>
        <v>NO</v>
      </c>
    </row>
    <row r="198" spans="1:21" x14ac:dyDescent="0.3">
      <c r="A198" s="1" t="s">
        <v>374</v>
      </c>
      <c r="B198" s="1" t="s">
        <v>95</v>
      </c>
      <c r="C198" s="1" t="s">
        <v>96</v>
      </c>
      <c r="D198" s="1" t="s">
        <v>97</v>
      </c>
      <c r="E198" s="1" t="s">
        <v>1211</v>
      </c>
      <c r="F198" s="1" t="s">
        <v>1001</v>
      </c>
      <c r="G198" s="1" t="s">
        <v>1010</v>
      </c>
      <c r="H198" s="1">
        <v>11</v>
      </c>
      <c r="I198" s="1">
        <v>5</v>
      </c>
      <c r="J198" s="1" t="s">
        <v>2666</v>
      </c>
      <c r="K198" s="2">
        <v>70.5</v>
      </c>
      <c r="L198" s="6">
        <v>16</v>
      </c>
      <c r="M198" s="2">
        <f t="shared" si="15"/>
        <v>775.5</v>
      </c>
      <c r="N198" s="2">
        <f t="shared" si="16"/>
        <v>124.08</v>
      </c>
      <c r="O198" s="2">
        <f t="shared" si="17"/>
        <v>651.41999999999996</v>
      </c>
      <c r="P198" s="1">
        <v>65</v>
      </c>
      <c r="Q198" s="2">
        <v>49.35</v>
      </c>
      <c r="R198" s="2">
        <f t="shared" si="18"/>
        <v>108.56999999999994</v>
      </c>
      <c r="S198" s="1" t="s">
        <v>1016</v>
      </c>
      <c r="T198" s="1" t="s">
        <v>1004</v>
      </c>
      <c r="U198" s="1" t="str">
        <f t="shared" si="19"/>
        <v>YES</v>
      </c>
    </row>
    <row r="199" spans="1:21" x14ac:dyDescent="0.3">
      <c r="A199" s="1" t="s">
        <v>375</v>
      </c>
      <c r="B199" s="1" t="s">
        <v>237</v>
      </c>
      <c r="C199" s="1" t="s">
        <v>238</v>
      </c>
      <c r="D199" s="1" t="s">
        <v>85</v>
      </c>
      <c r="E199" s="1" t="s">
        <v>1212</v>
      </c>
      <c r="F199" s="1" t="s">
        <v>1001</v>
      </c>
      <c r="G199" s="1" t="s">
        <v>1010</v>
      </c>
      <c r="H199" s="1">
        <v>13</v>
      </c>
      <c r="I199" s="1">
        <v>6</v>
      </c>
      <c r="J199" s="1" t="s">
        <v>2667</v>
      </c>
      <c r="K199" s="2">
        <v>326.70999999999998</v>
      </c>
      <c r="L199" s="6">
        <v>9</v>
      </c>
      <c r="M199" s="2">
        <f t="shared" si="15"/>
        <v>4247.2299999999996</v>
      </c>
      <c r="N199" s="2">
        <f t="shared" si="16"/>
        <v>382.25069999999994</v>
      </c>
      <c r="O199" s="2">
        <f t="shared" si="17"/>
        <v>3864.9792999999995</v>
      </c>
      <c r="P199" s="1">
        <v>103</v>
      </c>
      <c r="Q199" s="2">
        <v>228.7</v>
      </c>
      <c r="R199" s="2">
        <f t="shared" si="18"/>
        <v>891.8792999999996</v>
      </c>
      <c r="S199" s="1" t="s">
        <v>1016</v>
      </c>
      <c r="T199" s="1" t="s">
        <v>1004</v>
      </c>
      <c r="U199" s="1" t="str">
        <f t="shared" si="19"/>
        <v>YES</v>
      </c>
    </row>
    <row r="200" spans="1:21" x14ac:dyDescent="0.3">
      <c r="A200" s="1" t="s">
        <v>376</v>
      </c>
      <c r="B200" s="1" t="s">
        <v>118</v>
      </c>
      <c r="C200" s="1" t="s">
        <v>119</v>
      </c>
      <c r="D200" s="1" t="s">
        <v>97</v>
      </c>
      <c r="E200" s="1" t="s">
        <v>1213</v>
      </c>
      <c r="F200" s="1" t="s">
        <v>1006</v>
      </c>
      <c r="G200" s="1" t="s">
        <v>1010</v>
      </c>
      <c r="H200" s="1">
        <v>3</v>
      </c>
      <c r="I200" s="1">
        <v>1</v>
      </c>
      <c r="J200" s="1" t="s">
        <v>2608</v>
      </c>
      <c r="K200" s="2">
        <v>42.61</v>
      </c>
      <c r="L200" s="6">
        <v>25</v>
      </c>
      <c r="M200" s="2">
        <f t="shared" si="15"/>
        <v>127.83</v>
      </c>
      <c r="N200" s="2">
        <f t="shared" si="16"/>
        <v>31.9575</v>
      </c>
      <c r="O200" s="2">
        <f t="shared" si="17"/>
        <v>95.872500000000002</v>
      </c>
      <c r="P200" s="1">
        <v>51</v>
      </c>
      <c r="Q200" s="2">
        <v>29.83</v>
      </c>
      <c r="R200" s="2">
        <f t="shared" si="18"/>
        <v>6.3825000000000074</v>
      </c>
      <c r="S200" s="1" t="s">
        <v>1011</v>
      </c>
      <c r="T200" s="1" t="s">
        <v>1007</v>
      </c>
      <c r="U200" s="1" t="str">
        <f t="shared" si="19"/>
        <v>NO</v>
      </c>
    </row>
    <row r="201" spans="1:21" x14ac:dyDescent="0.3">
      <c r="A201" s="1" t="s">
        <v>378</v>
      </c>
      <c r="B201" s="1" t="s">
        <v>72</v>
      </c>
      <c r="C201" s="1" t="s">
        <v>73</v>
      </c>
      <c r="D201" s="1" t="s">
        <v>47</v>
      </c>
      <c r="E201" s="1" t="s">
        <v>1214</v>
      </c>
      <c r="F201" s="1" t="s">
        <v>1013</v>
      </c>
      <c r="G201" s="1" t="s">
        <v>1002</v>
      </c>
      <c r="H201" s="1">
        <v>9</v>
      </c>
      <c r="I201" s="1">
        <v>7</v>
      </c>
      <c r="J201" s="1" t="s">
        <v>2665</v>
      </c>
      <c r="K201" s="2">
        <v>292.01</v>
      </c>
      <c r="L201" s="6">
        <v>24</v>
      </c>
      <c r="M201" s="2">
        <f t="shared" si="15"/>
        <v>2628.09</v>
      </c>
      <c r="N201" s="2">
        <f t="shared" si="16"/>
        <v>630.74160000000006</v>
      </c>
      <c r="O201" s="2">
        <f t="shared" si="17"/>
        <v>1997.3484000000001</v>
      </c>
      <c r="P201" s="1">
        <v>233</v>
      </c>
      <c r="Q201" s="2">
        <v>204.41</v>
      </c>
      <c r="R201" s="2">
        <f t="shared" si="18"/>
        <v>157.65840000000003</v>
      </c>
      <c r="S201" s="1" t="s">
        <v>1003</v>
      </c>
      <c r="T201" s="1" t="s">
        <v>1004</v>
      </c>
      <c r="U201" s="1" t="str">
        <f t="shared" si="19"/>
        <v>NO</v>
      </c>
    </row>
    <row r="202" spans="1:21" x14ac:dyDescent="0.3">
      <c r="A202" s="1" t="s">
        <v>379</v>
      </c>
      <c r="B202" s="1" t="s">
        <v>95</v>
      </c>
      <c r="C202" s="1" t="s">
        <v>96</v>
      </c>
      <c r="D202" s="1" t="s">
        <v>97</v>
      </c>
      <c r="E202" s="1" t="s">
        <v>1215</v>
      </c>
      <c r="F202" s="1" t="s">
        <v>1015</v>
      </c>
      <c r="G202" s="1" t="s">
        <v>1010</v>
      </c>
      <c r="H202" s="1">
        <v>14</v>
      </c>
      <c r="I202" s="1">
        <v>5</v>
      </c>
      <c r="J202" s="1" t="s">
        <v>2569</v>
      </c>
      <c r="K202" s="2">
        <v>281.06</v>
      </c>
      <c r="L202" s="6">
        <v>8</v>
      </c>
      <c r="M202" s="2">
        <f t="shared" si="15"/>
        <v>3934.84</v>
      </c>
      <c r="N202" s="2">
        <f t="shared" si="16"/>
        <v>314.78719999999998</v>
      </c>
      <c r="O202" s="2">
        <f t="shared" si="17"/>
        <v>3620.0528000000004</v>
      </c>
      <c r="P202" s="1">
        <v>171</v>
      </c>
      <c r="Q202" s="2">
        <v>196.74</v>
      </c>
      <c r="R202" s="2">
        <f t="shared" si="18"/>
        <v>865.69280000000026</v>
      </c>
      <c r="S202" s="1" t="s">
        <v>1003</v>
      </c>
      <c r="T202" s="1" t="s">
        <v>1004</v>
      </c>
      <c r="U202" s="1" t="str">
        <f t="shared" si="19"/>
        <v>NO</v>
      </c>
    </row>
    <row r="203" spans="1:21" x14ac:dyDescent="0.3">
      <c r="A203" s="1" t="s">
        <v>380</v>
      </c>
      <c r="B203" s="1" t="s">
        <v>26</v>
      </c>
      <c r="C203" s="1" t="s">
        <v>27</v>
      </c>
      <c r="D203" s="1" t="s">
        <v>28</v>
      </c>
      <c r="E203" s="1" t="s">
        <v>1216</v>
      </c>
      <c r="F203" s="1" t="s">
        <v>1027</v>
      </c>
      <c r="G203" s="1" t="s">
        <v>1023</v>
      </c>
      <c r="H203" s="1">
        <v>13</v>
      </c>
      <c r="I203" s="1">
        <v>5</v>
      </c>
      <c r="J203" s="1" t="s">
        <v>2668</v>
      </c>
      <c r="K203" s="2">
        <v>459.97</v>
      </c>
      <c r="L203" s="6">
        <v>8</v>
      </c>
      <c r="M203" s="2">
        <f t="shared" si="15"/>
        <v>5979.6100000000006</v>
      </c>
      <c r="N203" s="2">
        <f t="shared" si="16"/>
        <v>478.36880000000002</v>
      </c>
      <c r="O203" s="2">
        <f t="shared" si="17"/>
        <v>5501.2412000000004</v>
      </c>
      <c r="P203" s="1">
        <v>272</v>
      </c>
      <c r="Q203" s="2">
        <v>321.98</v>
      </c>
      <c r="R203" s="2">
        <f t="shared" si="18"/>
        <v>1315.5012000000006</v>
      </c>
      <c r="S203" s="1" t="s">
        <v>1003</v>
      </c>
      <c r="T203" s="1" t="s">
        <v>1004</v>
      </c>
      <c r="U203" s="1" t="str">
        <f t="shared" si="19"/>
        <v>NO</v>
      </c>
    </row>
    <row r="204" spans="1:21" x14ac:dyDescent="0.3">
      <c r="A204" s="1" t="s">
        <v>381</v>
      </c>
      <c r="B204" s="1" t="s">
        <v>166</v>
      </c>
      <c r="C204" s="1" t="s">
        <v>167</v>
      </c>
      <c r="D204" s="1" t="s">
        <v>59</v>
      </c>
      <c r="E204" s="1" t="s">
        <v>1217</v>
      </c>
      <c r="F204" s="1" t="s">
        <v>1001</v>
      </c>
      <c r="G204" s="1" t="s">
        <v>1010</v>
      </c>
      <c r="H204" s="1">
        <v>1</v>
      </c>
      <c r="I204" s="1">
        <v>2</v>
      </c>
      <c r="J204" s="1" t="s">
        <v>2669</v>
      </c>
      <c r="K204" s="2">
        <v>481.02</v>
      </c>
      <c r="L204" s="6">
        <v>13</v>
      </c>
      <c r="M204" s="2">
        <f t="shared" si="15"/>
        <v>481.02</v>
      </c>
      <c r="N204" s="2">
        <f t="shared" si="16"/>
        <v>62.532600000000002</v>
      </c>
      <c r="O204" s="2">
        <f t="shared" si="17"/>
        <v>418.48739999999998</v>
      </c>
      <c r="P204" s="1">
        <v>288</v>
      </c>
      <c r="Q204" s="2">
        <v>336.71</v>
      </c>
      <c r="R204" s="2">
        <f t="shared" si="18"/>
        <v>81.7774</v>
      </c>
      <c r="S204" s="1" t="s">
        <v>1003</v>
      </c>
      <c r="T204" s="1" t="s">
        <v>1004</v>
      </c>
      <c r="U204" s="1" t="str">
        <f t="shared" si="19"/>
        <v>NO</v>
      </c>
    </row>
    <row r="205" spans="1:21" x14ac:dyDescent="0.3">
      <c r="A205" s="1" t="s">
        <v>382</v>
      </c>
      <c r="B205" s="1" t="s">
        <v>123</v>
      </c>
      <c r="C205" s="1" t="s">
        <v>124</v>
      </c>
      <c r="D205" s="1" t="s">
        <v>47</v>
      </c>
      <c r="E205" s="1" t="s">
        <v>1218</v>
      </c>
      <c r="F205" s="1" t="s">
        <v>1009</v>
      </c>
      <c r="G205" s="1" t="s">
        <v>1023</v>
      </c>
      <c r="H205" s="1">
        <v>15</v>
      </c>
      <c r="I205" s="1">
        <v>2</v>
      </c>
      <c r="J205" s="1" t="s">
        <v>2670</v>
      </c>
      <c r="K205" s="2">
        <v>486.44</v>
      </c>
      <c r="L205" s="6">
        <v>13</v>
      </c>
      <c r="M205" s="2">
        <f t="shared" si="15"/>
        <v>7296.6</v>
      </c>
      <c r="N205" s="2">
        <f t="shared" si="16"/>
        <v>948.55799999999999</v>
      </c>
      <c r="O205" s="2">
        <f t="shared" si="17"/>
        <v>6348.0420000000004</v>
      </c>
      <c r="P205" s="1">
        <v>223</v>
      </c>
      <c r="Q205" s="2">
        <v>340.51</v>
      </c>
      <c r="R205" s="2">
        <f t="shared" si="18"/>
        <v>1240.3920000000007</v>
      </c>
      <c r="S205" s="1" t="s">
        <v>1003</v>
      </c>
      <c r="T205" s="1" t="s">
        <v>1007</v>
      </c>
      <c r="U205" s="1" t="str">
        <f t="shared" si="19"/>
        <v>NO</v>
      </c>
    </row>
    <row r="206" spans="1:21" x14ac:dyDescent="0.3">
      <c r="A206" s="1" t="s">
        <v>383</v>
      </c>
      <c r="B206" s="1" t="s">
        <v>77</v>
      </c>
      <c r="C206" s="1" t="s">
        <v>78</v>
      </c>
      <c r="D206" s="1" t="s">
        <v>47</v>
      </c>
      <c r="E206" s="1" t="s">
        <v>1219</v>
      </c>
      <c r="F206" s="1" t="s">
        <v>1027</v>
      </c>
      <c r="G206" s="1" t="s">
        <v>1010</v>
      </c>
      <c r="H206" s="1">
        <v>6</v>
      </c>
      <c r="I206" s="1">
        <v>7</v>
      </c>
      <c r="J206" s="1" t="s">
        <v>2671</v>
      </c>
      <c r="K206" s="2">
        <v>280.89999999999998</v>
      </c>
      <c r="L206" s="6">
        <v>1</v>
      </c>
      <c r="M206" s="2">
        <f t="shared" si="15"/>
        <v>1685.3999999999999</v>
      </c>
      <c r="N206" s="2">
        <f t="shared" si="16"/>
        <v>16.853999999999999</v>
      </c>
      <c r="O206" s="2">
        <f t="shared" si="17"/>
        <v>1668.5459999999998</v>
      </c>
      <c r="P206" s="1">
        <v>263</v>
      </c>
      <c r="Q206" s="2">
        <v>196.63</v>
      </c>
      <c r="R206" s="2">
        <f t="shared" si="18"/>
        <v>488.76599999999985</v>
      </c>
      <c r="S206" s="1" t="s">
        <v>1003</v>
      </c>
      <c r="T206" s="1" t="s">
        <v>1007</v>
      </c>
      <c r="U206" s="1" t="str">
        <f t="shared" si="19"/>
        <v>NO</v>
      </c>
    </row>
    <row r="207" spans="1:21" x14ac:dyDescent="0.3">
      <c r="A207" s="1" t="s">
        <v>385</v>
      </c>
      <c r="B207" s="1" t="s">
        <v>189</v>
      </c>
      <c r="C207" s="1" t="s">
        <v>190</v>
      </c>
      <c r="D207" s="1" t="s">
        <v>59</v>
      </c>
      <c r="E207" s="1" t="s">
        <v>1220</v>
      </c>
      <c r="F207" s="1" t="s">
        <v>1006</v>
      </c>
      <c r="G207" s="1" t="s">
        <v>1010</v>
      </c>
      <c r="H207" s="1">
        <v>12</v>
      </c>
      <c r="I207" s="1">
        <v>5</v>
      </c>
      <c r="J207" s="1" t="s">
        <v>2672</v>
      </c>
      <c r="K207" s="2">
        <v>192.95</v>
      </c>
      <c r="L207" s="6">
        <v>25</v>
      </c>
      <c r="M207" s="2">
        <f t="shared" si="15"/>
        <v>2315.3999999999996</v>
      </c>
      <c r="N207" s="2">
        <f t="shared" si="16"/>
        <v>578.84999999999991</v>
      </c>
      <c r="O207" s="2">
        <f t="shared" si="17"/>
        <v>1736.5499999999997</v>
      </c>
      <c r="P207" s="1">
        <v>121</v>
      </c>
      <c r="Q207" s="2">
        <v>135.06</v>
      </c>
      <c r="R207" s="2">
        <f t="shared" si="18"/>
        <v>115.8299999999997</v>
      </c>
      <c r="S207" s="1" t="s">
        <v>1003</v>
      </c>
      <c r="T207" s="1" t="s">
        <v>1004</v>
      </c>
      <c r="U207" s="1" t="str">
        <f t="shared" si="19"/>
        <v>NO</v>
      </c>
    </row>
    <row r="208" spans="1:21" x14ac:dyDescent="0.3">
      <c r="A208" s="1" t="s">
        <v>386</v>
      </c>
      <c r="B208" s="1" t="s">
        <v>123</v>
      </c>
      <c r="C208" s="1" t="s">
        <v>124</v>
      </c>
      <c r="D208" s="1" t="s">
        <v>47</v>
      </c>
      <c r="E208" s="1" t="s">
        <v>1221</v>
      </c>
      <c r="F208" s="1" t="s">
        <v>1015</v>
      </c>
      <c r="G208" s="1" t="s">
        <v>1010</v>
      </c>
      <c r="H208" s="1">
        <v>9</v>
      </c>
      <c r="I208" s="1">
        <v>3</v>
      </c>
      <c r="J208" s="1" t="s">
        <v>2632</v>
      </c>
      <c r="K208" s="2">
        <v>42.59</v>
      </c>
      <c r="L208" s="6">
        <v>12</v>
      </c>
      <c r="M208" s="2">
        <f t="shared" si="15"/>
        <v>383.31000000000006</v>
      </c>
      <c r="N208" s="2">
        <f t="shared" si="16"/>
        <v>45.997200000000014</v>
      </c>
      <c r="O208" s="2">
        <f t="shared" si="17"/>
        <v>337.31280000000004</v>
      </c>
      <c r="P208" s="1">
        <v>223</v>
      </c>
      <c r="Q208" s="2">
        <v>29.81</v>
      </c>
      <c r="R208" s="2">
        <f t="shared" si="18"/>
        <v>69.022800000000075</v>
      </c>
      <c r="S208" s="1" t="s">
        <v>1016</v>
      </c>
      <c r="T208" s="1" t="s">
        <v>1007</v>
      </c>
      <c r="U208" s="1" t="str">
        <f t="shared" si="19"/>
        <v>YES</v>
      </c>
    </row>
    <row r="209" spans="1:21" x14ac:dyDescent="0.3">
      <c r="A209" s="1" t="s">
        <v>387</v>
      </c>
      <c r="B209" s="1" t="s">
        <v>197</v>
      </c>
      <c r="C209" s="1" t="s">
        <v>198</v>
      </c>
      <c r="D209" s="1" t="s">
        <v>104</v>
      </c>
      <c r="E209" s="1" t="s">
        <v>1222</v>
      </c>
      <c r="F209" s="1" t="s">
        <v>1009</v>
      </c>
      <c r="G209" s="1" t="s">
        <v>1010</v>
      </c>
      <c r="H209" s="1">
        <v>9</v>
      </c>
      <c r="I209" s="1">
        <v>5</v>
      </c>
      <c r="J209" s="1" t="s">
        <v>2673</v>
      </c>
      <c r="K209" s="2">
        <v>395.45</v>
      </c>
      <c r="L209" s="6">
        <v>7</v>
      </c>
      <c r="M209" s="2">
        <f t="shared" si="15"/>
        <v>3559.0499999999997</v>
      </c>
      <c r="N209" s="2">
        <f t="shared" si="16"/>
        <v>249.1335</v>
      </c>
      <c r="O209" s="2">
        <f t="shared" si="17"/>
        <v>3309.9164999999998</v>
      </c>
      <c r="P209" s="1">
        <v>80</v>
      </c>
      <c r="Q209" s="2">
        <v>276.81</v>
      </c>
      <c r="R209" s="2">
        <f t="shared" si="18"/>
        <v>818.62649999999985</v>
      </c>
      <c r="S209" s="1" t="s">
        <v>1011</v>
      </c>
      <c r="T209" s="1" t="s">
        <v>1004</v>
      </c>
      <c r="U209" s="1" t="str">
        <f t="shared" si="19"/>
        <v>NO</v>
      </c>
    </row>
    <row r="210" spans="1:21" x14ac:dyDescent="0.3">
      <c r="A210" s="1" t="s">
        <v>388</v>
      </c>
      <c r="B210" s="1" t="s">
        <v>95</v>
      </c>
      <c r="C210" s="1" t="s">
        <v>96</v>
      </c>
      <c r="D210" s="1" t="s">
        <v>97</v>
      </c>
      <c r="E210" s="1" t="s">
        <v>1223</v>
      </c>
      <c r="F210" s="1" t="s">
        <v>1013</v>
      </c>
      <c r="G210" s="1" t="s">
        <v>1002</v>
      </c>
      <c r="H210" s="1">
        <v>12</v>
      </c>
      <c r="I210" s="1">
        <v>7</v>
      </c>
      <c r="J210" s="1" t="s">
        <v>2566</v>
      </c>
      <c r="K210" s="2">
        <v>342.41</v>
      </c>
      <c r="L210" s="6">
        <v>18</v>
      </c>
      <c r="M210" s="2">
        <f t="shared" si="15"/>
        <v>4108.92</v>
      </c>
      <c r="N210" s="2">
        <f t="shared" si="16"/>
        <v>739.60559999999998</v>
      </c>
      <c r="O210" s="2">
        <f t="shared" si="17"/>
        <v>3369.3144000000002</v>
      </c>
      <c r="P210" s="1">
        <v>245</v>
      </c>
      <c r="Q210" s="2">
        <v>239.69</v>
      </c>
      <c r="R210" s="2">
        <f t="shared" si="18"/>
        <v>493.03440000000046</v>
      </c>
      <c r="S210" s="1" t="s">
        <v>1003</v>
      </c>
      <c r="T210" s="1" t="s">
        <v>1007</v>
      </c>
      <c r="U210" s="1" t="str">
        <f t="shared" si="19"/>
        <v>NO</v>
      </c>
    </row>
    <row r="211" spans="1:21" x14ac:dyDescent="0.3">
      <c r="A211" s="1" t="s">
        <v>389</v>
      </c>
      <c r="B211" s="1" t="s">
        <v>102</v>
      </c>
      <c r="C211" s="1" t="s">
        <v>103</v>
      </c>
      <c r="D211" s="1" t="s">
        <v>104</v>
      </c>
      <c r="E211" s="1" t="s">
        <v>1224</v>
      </c>
      <c r="F211" s="1" t="s">
        <v>1027</v>
      </c>
      <c r="G211" s="1" t="s">
        <v>1002</v>
      </c>
      <c r="H211" s="1">
        <v>14</v>
      </c>
      <c r="I211" s="1">
        <v>4</v>
      </c>
      <c r="J211" s="1" t="s">
        <v>2516</v>
      </c>
      <c r="K211" s="2">
        <v>149.93</v>
      </c>
      <c r="L211" s="6">
        <v>9</v>
      </c>
      <c r="M211" s="2">
        <f t="shared" si="15"/>
        <v>2099.02</v>
      </c>
      <c r="N211" s="2">
        <f t="shared" si="16"/>
        <v>188.9118</v>
      </c>
      <c r="O211" s="2">
        <f t="shared" si="17"/>
        <v>1910.1081999999999</v>
      </c>
      <c r="P211" s="1">
        <v>184</v>
      </c>
      <c r="Q211" s="2">
        <v>104.95</v>
      </c>
      <c r="R211" s="2">
        <f t="shared" si="18"/>
        <v>440.80819999999994</v>
      </c>
      <c r="S211" s="1" t="s">
        <v>1003</v>
      </c>
      <c r="T211" s="1" t="s">
        <v>1004</v>
      </c>
      <c r="U211" s="1" t="str">
        <f t="shared" si="19"/>
        <v>NO</v>
      </c>
    </row>
    <row r="212" spans="1:21" x14ac:dyDescent="0.3">
      <c r="A212" s="1" t="s">
        <v>391</v>
      </c>
      <c r="B212" s="1" t="s">
        <v>123</v>
      </c>
      <c r="C212" s="1" t="s">
        <v>124</v>
      </c>
      <c r="D212" s="1" t="s">
        <v>47</v>
      </c>
      <c r="E212" s="1" t="s">
        <v>1225</v>
      </c>
      <c r="F212" s="1" t="s">
        <v>1020</v>
      </c>
      <c r="G212" s="1" t="s">
        <v>1002</v>
      </c>
      <c r="H212" s="1">
        <v>12</v>
      </c>
      <c r="I212" s="1">
        <v>5</v>
      </c>
      <c r="J212" s="1" t="s">
        <v>2619</v>
      </c>
      <c r="K212" s="2">
        <v>235.92</v>
      </c>
      <c r="L212" s="6">
        <v>8</v>
      </c>
      <c r="M212" s="2">
        <f t="shared" si="15"/>
        <v>2831.04</v>
      </c>
      <c r="N212" s="2">
        <f t="shared" si="16"/>
        <v>226.48320000000001</v>
      </c>
      <c r="O212" s="2">
        <f t="shared" si="17"/>
        <v>2604.5567999999998</v>
      </c>
      <c r="P212" s="1">
        <v>93</v>
      </c>
      <c r="Q212" s="2">
        <v>165.14</v>
      </c>
      <c r="R212" s="2">
        <f t="shared" si="18"/>
        <v>622.8768</v>
      </c>
      <c r="S212" s="1" t="s">
        <v>1003</v>
      </c>
      <c r="T212" s="1" t="s">
        <v>1007</v>
      </c>
      <c r="U212" s="1" t="str">
        <f t="shared" si="19"/>
        <v>NO</v>
      </c>
    </row>
    <row r="213" spans="1:21" x14ac:dyDescent="0.3">
      <c r="A213" s="1" t="s">
        <v>392</v>
      </c>
      <c r="B213" s="1" t="s">
        <v>69</v>
      </c>
      <c r="C213" s="1" t="s">
        <v>70</v>
      </c>
      <c r="D213" s="1" t="s">
        <v>59</v>
      </c>
      <c r="E213" s="1" t="s">
        <v>1226</v>
      </c>
      <c r="F213" s="1" t="s">
        <v>1015</v>
      </c>
      <c r="G213" s="1" t="s">
        <v>1010</v>
      </c>
      <c r="H213" s="1">
        <v>14</v>
      </c>
      <c r="I213" s="1">
        <v>5</v>
      </c>
      <c r="J213" s="1" t="s">
        <v>2674</v>
      </c>
      <c r="K213" s="2">
        <v>224.49</v>
      </c>
      <c r="L213" s="6">
        <v>25</v>
      </c>
      <c r="M213" s="2">
        <f t="shared" si="15"/>
        <v>3142.86</v>
      </c>
      <c r="N213" s="2">
        <f t="shared" si="16"/>
        <v>785.71500000000003</v>
      </c>
      <c r="O213" s="2">
        <f t="shared" si="17"/>
        <v>2357.145</v>
      </c>
      <c r="P213" s="1">
        <v>143</v>
      </c>
      <c r="Q213" s="2">
        <v>157.13999999999999</v>
      </c>
      <c r="R213" s="2">
        <f t="shared" si="18"/>
        <v>157.18499999999995</v>
      </c>
      <c r="S213" s="1" t="s">
        <v>1003</v>
      </c>
      <c r="T213" s="1" t="s">
        <v>1004</v>
      </c>
      <c r="U213" s="1" t="str">
        <f t="shared" si="19"/>
        <v>NO</v>
      </c>
    </row>
    <row r="214" spans="1:21" x14ac:dyDescent="0.3">
      <c r="A214" s="1" t="s">
        <v>393</v>
      </c>
      <c r="B214" s="1" t="s">
        <v>111</v>
      </c>
      <c r="C214" s="1" t="s">
        <v>112</v>
      </c>
      <c r="D214" s="1" t="s">
        <v>97</v>
      </c>
      <c r="E214" s="1" t="s">
        <v>1227</v>
      </c>
      <c r="F214" s="1" t="s">
        <v>1015</v>
      </c>
      <c r="G214" s="1" t="s">
        <v>1023</v>
      </c>
      <c r="H214" s="1">
        <v>11</v>
      </c>
      <c r="I214" s="1">
        <v>5</v>
      </c>
      <c r="J214" s="1" t="s">
        <v>2580</v>
      </c>
      <c r="K214" s="2">
        <v>52.77</v>
      </c>
      <c r="L214" s="6">
        <v>19</v>
      </c>
      <c r="M214" s="2">
        <f t="shared" si="15"/>
        <v>580.47</v>
      </c>
      <c r="N214" s="2">
        <f t="shared" si="16"/>
        <v>110.2893</v>
      </c>
      <c r="O214" s="2">
        <f t="shared" si="17"/>
        <v>470.1807</v>
      </c>
      <c r="P214" s="1">
        <v>100</v>
      </c>
      <c r="Q214" s="2">
        <v>36.94</v>
      </c>
      <c r="R214" s="2">
        <f t="shared" si="18"/>
        <v>63.840700000000027</v>
      </c>
      <c r="S214" s="1" t="s">
        <v>1011</v>
      </c>
      <c r="T214" s="1" t="s">
        <v>1004</v>
      </c>
      <c r="U214" s="1" t="str">
        <f t="shared" si="19"/>
        <v>NO</v>
      </c>
    </row>
    <row r="215" spans="1:21" x14ac:dyDescent="0.3">
      <c r="A215" s="1" t="s">
        <v>394</v>
      </c>
      <c r="B215" s="1" t="s">
        <v>95</v>
      </c>
      <c r="C215" s="1" t="s">
        <v>96</v>
      </c>
      <c r="D215" s="1" t="s">
        <v>97</v>
      </c>
      <c r="E215" s="1" t="s">
        <v>1228</v>
      </c>
      <c r="F215" s="1" t="s">
        <v>1001</v>
      </c>
      <c r="G215" s="1" t="s">
        <v>1002</v>
      </c>
      <c r="H215" s="1">
        <v>5</v>
      </c>
      <c r="I215" s="1">
        <v>7</v>
      </c>
      <c r="J215" s="1" t="s">
        <v>2675</v>
      </c>
      <c r="K215" s="2">
        <v>412.99</v>
      </c>
      <c r="L215" s="6">
        <v>6</v>
      </c>
      <c r="M215" s="2">
        <f t="shared" si="15"/>
        <v>2064.9499999999998</v>
      </c>
      <c r="N215" s="2">
        <f t="shared" si="16"/>
        <v>123.89699999999999</v>
      </c>
      <c r="O215" s="2">
        <f t="shared" si="17"/>
        <v>1941.0529999999999</v>
      </c>
      <c r="P215" s="1">
        <v>206</v>
      </c>
      <c r="Q215" s="2">
        <v>289.08999999999997</v>
      </c>
      <c r="R215" s="2">
        <f t="shared" si="18"/>
        <v>495.60300000000007</v>
      </c>
      <c r="S215" s="1" t="s">
        <v>1003</v>
      </c>
      <c r="T215" s="1" t="s">
        <v>1004</v>
      </c>
      <c r="U215" s="1" t="str">
        <f t="shared" si="19"/>
        <v>NO</v>
      </c>
    </row>
    <row r="216" spans="1:21" x14ac:dyDescent="0.3">
      <c r="A216" s="1" t="s">
        <v>396</v>
      </c>
      <c r="B216" s="1" t="s">
        <v>143</v>
      </c>
      <c r="C216" s="1" t="s">
        <v>144</v>
      </c>
      <c r="D216" s="1" t="s">
        <v>47</v>
      </c>
      <c r="E216" s="1" t="s">
        <v>1229</v>
      </c>
      <c r="F216" s="1" t="s">
        <v>1006</v>
      </c>
      <c r="G216" s="1" t="s">
        <v>1023</v>
      </c>
      <c r="H216" s="1">
        <v>12</v>
      </c>
      <c r="I216" s="1">
        <v>1</v>
      </c>
      <c r="J216" s="1" t="s">
        <v>2530</v>
      </c>
      <c r="K216" s="2">
        <v>269.86</v>
      </c>
      <c r="L216" s="6">
        <v>8</v>
      </c>
      <c r="M216" s="2">
        <f t="shared" si="15"/>
        <v>3238.32</v>
      </c>
      <c r="N216" s="2">
        <f t="shared" si="16"/>
        <v>259.06560000000002</v>
      </c>
      <c r="O216" s="2">
        <f t="shared" si="17"/>
        <v>2979.2544000000003</v>
      </c>
      <c r="P216" s="1">
        <v>123</v>
      </c>
      <c r="Q216" s="2">
        <v>188.9</v>
      </c>
      <c r="R216" s="2">
        <f t="shared" si="18"/>
        <v>712.45440000000008</v>
      </c>
      <c r="S216" s="1" t="s">
        <v>1003</v>
      </c>
      <c r="T216" s="1" t="s">
        <v>1004</v>
      </c>
      <c r="U216" s="1" t="str">
        <f t="shared" si="19"/>
        <v>NO</v>
      </c>
    </row>
    <row r="217" spans="1:21" x14ac:dyDescent="0.3">
      <c r="A217" s="1" t="s">
        <v>397</v>
      </c>
      <c r="B217" s="1" t="s">
        <v>57</v>
      </c>
      <c r="C217" s="1" t="s">
        <v>58</v>
      </c>
      <c r="D217" s="1" t="s">
        <v>59</v>
      </c>
      <c r="E217" s="1" t="s">
        <v>1230</v>
      </c>
      <c r="F217" s="1" t="s">
        <v>1006</v>
      </c>
      <c r="G217" s="1" t="s">
        <v>1002</v>
      </c>
      <c r="H217" s="1">
        <v>13</v>
      </c>
      <c r="I217" s="1">
        <v>2</v>
      </c>
      <c r="J217" s="1" t="s">
        <v>2676</v>
      </c>
      <c r="K217" s="2">
        <v>326.07</v>
      </c>
      <c r="L217" s="6">
        <v>22</v>
      </c>
      <c r="M217" s="2">
        <f t="shared" si="15"/>
        <v>4238.91</v>
      </c>
      <c r="N217" s="2">
        <f t="shared" si="16"/>
        <v>932.5601999999999</v>
      </c>
      <c r="O217" s="2">
        <f t="shared" si="17"/>
        <v>3306.3498</v>
      </c>
      <c r="P217" s="1">
        <v>197</v>
      </c>
      <c r="Q217" s="2">
        <v>228.25</v>
      </c>
      <c r="R217" s="2">
        <f t="shared" si="18"/>
        <v>339.09979999999996</v>
      </c>
      <c r="S217" s="1" t="s">
        <v>1016</v>
      </c>
      <c r="T217" s="1" t="s">
        <v>1004</v>
      </c>
      <c r="U217" s="1" t="str">
        <f t="shared" si="19"/>
        <v>YES</v>
      </c>
    </row>
    <row r="218" spans="1:21" x14ac:dyDescent="0.3">
      <c r="A218" s="1" t="s">
        <v>399</v>
      </c>
      <c r="B218" s="1" t="s">
        <v>72</v>
      </c>
      <c r="C218" s="1" t="s">
        <v>73</v>
      </c>
      <c r="D218" s="1" t="s">
        <v>47</v>
      </c>
      <c r="E218" s="1" t="s">
        <v>1231</v>
      </c>
      <c r="F218" s="1" t="s">
        <v>1013</v>
      </c>
      <c r="G218" s="1" t="s">
        <v>1023</v>
      </c>
      <c r="H218" s="1">
        <v>7</v>
      </c>
      <c r="I218" s="1">
        <v>6</v>
      </c>
      <c r="J218" s="1" t="s">
        <v>2621</v>
      </c>
      <c r="K218" s="2">
        <v>263.04000000000002</v>
      </c>
      <c r="L218" s="6">
        <v>5</v>
      </c>
      <c r="M218" s="2">
        <f t="shared" si="15"/>
        <v>1841.2800000000002</v>
      </c>
      <c r="N218" s="2">
        <f t="shared" si="16"/>
        <v>92.064000000000021</v>
      </c>
      <c r="O218" s="2">
        <f t="shared" si="17"/>
        <v>1749.2160000000001</v>
      </c>
      <c r="P218" s="1">
        <v>178</v>
      </c>
      <c r="Q218" s="2">
        <v>184.13</v>
      </c>
      <c r="R218" s="2">
        <f t="shared" si="18"/>
        <v>460.30600000000027</v>
      </c>
      <c r="S218" s="1" t="s">
        <v>1003</v>
      </c>
      <c r="T218" s="1" t="s">
        <v>1004</v>
      </c>
      <c r="U218" s="1" t="str">
        <f t="shared" si="19"/>
        <v>NO</v>
      </c>
    </row>
    <row r="219" spans="1:21" x14ac:dyDescent="0.3">
      <c r="A219" s="1" t="s">
        <v>400</v>
      </c>
      <c r="B219" s="1" t="s">
        <v>52</v>
      </c>
      <c r="C219" s="1" t="s">
        <v>53</v>
      </c>
      <c r="D219" s="1" t="s">
        <v>47</v>
      </c>
      <c r="E219" s="1" t="s">
        <v>1232</v>
      </c>
      <c r="F219" s="1" t="s">
        <v>1015</v>
      </c>
      <c r="G219" s="1" t="s">
        <v>1002</v>
      </c>
      <c r="H219" s="1">
        <v>3</v>
      </c>
      <c r="I219" s="1">
        <v>3</v>
      </c>
      <c r="J219" s="1" t="s">
        <v>2677</v>
      </c>
      <c r="K219" s="2">
        <v>164.15</v>
      </c>
      <c r="L219" s="6">
        <v>20</v>
      </c>
      <c r="M219" s="2">
        <f t="shared" si="15"/>
        <v>492.45000000000005</v>
      </c>
      <c r="N219" s="2">
        <f t="shared" si="16"/>
        <v>98.49</v>
      </c>
      <c r="O219" s="2">
        <f t="shared" si="17"/>
        <v>393.96000000000004</v>
      </c>
      <c r="P219" s="1">
        <v>258</v>
      </c>
      <c r="Q219" s="2">
        <v>114.91</v>
      </c>
      <c r="R219" s="2">
        <f t="shared" si="18"/>
        <v>49.230000000000018</v>
      </c>
      <c r="S219" s="1" t="s">
        <v>1003</v>
      </c>
      <c r="T219" s="1" t="s">
        <v>1007</v>
      </c>
      <c r="U219" s="1" t="str">
        <f t="shared" si="19"/>
        <v>NO</v>
      </c>
    </row>
    <row r="220" spans="1:21" x14ac:dyDescent="0.3">
      <c r="A220" s="1" t="s">
        <v>402</v>
      </c>
      <c r="B220" s="1" t="s">
        <v>126</v>
      </c>
      <c r="C220" s="1" t="s">
        <v>127</v>
      </c>
      <c r="D220" s="1" t="s">
        <v>85</v>
      </c>
      <c r="E220" s="1" t="s">
        <v>1233</v>
      </c>
      <c r="F220" s="1" t="s">
        <v>1015</v>
      </c>
      <c r="G220" s="1" t="s">
        <v>1002</v>
      </c>
      <c r="H220" s="1">
        <v>7</v>
      </c>
      <c r="I220" s="1">
        <v>3</v>
      </c>
      <c r="J220" s="1" t="s">
        <v>2678</v>
      </c>
      <c r="K220" s="2">
        <v>147.47999999999999</v>
      </c>
      <c r="L220" s="6">
        <v>11</v>
      </c>
      <c r="M220" s="2">
        <f t="shared" si="15"/>
        <v>1032.3599999999999</v>
      </c>
      <c r="N220" s="2">
        <f t="shared" si="16"/>
        <v>113.55959999999999</v>
      </c>
      <c r="O220" s="2">
        <f t="shared" si="17"/>
        <v>918.80039999999985</v>
      </c>
      <c r="P220" s="1">
        <v>108</v>
      </c>
      <c r="Q220" s="2">
        <v>103.24</v>
      </c>
      <c r="R220" s="2">
        <f t="shared" si="18"/>
        <v>196.1203999999999</v>
      </c>
      <c r="S220" s="1" t="s">
        <v>1003</v>
      </c>
      <c r="T220" s="1" t="s">
        <v>1007</v>
      </c>
      <c r="U220" s="1" t="str">
        <f t="shared" si="19"/>
        <v>NO</v>
      </c>
    </row>
    <row r="221" spans="1:21" x14ac:dyDescent="0.3">
      <c r="A221" s="1" t="s">
        <v>403</v>
      </c>
      <c r="B221" s="1" t="s">
        <v>166</v>
      </c>
      <c r="C221" s="1" t="s">
        <v>167</v>
      </c>
      <c r="D221" s="1" t="s">
        <v>59</v>
      </c>
      <c r="E221" s="1" t="s">
        <v>1234</v>
      </c>
      <c r="F221" s="1" t="s">
        <v>1027</v>
      </c>
      <c r="G221" s="1" t="s">
        <v>1010</v>
      </c>
      <c r="H221" s="1">
        <v>1</v>
      </c>
      <c r="I221" s="1">
        <v>3</v>
      </c>
      <c r="J221" s="1" t="s">
        <v>2679</v>
      </c>
      <c r="K221" s="2">
        <v>209.96</v>
      </c>
      <c r="L221" s="6">
        <v>7</v>
      </c>
      <c r="M221" s="2">
        <f t="shared" si="15"/>
        <v>209.96</v>
      </c>
      <c r="N221" s="2">
        <f t="shared" si="16"/>
        <v>14.6972</v>
      </c>
      <c r="O221" s="2">
        <f t="shared" si="17"/>
        <v>195.2628</v>
      </c>
      <c r="P221" s="1">
        <v>207</v>
      </c>
      <c r="Q221" s="2">
        <v>146.97</v>
      </c>
      <c r="R221" s="2">
        <f t="shared" si="18"/>
        <v>48.2928</v>
      </c>
      <c r="S221" s="1" t="s">
        <v>1016</v>
      </c>
      <c r="T221" s="1" t="s">
        <v>1007</v>
      </c>
      <c r="U221" s="1" t="str">
        <f t="shared" si="19"/>
        <v>YES</v>
      </c>
    </row>
    <row r="222" spans="1:21" x14ac:dyDescent="0.3">
      <c r="A222" s="1" t="s">
        <v>404</v>
      </c>
      <c r="B222" s="1" t="s">
        <v>26</v>
      </c>
      <c r="C222" s="1" t="s">
        <v>27</v>
      </c>
      <c r="D222" s="1" t="s">
        <v>28</v>
      </c>
      <c r="E222" s="1" t="s">
        <v>1235</v>
      </c>
      <c r="F222" s="1" t="s">
        <v>1020</v>
      </c>
      <c r="G222" s="1" t="s">
        <v>1002</v>
      </c>
      <c r="H222" s="1">
        <v>5</v>
      </c>
      <c r="I222" s="1">
        <v>4</v>
      </c>
      <c r="J222" s="1" t="s">
        <v>2680</v>
      </c>
      <c r="K222" s="2">
        <v>303.88</v>
      </c>
      <c r="L222" s="6">
        <v>4</v>
      </c>
      <c r="M222" s="2">
        <f t="shared" si="15"/>
        <v>1519.4</v>
      </c>
      <c r="N222" s="2">
        <f t="shared" si="16"/>
        <v>60.776000000000003</v>
      </c>
      <c r="O222" s="2">
        <f t="shared" si="17"/>
        <v>1458.624</v>
      </c>
      <c r="P222" s="1">
        <v>241</v>
      </c>
      <c r="Q222" s="2">
        <v>212.72</v>
      </c>
      <c r="R222" s="2">
        <f t="shared" si="18"/>
        <v>395.02400000000011</v>
      </c>
      <c r="S222" s="1" t="s">
        <v>1011</v>
      </c>
      <c r="T222" s="1" t="s">
        <v>1004</v>
      </c>
      <c r="U222" s="1" t="str">
        <f t="shared" si="19"/>
        <v>NO</v>
      </c>
    </row>
    <row r="223" spans="1:21" x14ac:dyDescent="0.3">
      <c r="A223" s="1" t="s">
        <v>405</v>
      </c>
      <c r="B223" s="1" t="s">
        <v>111</v>
      </c>
      <c r="C223" s="1" t="s">
        <v>112</v>
      </c>
      <c r="D223" s="1" t="s">
        <v>97</v>
      </c>
      <c r="E223" s="1" t="s">
        <v>1236</v>
      </c>
      <c r="F223" s="1" t="s">
        <v>1013</v>
      </c>
      <c r="G223" s="1" t="s">
        <v>1002</v>
      </c>
      <c r="H223" s="1">
        <v>5</v>
      </c>
      <c r="I223" s="1">
        <v>5</v>
      </c>
      <c r="J223" s="1" t="s">
        <v>2598</v>
      </c>
      <c r="K223" s="2">
        <v>237.32</v>
      </c>
      <c r="L223" s="6">
        <v>9</v>
      </c>
      <c r="M223" s="2">
        <f t="shared" si="15"/>
        <v>1186.5999999999999</v>
      </c>
      <c r="N223" s="2">
        <f t="shared" si="16"/>
        <v>106.794</v>
      </c>
      <c r="O223" s="2">
        <f t="shared" si="17"/>
        <v>1079.8059999999998</v>
      </c>
      <c r="P223" s="1">
        <v>136</v>
      </c>
      <c r="Q223" s="2">
        <v>166.12</v>
      </c>
      <c r="R223" s="2">
        <f t="shared" si="18"/>
        <v>249.20599999999979</v>
      </c>
      <c r="S223" s="1" t="s">
        <v>1016</v>
      </c>
      <c r="T223" s="1" t="s">
        <v>1004</v>
      </c>
      <c r="U223" s="1" t="str">
        <f t="shared" si="19"/>
        <v>YES</v>
      </c>
    </row>
    <row r="224" spans="1:21" x14ac:dyDescent="0.3">
      <c r="A224" s="1" t="s">
        <v>406</v>
      </c>
      <c r="B224" s="1" t="s">
        <v>77</v>
      </c>
      <c r="C224" s="1" t="s">
        <v>78</v>
      </c>
      <c r="D224" s="1" t="s">
        <v>47</v>
      </c>
      <c r="E224" s="1" t="s">
        <v>1237</v>
      </c>
      <c r="F224" s="1" t="s">
        <v>1009</v>
      </c>
      <c r="G224" s="1" t="s">
        <v>1023</v>
      </c>
      <c r="H224" s="1">
        <v>6</v>
      </c>
      <c r="I224" s="1">
        <v>5</v>
      </c>
      <c r="J224" s="1" t="s">
        <v>2543</v>
      </c>
      <c r="K224" s="2">
        <v>323.18</v>
      </c>
      <c r="L224" s="6">
        <v>1</v>
      </c>
      <c r="M224" s="2">
        <f t="shared" si="15"/>
        <v>1939.08</v>
      </c>
      <c r="N224" s="2">
        <f t="shared" si="16"/>
        <v>19.390799999999999</v>
      </c>
      <c r="O224" s="2">
        <f t="shared" si="17"/>
        <v>1919.6892</v>
      </c>
      <c r="P224" s="1">
        <v>195</v>
      </c>
      <c r="Q224" s="2">
        <v>226.23</v>
      </c>
      <c r="R224" s="2">
        <f t="shared" si="18"/>
        <v>562.30920000000015</v>
      </c>
      <c r="S224" s="1" t="s">
        <v>1016</v>
      </c>
      <c r="T224" s="1" t="s">
        <v>1007</v>
      </c>
      <c r="U224" s="1" t="str">
        <f t="shared" si="19"/>
        <v>YES</v>
      </c>
    </row>
    <row r="225" spans="1:21" x14ac:dyDescent="0.3">
      <c r="A225" s="1" t="s">
        <v>407</v>
      </c>
      <c r="B225" s="1" t="s">
        <v>57</v>
      </c>
      <c r="C225" s="1" t="s">
        <v>58</v>
      </c>
      <c r="D225" s="1" t="s">
        <v>59</v>
      </c>
      <c r="E225" s="1" t="s">
        <v>1238</v>
      </c>
      <c r="F225" s="1" t="s">
        <v>1001</v>
      </c>
      <c r="G225" s="1" t="s">
        <v>1023</v>
      </c>
      <c r="H225" s="1">
        <v>15</v>
      </c>
      <c r="I225" s="1">
        <v>5</v>
      </c>
      <c r="J225" s="1" t="s">
        <v>2681</v>
      </c>
      <c r="K225" s="2">
        <v>85.73</v>
      </c>
      <c r="L225" s="6">
        <v>8</v>
      </c>
      <c r="M225" s="2">
        <f t="shared" si="15"/>
        <v>1285.95</v>
      </c>
      <c r="N225" s="2">
        <f t="shared" si="16"/>
        <v>102.876</v>
      </c>
      <c r="O225" s="2">
        <f t="shared" si="17"/>
        <v>1183.0740000000001</v>
      </c>
      <c r="P225" s="1">
        <v>264</v>
      </c>
      <c r="Q225" s="2">
        <v>60.01</v>
      </c>
      <c r="R225" s="2">
        <f t="shared" si="18"/>
        <v>282.92400000000009</v>
      </c>
      <c r="S225" s="1" t="s">
        <v>1016</v>
      </c>
      <c r="T225" s="1" t="s">
        <v>1007</v>
      </c>
      <c r="U225" s="1" t="str">
        <f t="shared" si="19"/>
        <v>YES</v>
      </c>
    </row>
    <row r="226" spans="1:21" x14ac:dyDescent="0.3">
      <c r="A226" s="1" t="s">
        <v>408</v>
      </c>
      <c r="B226" s="1" t="s">
        <v>63</v>
      </c>
      <c r="C226" s="1" t="s">
        <v>64</v>
      </c>
      <c r="D226" s="1" t="s">
        <v>28</v>
      </c>
      <c r="E226" s="1" t="s">
        <v>1239</v>
      </c>
      <c r="F226" s="1" t="s">
        <v>1015</v>
      </c>
      <c r="G226" s="1" t="s">
        <v>1002</v>
      </c>
      <c r="H226" s="1">
        <v>13</v>
      </c>
      <c r="I226" s="1">
        <v>5</v>
      </c>
      <c r="J226" s="1" t="s">
        <v>2682</v>
      </c>
      <c r="K226" s="2">
        <v>496.68</v>
      </c>
      <c r="L226" s="6">
        <v>3</v>
      </c>
      <c r="M226" s="2">
        <f t="shared" si="15"/>
        <v>6456.84</v>
      </c>
      <c r="N226" s="2">
        <f t="shared" si="16"/>
        <v>193.70519999999999</v>
      </c>
      <c r="O226" s="2">
        <f t="shared" si="17"/>
        <v>6263.1347999999998</v>
      </c>
      <c r="P226" s="1">
        <v>126</v>
      </c>
      <c r="Q226" s="2">
        <v>347.68</v>
      </c>
      <c r="R226" s="2">
        <f t="shared" si="18"/>
        <v>1743.2947999999997</v>
      </c>
      <c r="S226" s="1" t="s">
        <v>1011</v>
      </c>
      <c r="T226" s="1" t="s">
        <v>1007</v>
      </c>
      <c r="U226" s="1" t="str">
        <f t="shared" si="19"/>
        <v>NO</v>
      </c>
    </row>
    <row r="227" spans="1:21" x14ac:dyDescent="0.3">
      <c r="A227" s="1" t="s">
        <v>409</v>
      </c>
      <c r="B227" s="1" t="s">
        <v>192</v>
      </c>
      <c r="C227" s="1" t="s">
        <v>193</v>
      </c>
      <c r="D227" s="1" t="s">
        <v>85</v>
      </c>
      <c r="E227" s="1" t="s">
        <v>1240</v>
      </c>
      <c r="F227" s="1" t="s">
        <v>1009</v>
      </c>
      <c r="G227" s="1" t="s">
        <v>1002</v>
      </c>
      <c r="H227" s="1">
        <v>14</v>
      </c>
      <c r="I227" s="1">
        <v>2</v>
      </c>
      <c r="J227" s="1" t="s">
        <v>2683</v>
      </c>
      <c r="K227" s="2">
        <v>161.04</v>
      </c>
      <c r="L227" s="6">
        <v>17</v>
      </c>
      <c r="M227" s="2">
        <f t="shared" si="15"/>
        <v>2254.56</v>
      </c>
      <c r="N227" s="2">
        <f t="shared" si="16"/>
        <v>383.27519999999998</v>
      </c>
      <c r="O227" s="2">
        <f t="shared" si="17"/>
        <v>1871.2847999999999</v>
      </c>
      <c r="P227" s="1">
        <v>153</v>
      </c>
      <c r="Q227" s="2">
        <v>112.73</v>
      </c>
      <c r="R227" s="2">
        <f t="shared" si="18"/>
        <v>293.06479999999988</v>
      </c>
      <c r="S227" s="1" t="s">
        <v>1003</v>
      </c>
      <c r="T227" s="1" t="s">
        <v>1004</v>
      </c>
      <c r="U227" s="1" t="str">
        <f t="shared" si="19"/>
        <v>NO</v>
      </c>
    </row>
    <row r="228" spans="1:21" x14ac:dyDescent="0.3">
      <c r="A228" s="1" t="s">
        <v>411</v>
      </c>
      <c r="B228" s="1" t="s">
        <v>111</v>
      </c>
      <c r="C228" s="1" t="s">
        <v>112</v>
      </c>
      <c r="D228" s="1" t="s">
        <v>97</v>
      </c>
      <c r="E228" s="1" t="s">
        <v>1241</v>
      </c>
      <c r="F228" s="1" t="s">
        <v>1013</v>
      </c>
      <c r="G228" s="1" t="s">
        <v>1002</v>
      </c>
      <c r="H228" s="1">
        <v>15</v>
      </c>
      <c r="I228" s="1">
        <v>5</v>
      </c>
      <c r="J228" s="1" t="s">
        <v>2684</v>
      </c>
      <c r="K228" s="2">
        <v>166.81</v>
      </c>
      <c r="L228" s="6">
        <v>25</v>
      </c>
      <c r="M228" s="2">
        <f t="shared" si="15"/>
        <v>2502.15</v>
      </c>
      <c r="N228" s="2">
        <f t="shared" si="16"/>
        <v>625.53750000000002</v>
      </c>
      <c r="O228" s="2">
        <f t="shared" si="17"/>
        <v>1876.6125000000002</v>
      </c>
      <c r="P228" s="1">
        <v>263</v>
      </c>
      <c r="Q228" s="2">
        <v>116.77</v>
      </c>
      <c r="R228" s="2">
        <f t="shared" si="18"/>
        <v>125.06250000000023</v>
      </c>
      <c r="S228" s="1" t="s">
        <v>1016</v>
      </c>
      <c r="T228" s="1" t="s">
        <v>1004</v>
      </c>
      <c r="U228" s="1" t="str">
        <f t="shared" si="19"/>
        <v>YES</v>
      </c>
    </row>
    <row r="229" spans="1:21" x14ac:dyDescent="0.3">
      <c r="A229" s="1" t="s">
        <v>412</v>
      </c>
      <c r="B229" s="1" t="s">
        <v>299</v>
      </c>
      <c r="C229" s="1" t="s">
        <v>300</v>
      </c>
      <c r="D229" s="1" t="s">
        <v>39</v>
      </c>
      <c r="E229" s="1" t="s">
        <v>1242</v>
      </c>
      <c r="F229" s="1" t="s">
        <v>1006</v>
      </c>
      <c r="G229" s="1" t="s">
        <v>1023</v>
      </c>
      <c r="H229" s="1">
        <v>9</v>
      </c>
      <c r="I229" s="1">
        <v>1</v>
      </c>
      <c r="J229" s="1" t="s">
        <v>2685</v>
      </c>
      <c r="K229" s="2">
        <v>324.25</v>
      </c>
      <c r="L229" s="6">
        <v>18</v>
      </c>
      <c r="M229" s="2">
        <f t="shared" si="15"/>
        <v>2918.25</v>
      </c>
      <c r="N229" s="2">
        <f t="shared" si="16"/>
        <v>525.28499999999997</v>
      </c>
      <c r="O229" s="2">
        <f t="shared" si="17"/>
        <v>2392.9650000000001</v>
      </c>
      <c r="P229" s="1">
        <v>176</v>
      </c>
      <c r="Q229" s="2">
        <v>226.97</v>
      </c>
      <c r="R229" s="2">
        <f t="shared" si="18"/>
        <v>350.23500000000013</v>
      </c>
      <c r="S229" s="1" t="s">
        <v>1011</v>
      </c>
      <c r="T229" s="1" t="s">
        <v>1004</v>
      </c>
      <c r="U229" s="1" t="str">
        <f t="shared" si="19"/>
        <v>NO</v>
      </c>
    </row>
    <row r="230" spans="1:21" x14ac:dyDescent="0.3">
      <c r="A230" s="1" t="s">
        <v>413</v>
      </c>
      <c r="B230" s="1" t="s">
        <v>83</v>
      </c>
      <c r="C230" s="1" t="s">
        <v>84</v>
      </c>
      <c r="D230" s="1" t="s">
        <v>85</v>
      </c>
      <c r="E230" s="1" t="s">
        <v>1243</v>
      </c>
      <c r="F230" s="1" t="s">
        <v>1006</v>
      </c>
      <c r="G230" s="1" t="s">
        <v>1002</v>
      </c>
      <c r="H230" s="1">
        <v>13</v>
      </c>
      <c r="I230" s="1">
        <v>7</v>
      </c>
      <c r="J230" s="1" t="s">
        <v>2646</v>
      </c>
      <c r="K230" s="2">
        <v>430.7</v>
      </c>
      <c r="L230" s="6">
        <v>15</v>
      </c>
      <c r="M230" s="2">
        <f t="shared" si="15"/>
        <v>5599.0999999999995</v>
      </c>
      <c r="N230" s="2">
        <f t="shared" si="16"/>
        <v>839.8649999999999</v>
      </c>
      <c r="O230" s="2">
        <f t="shared" si="17"/>
        <v>4759.2349999999997</v>
      </c>
      <c r="P230" s="1">
        <v>224</v>
      </c>
      <c r="Q230" s="2">
        <v>301.49</v>
      </c>
      <c r="R230" s="2">
        <f t="shared" si="18"/>
        <v>839.86499999999978</v>
      </c>
      <c r="S230" s="1" t="s">
        <v>1016</v>
      </c>
      <c r="T230" s="1" t="s">
        <v>1007</v>
      </c>
      <c r="U230" s="1" t="str">
        <f t="shared" si="19"/>
        <v>YES</v>
      </c>
    </row>
    <row r="231" spans="1:21" x14ac:dyDescent="0.3">
      <c r="A231" s="1" t="s">
        <v>414</v>
      </c>
      <c r="B231" s="1" t="s">
        <v>189</v>
      </c>
      <c r="C231" s="1" t="s">
        <v>190</v>
      </c>
      <c r="D231" s="1" t="s">
        <v>59</v>
      </c>
      <c r="E231" s="1" t="s">
        <v>1244</v>
      </c>
      <c r="F231" s="1" t="s">
        <v>1027</v>
      </c>
      <c r="G231" s="1" t="s">
        <v>1023</v>
      </c>
      <c r="H231" s="1">
        <v>13</v>
      </c>
      <c r="I231" s="1">
        <v>5</v>
      </c>
      <c r="J231" s="1" t="s">
        <v>2686</v>
      </c>
      <c r="K231" s="2">
        <v>194.59</v>
      </c>
      <c r="L231" s="6">
        <v>15</v>
      </c>
      <c r="M231" s="2">
        <f t="shared" si="15"/>
        <v>2529.67</v>
      </c>
      <c r="N231" s="2">
        <f t="shared" si="16"/>
        <v>379.45050000000003</v>
      </c>
      <c r="O231" s="2">
        <f t="shared" si="17"/>
        <v>2150.2195000000002</v>
      </c>
      <c r="P231" s="1">
        <v>255</v>
      </c>
      <c r="Q231" s="2">
        <v>136.21</v>
      </c>
      <c r="R231" s="2">
        <f t="shared" si="18"/>
        <v>379.48950000000013</v>
      </c>
      <c r="S231" s="1" t="s">
        <v>1016</v>
      </c>
      <c r="T231" s="1" t="s">
        <v>1007</v>
      </c>
      <c r="U231" s="1" t="str">
        <f t="shared" si="19"/>
        <v>YES</v>
      </c>
    </row>
    <row r="232" spans="1:21" x14ac:dyDescent="0.3">
      <c r="A232" s="1" t="s">
        <v>415</v>
      </c>
      <c r="B232" s="1" t="s">
        <v>111</v>
      </c>
      <c r="C232" s="1" t="s">
        <v>112</v>
      </c>
      <c r="D232" s="1" t="s">
        <v>97</v>
      </c>
      <c r="E232" s="1" t="s">
        <v>1245</v>
      </c>
      <c r="F232" s="1" t="s">
        <v>1001</v>
      </c>
      <c r="G232" s="1" t="s">
        <v>1002</v>
      </c>
      <c r="H232" s="1">
        <v>12</v>
      </c>
      <c r="I232" s="1">
        <v>4</v>
      </c>
      <c r="J232" s="1" t="s">
        <v>2687</v>
      </c>
      <c r="K232" s="2">
        <v>443.9</v>
      </c>
      <c r="L232" s="6">
        <v>9</v>
      </c>
      <c r="M232" s="2">
        <f t="shared" si="15"/>
        <v>5326.7999999999993</v>
      </c>
      <c r="N232" s="2">
        <f t="shared" si="16"/>
        <v>479.41199999999998</v>
      </c>
      <c r="O232" s="2">
        <f t="shared" si="17"/>
        <v>4847.387999999999</v>
      </c>
      <c r="P232" s="1">
        <v>216</v>
      </c>
      <c r="Q232" s="2">
        <v>310.73</v>
      </c>
      <c r="R232" s="2">
        <f t="shared" si="18"/>
        <v>1118.6279999999988</v>
      </c>
      <c r="S232" s="1" t="s">
        <v>1011</v>
      </c>
      <c r="T232" s="1" t="s">
        <v>1007</v>
      </c>
      <c r="U232" s="1" t="str">
        <f t="shared" si="19"/>
        <v>NO</v>
      </c>
    </row>
    <row r="233" spans="1:21" x14ac:dyDescent="0.3">
      <c r="A233" s="1" t="s">
        <v>416</v>
      </c>
      <c r="B233" s="1" t="s">
        <v>57</v>
      </c>
      <c r="C233" s="1" t="s">
        <v>58</v>
      </c>
      <c r="D233" s="1" t="s">
        <v>59</v>
      </c>
      <c r="E233" s="1" t="s">
        <v>1246</v>
      </c>
      <c r="F233" s="1" t="s">
        <v>1015</v>
      </c>
      <c r="G233" s="1" t="s">
        <v>1023</v>
      </c>
      <c r="H233" s="1">
        <v>6</v>
      </c>
      <c r="I233" s="1">
        <v>7</v>
      </c>
      <c r="J233" s="1" t="s">
        <v>2688</v>
      </c>
      <c r="K233" s="2">
        <v>450.33</v>
      </c>
      <c r="L233" s="6">
        <v>3</v>
      </c>
      <c r="M233" s="2">
        <f t="shared" si="15"/>
        <v>2701.98</v>
      </c>
      <c r="N233" s="2">
        <f t="shared" si="16"/>
        <v>81.059400000000011</v>
      </c>
      <c r="O233" s="2">
        <f t="shared" si="17"/>
        <v>2620.9205999999999</v>
      </c>
      <c r="P233" s="1">
        <v>159</v>
      </c>
      <c r="Q233" s="2">
        <v>315.23</v>
      </c>
      <c r="R233" s="2">
        <f t="shared" si="18"/>
        <v>729.54059999999981</v>
      </c>
      <c r="S233" s="1" t="s">
        <v>1016</v>
      </c>
      <c r="T233" s="1" t="s">
        <v>1004</v>
      </c>
      <c r="U233" s="1" t="str">
        <f t="shared" si="19"/>
        <v>YES</v>
      </c>
    </row>
    <row r="234" spans="1:21" x14ac:dyDescent="0.3">
      <c r="A234" s="1" t="s">
        <v>417</v>
      </c>
      <c r="B234" s="1" t="s">
        <v>95</v>
      </c>
      <c r="C234" s="1" t="s">
        <v>96</v>
      </c>
      <c r="D234" s="1" t="s">
        <v>97</v>
      </c>
      <c r="E234" s="1" t="s">
        <v>1247</v>
      </c>
      <c r="F234" s="1" t="s">
        <v>1009</v>
      </c>
      <c r="G234" s="1" t="s">
        <v>1023</v>
      </c>
      <c r="H234" s="1">
        <v>15</v>
      </c>
      <c r="I234" s="1">
        <v>5</v>
      </c>
      <c r="J234" s="1" t="s">
        <v>2689</v>
      </c>
      <c r="K234" s="2">
        <v>274.35000000000002</v>
      </c>
      <c r="L234" s="6">
        <v>24</v>
      </c>
      <c r="M234" s="2">
        <f t="shared" si="15"/>
        <v>4115.25</v>
      </c>
      <c r="N234" s="2">
        <f t="shared" si="16"/>
        <v>987.66</v>
      </c>
      <c r="O234" s="2">
        <f t="shared" si="17"/>
        <v>3127.59</v>
      </c>
      <c r="P234" s="1">
        <v>150</v>
      </c>
      <c r="Q234" s="2">
        <v>192.05</v>
      </c>
      <c r="R234" s="2">
        <f t="shared" si="18"/>
        <v>246.84000000000015</v>
      </c>
      <c r="S234" s="1" t="s">
        <v>1003</v>
      </c>
      <c r="T234" s="1" t="s">
        <v>1007</v>
      </c>
      <c r="U234" s="1" t="str">
        <f t="shared" si="19"/>
        <v>NO</v>
      </c>
    </row>
    <row r="235" spans="1:21" x14ac:dyDescent="0.3">
      <c r="A235" s="1" t="s">
        <v>418</v>
      </c>
      <c r="B235" s="1" t="s">
        <v>130</v>
      </c>
      <c r="C235" s="1" t="s">
        <v>131</v>
      </c>
      <c r="D235" s="1" t="s">
        <v>132</v>
      </c>
      <c r="E235" s="1" t="s">
        <v>1248</v>
      </c>
      <c r="F235" s="1" t="s">
        <v>1013</v>
      </c>
      <c r="G235" s="1" t="s">
        <v>1002</v>
      </c>
      <c r="H235" s="1">
        <v>3</v>
      </c>
      <c r="I235" s="1">
        <v>2</v>
      </c>
      <c r="J235" s="1" t="s">
        <v>2567</v>
      </c>
      <c r="K235" s="2">
        <v>254.54</v>
      </c>
      <c r="L235" s="6">
        <v>1</v>
      </c>
      <c r="M235" s="2">
        <f t="shared" si="15"/>
        <v>763.62</v>
      </c>
      <c r="N235" s="2">
        <f t="shared" si="16"/>
        <v>7.6361999999999997</v>
      </c>
      <c r="O235" s="2">
        <f t="shared" si="17"/>
        <v>755.98379999999997</v>
      </c>
      <c r="P235" s="1">
        <v>262</v>
      </c>
      <c r="Q235" s="2">
        <v>178.18</v>
      </c>
      <c r="R235" s="2">
        <f t="shared" si="18"/>
        <v>221.44380000000001</v>
      </c>
      <c r="S235" s="1" t="s">
        <v>1003</v>
      </c>
      <c r="T235" s="1" t="s">
        <v>1004</v>
      </c>
      <c r="U235" s="1" t="str">
        <f t="shared" si="19"/>
        <v>NO</v>
      </c>
    </row>
    <row r="236" spans="1:21" x14ac:dyDescent="0.3">
      <c r="A236" s="1" t="s">
        <v>419</v>
      </c>
      <c r="B236" s="1" t="s">
        <v>192</v>
      </c>
      <c r="C236" s="1" t="s">
        <v>193</v>
      </c>
      <c r="D236" s="1" t="s">
        <v>85</v>
      </c>
      <c r="E236" s="1" t="s">
        <v>1249</v>
      </c>
      <c r="F236" s="1" t="s">
        <v>1013</v>
      </c>
      <c r="G236" s="1" t="s">
        <v>1002</v>
      </c>
      <c r="H236" s="1">
        <v>10</v>
      </c>
      <c r="I236" s="1">
        <v>3</v>
      </c>
      <c r="J236" s="1" t="s">
        <v>2671</v>
      </c>
      <c r="K236" s="2">
        <v>492.36</v>
      </c>
      <c r="L236" s="6">
        <v>0</v>
      </c>
      <c r="M236" s="2">
        <f t="shared" si="15"/>
        <v>4923.6000000000004</v>
      </c>
      <c r="N236" s="2">
        <f t="shared" si="16"/>
        <v>0</v>
      </c>
      <c r="O236" s="2">
        <f t="shared" si="17"/>
        <v>4923.6000000000004</v>
      </c>
      <c r="P236" s="1">
        <v>140</v>
      </c>
      <c r="Q236" s="2">
        <v>344.65</v>
      </c>
      <c r="R236" s="2">
        <f t="shared" si="18"/>
        <v>1477.1000000000004</v>
      </c>
      <c r="S236" s="1" t="s">
        <v>1003</v>
      </c>
      <c r="T236" s="1" t="s">
        <v>1004</v>
      </c>
      <c r="U236" s="1" t="str">
        <f t="shared" si="19"/>
        <v>NO</v>
      </c>
    </row>
    <row r="237" spans="1:21" x14ac:dyDescent="0.3">
      <c r="A237" s="1" t="s">
        <v>420</v>
      </c>
      <c r="B237" s="1" t="s">
        <v>83</v>
      </c>
      <c r="C237" s="1" t="s">
        <v>84</v>
      </c>
      <c r="D237" s="1" t="s">
        <v>85</v>
      </c>
      <c r="E237" s="1" t="s">
        <v>1250</v>
      </c>
      <c r="F237" s="1" t="s">
        <v>1001</v>
      </c>
      <c r="G237" s="1" t="s">
        <v>1002</v>
      </c>
      <c r="H237" s="1">
        <v>4</v>
      </c>
      <c r="I237" s="1">
        <v>7</v>
      </c>
      <c r="J237" s="1" t="s">
        <v>2690</v>
      </c>
      <c r="K237" s="2">
        <v>452.64</v>
      </c>
      <c r="L237" s="6">
        <v>13</v>
      </c>
      <c r="M237" s="2">
        <f t="shared" si="15"/>
        <v>1810.56</v>
      </c>
      <c r="N237" s="2">
        <f t="shared" si="16"/>
        <v>235.37279999999998</v>
      </c>
      <c r="O237" s="2">
        <f t="shared" si="17"/>
        <v>1575.1871999999998</v>
      </c>
      <c r="P237" s="1">
        <v>151</v>
      </c>
      <c r="Q237" s="2">
        <v>316.85000000000002</v>
      </c>
      <c r="R237" s="2">
        <f t="shared" si="18"/>
        <v>307.78719999999976</v>
      </c>
      <c r="S237" s="1" t="s">
        <v>1003</v>
      </c>
      <c r="T237" s="1" t="s">
        <v>1004</v>
      </c>
      <c r="U237" s="1" t="str">
        <f t="shared" si="19"/>
        <v>NO</v>
      </c>
    </row>
    <row r="238" spans="1:21" x14ac:dyDescent="0.3">
      <c r="A238" s="1" t="s">
        <v>421</v>
      </c>
      <c r="B238" s="1" t="s">
        <v>45</v>
      </c>
      <c r="C238" s="1" t="s">
        <v>46</v>
      </c>
      <c r="D238" s="1" t="s">
        <v>47</v>
      </c>
      <c r="E238" s="1" t="s">
        <v>1251</v>
      </c>
      <c r="F238" s="1" t="s">
        <v>1001</v>
      </c>
      <c r="G238" s="1" t="s">
        <v>1002</v>
      </c>
      <c r="H238" s="1">
        <v>3</v>
      </c>
      <c r="I238" s="1">
        <v>2</v>
      </c>
      <c r="J238" s="1" t="s">
        <v>2691</v>
      </c>
      <c r="K238" s="2">
        <v>103.3</v>
      </c>
      <c r="L238" s="6">
        <v>1</v>
      </c>
      <c r="M238" s="2">
        <f t="shared" si="15"/>
        <v>309.89999999999998</v>
      </c>
      <c r="N238" s="2">
        <f t="shared" si="16"/>
        <v>3.0989999999999998</v>
      </c>
      <c r="O238" s="2">
        <f t="shared" si="17"/>
        <v>306.80099999999999</v>
      </c>
      <c r="P238" s="1">
        <v>159</v>
      </c>
      <c r="Q238" s="2">
        <v>72.31</v>
      </c>
      <c r="R238" s="2">
        <f t="shared" si="18"/>
        <v>89.870999999999981</v>
      </c>
      <c r="S238" s="1" t="s">
        <v>1011</v>
      </c>
      <c r="T238" s="1" t="s">
        <v>1007</v>
      </c>
      <c r="U238" s="1" t="str">
        <f t="shared" si="19"/>
        <v>NO</v>
      </c>
    </row>
    <row r="239" spans="1:21" x14ac:dyDescent="0.3">
      <c r="A239" s="1" t="s">
        <v>422</v>
      </c>
      <c r="B239" s="1" t="s">
        <v>107</v>
      </c>
      <c r="C239" s="1" t="s">
        <v>108</v>
      </c>
      <c r="D239" s="1" t="s">
        <v>39</v>
      </c>
      <c r="E239" s="1" t="s">
        <v>1252</v>
      </c>
      <c r="F239" s="1" t="s">
        <v>1013</v>
      </c>
      <c r="G239" s="1" t="s">
        <v>1010</v>
      </c>
      <c r="H239" s="1">
        <v>9</v>
      </c>
      <c r="I239" s="1">
        <v>3</v>
      </c>
      <c r="J239" s="1" t="s">
        <v>2692</v>
      </c>
      <c r="K239" s="2">
        <v>84.96</v>
      </c>
      <c r="L239" s="6">
        <v>0</v>
      </c>
      <c r="M239" s="2">
        <f t="shared" si="15"/>
        <v>764.64</v>
      </c>
      <c r="N239" s="2">
        <f t="shared" si="16"/>
        <v>0</v>
      </c>
      <c r="O239" s="2">
        <f t="shared" si="17"/>
        <v>764.64</v>
      </c>
      <c r="P239" s="1">
        <v>90</v>
      </c>
      <c r="Q239" s="2">
        <v>59.47</v>
      </c>
      <c r="R239" s="2">
        <f t="shared" si="18"/>
        <v>229.40999999999997</v>
      </c>
      <c r="S239" s="1" t="s">
        <v>1003</v>
      </c>
      <c r="T239" s="1" t="s">
        <v>1004</v>
      </c>
      <c r="U239" s="1" t="str">
        <f t="shared" si="19"/>
        <v>NO</v>
      </c>
    </row>
    <row r="240" spans="1:21" x14ac:dyDescent="0.3">
      <c r="A240" s="1" t="s">
        <v>423</v>
      </c>
      <c r="B240" s="1" t="s">
        <v>72</v>
      </c>
      <c r="C240" s="1" t="s">
        <v>73</v>
      </c>
      <c r="D240" s="1" t="s">
        <v>47</v>
      </c>
      <c r="E240" s="1" t="s">
        <v>1253</v>
      </c>
      <c r="F240" s="1" t="s">
        <v>1009</v>
      </c>
      <c r="G240" s="1" t="s">
        <v>1010</v>
      </c>
      <c r="H240" s="1">
        <v>12</v>
      </c>
      <c r="I240" s="1">
        <v>5</v>
      </c>
      <c r="J240" s="1" t="s">
        <v>2693</v>
      </c>
      <c r="K240" s="2">
        <v>228.65</v>
      </c>
      <c r="L240" s="6">
        <v>6</v>
      </c>
      <c r="M240" s="2">
        <f t="shared" si="15"/>
        <v>2743.8</v>
      </c>
      <c r="N240" s="2">
        <f t="shared" si="16"/>
        <v>164.62800000000004</v>
      </c>
      <c r="O240" s="2">
        <f t="shared" si="17"/>
        <v>2579.172</v>
      </c>
      <c r="P240" s="1">
        <v>91</v>
      </c>
      <c r="Q240" s="2">
        <v>160.06</v>
      </c>
      <c r="R240" s="2">
        <f t="shared" si="18"/>
        <v>658.452</v>
      </c>
      <c r="S240" s="1" t="s">
        <v>1011</v>
      </c>
      <c r="T240" s="1" t="s">
        <v>1007</v>
      </c>
      <c r="U240" s="1" t="str">
        <f t="shared" si="19"/>
        <v>NO</v>
      </c>
    </row>
    <row r="241" spans="1:21" x14ac:dyDescent="0.3">
      <c r="A241" s="1" t="s">
        <v>424</v>
      </c>
      <c r="B241" s="1" t="s">
        <v>189</v>
      </c>
      <c r="C241" s="1" t="s">
        <v>190</v>
      </c>
      <c r="D241" s="1" t="s">
        <v>59</v>
      </c>
      <c r="E241" s="1" t="s">
        <v>1254</v>
      </c>
      <c r="F241" s="1" t="s">
        <v>1013</v>
      </c>
      <c r="G241" s="1" t="s">
        <v>1010</v>
      </c>
      <c r="H241" s="1">
        <v>14</v>
      </c>
      <c r="I241" s="1">
        <v>1</v>
      </c>
      <c r="J241" s="1" t="s">
        <v>2694</v>
      </c>
      <c r="K241" s="2">
        <v>250.85</v>
      </c>
      <c r="L241" s="6">
        <v>4</v>
      </c>
      <c r="M241" s="2">
        <f t="shared" si="15"/>
        <v>3511.9</v>
      </c>
      <c r="N241" s="2">
        <f t="shared" si="16"/>
        <v>140.476</v>
      </c>
      <c r="O241" s="2">
        <f t="shared" si="17"/>
        <v>3371.424</v>
      </c>
      <c r="P241" s="1">
        <v>225</v>
      </c>
      <c r="Q241" s="2">
        <v>175.59</v>
      </c>
      <c r="R241" s="2">
        <f t="shared" si="18"/>
        <v>913.16399999999976</v>
      </c>
      <c r="S241" s="1" t="s">
        <v>1016</v>
      </c>
      <c r="T241" s="1" t="s">
        <v>1004</v>
      </c>
      <c r="U241" s="1" t="str">
        <f t="shared" si="19"/>
        <v>YES</v>
      </c>
    </row>
    <row r="242" spans="1:21" x14ac:dyDescent="0.3">
      <c r="A242" s="1" t="s">
        <v>425</v>
      </c>
      <c r="B242" s="1" t="s">
        <v>176</v>
      </c>
      <c r="C242" s="1" t="s">
        <v>177</v>
      </c>
      <c r="D242" s="1" t="s">
        <v>39</v>
      </c>
      <c r="E242" s="1" t="s">
        <v>1255</v>
      </c>
      <c r="F242" s="1" t="s">
        <v>1001</v>
      </c>
      <c r="G242" s="1" t="s">
        <v>1010</v>
      </c>
      <c r="H242" s="1">
        <v>10</v>
      </c>
      <c r="I242" s="1">
        <v>1</v>
      </c>
      <c r="J242" s="1" t="s">
        <v>2695</v>
      </c>
      <c r="K242" s="2">
        <v>93.38</v>
      </c>
      <c r="L242" s="6">
        <v>0</v>
      </c>
      <c r="M242" s="2">
        <f t="shared" si="15"/>
        <v>933.8</v>
      </c>
      <c r="N242" s="2">
        <f t="shared" si="16"/>
        <v>0</v>
      </c>
      <c r="O242" s="2">
        <f t="shared" si="17"/>
        <v>933.8</v>
      </c>
      <c r="P242" s="1">
        <v>190</v>
      </c>
      <c r="Q242" s="2">
        <v>65.37</v>
      </c>
      <c r="R242" s="2">
        <f t="shared" si="18"/>
        <v>280.09999999999991</v>
      </c>
      <c r="S242" s="1" t="s">
        <v>1003</v>
      </c>
      <c r="T242" s="1" t="s">
        <v>1007</v>
      </c>
      <c r="U242" s="1" t="str">
        <f t="shared" si="19"/>
        <v>NO</v>
      </c>
    </row>
    <row r="243" spans="1:21" x14ac:dyDescent="0.3">
      <c r="A243" s="1" t="s">
        <v>426</v>
      </c>
      <c r="B243" s="1" t="s">
        <v>192</v>
      </c>
      <c r="C243" s="1" t="s">
        <v>193</v>
      </c>
      <c r="D243" s="1" t="s">
        <v>85</v>
      </c>
      <c r="E243" s="1" t="s">
        <v>1256</v>
      </c>
      <c r="F243" s="1" t="s">
        <v>1020</v>
      </c>
      <c r="G243" s="1" t="s">
        <v>1023</v>
      </c>
      <c r="H243" s="1">
        <v>10</v>
      </c>
      <c r="I243" s="1">
        <v>1</v>
      </c>
      <c r="J243" s="1" t="s">
        <v>2696</v>
      </c>
      <c r="K243" s="2">
        <v>70.17</v>
      </c>
      <c r="L243" s="6">
        <v>16</v>
      </c>
      <c r="M243" s="2">
        <f t="shared" si="15"/>
        <v>701.7</v>
      </c>
      <c r="N243" s="2">
        <f t="shared" si="16"/>
        <v>112.27200000000001</v>
      </c>
      <c r="O243" s="2">
        <f t="shared" si="17"/>
        <v>589.428</v>
      </c>
      <c r="P243" s="1">
        <v>103</v>
      </c>
      <c r="Q243" s="2">
        <v>49.12</v>
      </c>
      <c r="R243" s="2">
        <f t="shared" si="18"/>
        <v>98.228000000000009</v>
      </c>
      <c r="S243" s="1" t="s">
        <v>1016</v>
      </c>
      <c r="T243" s="1" t="s">
        <v>1007</v>
      </c>
      <c r="U243" s="1" t="str">
        <f t="shared" si="19"/>
        <v>YES</v>
      </c>
    </row>
    <row r="244" spans="1:21" x14ac:dyDescent="0.3">
      <c r="A244" s="1" t="s">
        <v>427</v>
      </c>
      <c r="B244" s="1" t="s">
        <v>95</v>
      </c>
      <c r="C244" s="1" t="s">
        <v>96</v>
      </c>
      <c r="D244" s="1" t="s">
        <v>97</v>
      </c>
      <c r="E244" s="1" t="s">
        <v>1257</v>
      </c>
      <c r="F244" s="1" t="s">
        <v>1009</v>
      </c>
      <c r="G244" s="1" t="s">
        <v>1010</v>
      </c>
      <c r="H244" s="1">
        <v>2</v>
      </c>
      <c r="I244" s="1">
        <v>3</v>
      </c>
      <c r="J244" s="1" t="s">
        <v>2697</v>
      </c>
      <c r="K244" s="2">
        <v>474.86</v>
      </c>
      <c r="L244" s="6">
        <v>16</v>
      </c>
      <c r="M244" s="2">
        <f t="shared" si="15"/>
        <v>949.72</v>
      </c>
      <c r="N244" s="2">
        <f t="shared" si="16"/>
        <v>151.95519999999999</v>
      </c>
      <c r="O244" s="2">
        <f t="shared" si="17"/>
        <v>797.76480000000004</v>
      </c>
      <c r="P244" s="1">
        <v>113</v>
      </c>
      <c r="Q244" s="2">
        <v>332.4</v>
      </c>
      <c r="R244" s="2">
        <f t="shared" si="18"/>
        <v>132.96480000000008</v>
      </c>
      <c r="S244" s="1" t="s">
        <v>1016</v>
      </c>
      <c r="T244" s="1" t="s">
        <v>1004</v>
      </c>
      <c r="U244" s="1" t="str">
        <f t="shared" si="19"/>
        <v>YES</v>
      </c>
    </row>
    <row r="245" spans="1:21" x14ac:dyDescent="0.3">
      <c r="A245" s="1" t="s">
        <v>428</v>
      </c>
      <c r="B245" s="1" t="s">
        <v>77</v>
      </c>
      <c r="C245" s="1" t="s">
        <v>78</v>
      </c>
      <c r="D245" s="1" t="s">
        <v>47</v>
      </c>
      <c r="E245" s="1" t="s">
        <v>1258</v>
      </c>
      <c r="F245" s="1" t="s">
        <v>1020</v>
      </c>
      <c r="G245" s="1" t="s">
        <v>1002</v>
      </c>
      <c r="H245" s="1">
        <v>13</v>
      </c>
      <c r="I245" s="1">
        <v>1</v>
      </c>
      <c r="J245" s="1" t="s">
        <v>2698</v>
      </c>
      <c r="K245" s="2">
        <v>111.96</v>
      </c>
      <c r="L245" s="6">
        <v>25</v>
      </c>
      <c r="M245" s="2">
        <f t="shared" si="15"/>
        <v>1455.48</v>
      </c>
      <c r="N245" s="2">
        <f t="shared" si="16"/>
        <v>363.87</v>
      </c>
      <c r="O245" s="2">
        <f t="shared" si="17"/>
        <v>1091.6100000000001</v>
      </c>
      <c r="P245" s="1">
        <v>61</v>
      </c>
      <c r="Q245" s="2">
        <v>78.37</v>
      </c>
      <c r="R245" s="2">
        <f t="shared" si="18"/>
        <v>72.800000000000068</v>
      </c>
      <c r="S245" s="1" t="s">
        <v>1016</v>
      </c>
      <c r="T245" s="1" t="s">
        <v>1007</v>
      </c>
      <c r="U245" s="1" t="str">
        <f t="shared" si="19"/>
        <v>YES</v>
      </c>
    </row>
    <row r="246" spans="1:21" x14ac:dyDescent="0.3">
      <c r="A246" s="1" t="s">
        <v>429</v>
      </c>
      <c r="B246" s="1" t="s">
        <v>83</v>
      </c>
      <c r="C246" s="1" t="s">
        <v>84</v>
      </c>
      <c r="D246" s="1" t="s">
        <v>85</v>
      </c>
      <c r="E246" s="1" t="s">
        <v>1259</v>
      </c>
      <c r="F246" s="1" t="s">
        <v>1001</v>
      </c>
      <c r="G246" s="1" t="s">
        <v>1002</v>
      </c>
      <c r="H246" s="1">
        <v>12</v>
      </c>
      <c r="I246" s="1">
        <v>5</v>
      </c>
      <c r="J246" s="1" t="s">
        <v>2699</v>
      </c>
      <c r="K246" s="2">
        <v>422.86</v>
      </c>
      <c r="L246" s="6">
        <v>6</v>
      </c>
      <c r="M246" s="2">
        <f t="shared" si="15"/>
        <v>5074.32</v>
      </c>
      <c r="N246" s="2">
        <f t="shared" si="16"/>
        <v>304.45920000000001</v>
      </c>
      <c r="O246" s="2">
        <f t="shared" si="17"/>
        <v>4769.8607999999995</v>
      </c>
      <c r="P246" s="1">
        <v>58</v>
      </c>
      <c r="Q246" s="2">
        <v>296</v>
      </c>
      <c r="R246" s="2">
        <f t="shared" si="18"/>
        <v>1217.8607999999995</v>
      </c>
      <c r="S246" s="1" t="s">
        <v>1003</v>
      </c>
      <c r="T246" s="1" t="s">
        <v>1007</v>
      </c>
      <c r="U246" s="1" t="str">
        <f t="shared" si="19"/>
        <v>NO</v>
      </c>
    </row>
    <row r="247" spans="1:21" x14ac:dyDescent="0.3">
      <c r="A247" s="1" t="s">
        <v>430</v>
      </c>
      <c r="B247" s="1" t="s">
        <v>126</v>
      </c>
      <c r="C247" s="1" t="s">
        <v>127</v>
      </c>
      <c r="D247" s="1" t="s">
        <v>85</v>
      </c>
      <c r="E247" s="1" t="s">
        <v>1260</v>
      </c>
      <c r="F247" s="1" t="s">
        <v>1013</v>
      </c>
      <c r="G247" s="1" t="s">
        <v>1023</v>
      </c>
      <c r="H247" s="1">
        <v>10</v>
      </c>
      <c r="I247" s="1">
        <v>7</v>
      </c>
      <c r="J247" s="1" t="s">
        <v>2555</v>
      </c>
      <c r="K247" s="2">
        <v>113.21</v>
      </c>
      <c r="L247" s="6">
        <v>18</v>
      </c>
      <c r="M247" s="2">
        <f t="shared" si="15"/>
        <v>1132.0999999999999</v>
      </c>
      <c r="N247" s="2">
        <f t="shared" si="16"/>
        <v>203.77799999999999</v>
      </c>
      <c r="O247" s="2">
        <f t="shared" si="17"/>
        <v>928.32199999999989</v>
      </c>
      <c r="P247" s="1">
        <v>162</v>
      </c>
      <c r="Q247" s="2">
        <v>79.25</v>
      </c>
      <c r="R247" s="2">
        <f t="shared" si="18"/>
        <v>135.82199999999989</v>
      </c>
      <c r="S247" s="1" t="s">
        <v>1003</v>
      </c>
      <c r="T247" s="1" t="s">
        <v>1007</v>
      </c>
      <c r="U247" s="1" t="str">
        <f t="shared" si="19"/>
        <v>NO</v>
      </c>
    </row>
    <row r="248" spans="1:21" x14ac:dyDescent="0.3">
      <c r="A248" s="1" t="s">
        <v>431</v>
      </c>
      <c r="B248" s="1" t="s">
        <v>197</v>
      </c>
      <c r="C248" s="1" t="s">
        <v>198</v>
      </c>
      <c r="D248" s="1" t="s">
        <v>104</v>
      </c>
      <c r="E248" s="1" t="s">
        <v>1261</v>
      </c>
      <c r="F248" s="1" t="s">
        <v>1013</v>
      </c>
      <c r="G248" s="1" t="s">
        <v>1002</v>
      </c>
      <c r="H248" s="1">
        <v>1</v>
      </c>
      <c r="I248" s="1">
        <v>6</v>
      </c>
      <c r="J248" s="1" t="s">
        <v>2700</v>
      </c>
      <c r="K248" s="2">
        <v>48.35</v>
      </c>
      <c r="L248" s="6">
        <v>4</v>
      </c>
      <c r="M248" s="2">
        <f t="shared" si="15"/>
        <v>48.35</v>
      </c>
      <c r="N248" s="2">
        <f t="shared" si="16"/>
        <v>1.9340000000000002</v>
      </c>
      <c r="O248" s="2">
        <f t="shared" si="17"/>
        <v>46.416000000000004</v>
      </c>
      <c r="P248" s="1">
        <v>103</v>
      </c>
      <c r="Q248" s="2">
        <v>33.840000000000003</v>
      </c>
      <c r="R248" s="2">
        <f t="shared" si="18"/>
        <v>12.576000000000001</v>
      </c>
      <c r="S248" s="1" t="s">
        <v>1011</v>
      </c>
      <c r="T248" s="1" t="s">
        <v>1007</v>
      </c>
      <c r="U248" s="1" t="str">
        <f t="shared" si="19"/>
        <v>NO</v>
      </c>
    </row>
    <row r="249" spans="1:21" x14ac:dyDescent="0.3">
      <c r="A249" s="1" t="s">
        <v>432</v>
      </c>
      <c r="B249" s="1" t="s">
        <v>130</v>
      </c>
      <c r="C249" s="1" t="s">
        <v>131</v>
      </c>
      <c r="D249" s="1" t="s">
        <v>132</v>
      </c>
      <c r="E249" s="1" t="s">
        <v>1262</v>
      </c>
      <c r="F249" s="1" t="s">
        <v>1015</v>
      </c>
      <c r="G249" s="1" t="s">
        <v>1023</v>
      </c>
      <c r="H249" s="1">
        <v>12</v>
      </c>
      <c r="I249" s="1">
        <v>2</v>
      </c>
      <c r="J249" s="1" t="s">
        <v>2701</v>
      </c>
      <c r="K249" s="2">
        <v>115.64</v>
      </c>
      <c r="L249" s="6">
        <v>12</v>
      </c>
      <c r="M249" s="2">
        <f t="shared" si="15"/>
        <v>1387.68</v>
      </c>
      <c r="N249" s="2">
        <f t="shared" si="16"/>
        <v>166.52160000000001</v>
      </c>
      <c r="O249" s="2">
        <f t="shared" si="17"/>
        <v>1221.1584</v>
      </c>
      <c r="P249" s="1">
        <v>168</v>
      </c>
      <c r="Q249" s="2">
        <v>80.95</v>
      </c>
      <c r="R249" s="2">
        <f t="shared" si="18"/>
        <v>249.75839999999994</v>
      </c>
      <c r="S249" s="1" t="s">
        <v>1003</v>
      </c>
      <c r="T249" s="1" t="s">
        <v>1007</v>
      </c>
      <c r="U249" s="1" t="str">
        <f t="shared" si="19"/>
        <v>NO</v>
      </c>
    </row>
    <row r="250" spans="1:21" x14ac:dyDescent="0.3">
      <c r="A250" s="1" t="s">
        <v>433</v>
      </c>
      <c r="B250" s="1" t="s">
        <v>37</v>
      </c>
      <c r="C250" s="1" t="s">
        <v>38</v>
      </c>
      <c r="D250" s="1" t="s">
        <v>39</v>
      </c>
      <c r="E250" s="1" t="s">
        <v>1263</v>
      </c>
      <c r="F250" s="1" t="s">
        <v>1006</v>
      </c>
      <c r="G250" s="1" t="s">
        <v>1010</v>
      </c>
      <c r="H250" s="1">
        <v>10</v>
      </c>
      <c r="I250" s="1">
        <v>1</v>
      </c>
      <c r="J250" s="1" t="s">
        <v>2650</v>
      </c>
      <c r="K250" s="2">
        <v>234.11</v>
      </c>
      <c r="L250" s="6">
        <v>4</v>
      </c>
      <c r="M250" s="2">
        <f t="shared" si="15"/>
        <v>2341.1000000000004</v>
      </c>
      <c r="N250" s="2">
        <f t="shared" si="16"/>
        <v>93.64400000000002</v>
      </c>
      <c r="O250" s="2">
        <f t="shared" si="17"/>
        <v>2247.4560000000001</v>
      </c>
      <c r="P250" s="1">
        <v>45</v>
      </c>
      <c r="Q250" s="2">
        <v>163.88</v>
      </c>
      <c r="R250" s="2">
        <f t="shared" si="18"/>
        <v>608.65600000000018</v>
      </c>
      <c r="S250" s="1" t="s">
        <v>1011</v>
      </c>
      <c r="T250" s="1" t="s">
        <v>1007</v>
      </c>
      <c r="U250" s="1" t="str">
        <f t="shared" si="19"/>
        <v>NO</v>
      </c>
    </row>
    <row r="251" spans="1:21" x14ac:dyDescent="0.3">
      <c r="A251" s="1" t="s">
        <v>434</v>
      </c>
      <c r="B251" s="1" t="s">
        <v>72</v>
      </c>
      <c r="C251" s="1" t="s">
        <v>73</v>
      </c>
      <c r="D251" s="1" t="s">
        <v>47</v>
      </c>
      <c r="E251" s="1" t="s">
        <v>1264</v>
      </c>
      <c r="F251" s="1" t="s">
        <v>1020</v>
      </c>
      <c r="G251" s="1" t="s">
        <v>1002</v>
      </c>
      <c r="H251" s="1">
        <v>7</v>
      </c>
      <c r="I251" s="1">
        <v>6</v>
      </c>
      <c r="J251" s="1" t="s">
        <v>2702</v>
      </c>
      <c r="K251" s="2">
        <v>185.33</v>
      </c>
      <c r="L251" s="6">
        <v>6</v>
      </c>
      <c r="M251" s="2">
        <f t="shared" si="15"/>
        <v>1297.3100000000002</v>
      </c>
      <c r="N251" s="2">
        <f t="shared" si="16"/>
        <v>77.8386</v>
      </c>
      <c r="O251" s="2">
        <f t="shared" si="17"/>
        <v>1219.4714000000001</v>
      </c>
      <c r="P251" s="1">
        <v>174</v>
      </c>
      <c r="Q251" s="2">
        <v>129.72999999999999</v>
      </c>
      <c r="R251" s="2">
        <f t="shared" si="18"/>
        <v>311.36140000000023</v>
      </c>
      <c r="S251" s="1" t="s">
        <v>1003</v>
      </c>
      <c r="T251" s="1" t="s">
        <v>1007</v>
      </c>
      <c r="U251" s="1" t="str">
        <f t="shared" si="19"/>
        <v>NO</v>
      </c>
    </row>
    <row r="252" spans="1:21" x14ac:dyDescent="0.3">
      <c r="A252" s="1" t="s">
        <v>435</v>
      </c>
      <c r="B252" s="1" t="s">
        <v>102</v>
      </c>
      <c r="C252" s="1" t="s">
        <v>103</v>
      </c>
      <c r="D252" s="1" t="s">
        <v>104</v>
      </c>
      <c r="E252" s="1" t="s">
        <v>1265</v>
      </c>
      <c r="F252" s="1" t="s">
        <v>1009</v>
      </c>
      <c r="G252" s="1" t="s">
        <v>1002</v>
      </c>
      <c r="H252" s="1">
        <v>14</v>
      </c>
      <c r="I252" s="1">
        <v>1</v>
      </c>
      <c r="J252" s="1" t="s">
        <v>2703</v>
      </c>
      <c r="K252" s="2">
        <v>472.88</v>
      </c>
      <c r="L252" s="6">
        <v>0</v>
      </c>
      <c r="M252" s="2">
        <f t="shared" si="15"/>
        <v>6620.32</v>
      </c>
      <c r="N252" s="2">
        <f t="shared" si="16"/>
        <v>0</v>
      </c>
      <c r="O252" s="2">
        <f t="shared" si="17"/>
        <v>6620.32</v>
      </c>
      <c r="P252" s="1">
        <v>220</v>
      </c>
      <c r="Q252" s="2">
        <v>331.02</v>
      </c>
      <c r="R252" s="2">
        <f t="shared" si="18"/>
        <v>1986.04</v>
      </c>
      <c r="S252" s="1" t="s">
        <v>1011</v>
      </c>
      <c r="T252" s="1" t="s">
        <v>1007</v>
      </c>
      <c r="U252" s="1" t="str">
        <f t="shared" si="19"/>
        <v>NO</v>
      </c>
    </row>
    <row r="253" spans="1:21" x14ac:dyDescent="0.3">
      <c r="A253" s="1" t="s">
        <v>436</v>
      </c>
      <c r="B253" s="1" t="s">
        <v>52</v>
      </c>
      <c r="C253" s="1" t="s">
        <v>53</v>
      </c>
      <c r="D253" s="1" t="s">
        <v>47</v>
      </c>
      <c r="E253" s="1" t="s">
        <v>1266</v>
      </c>
      <c r="F253" s="1" t="s">
        <v>1027</v>
      </c>
      <c r="G253" s="1" t="s">
        <v>1023</v>
      </c>
      <c r="H253" s="1">
        <v>7</v>
      </c>
      <c r="I253" s="1">
        <v>6</v>
      </c>
      <c r="J253" s="1" t="s">
        <v>2669</v>
      </c>
      <c r="K253" s="2">
        <v>467.81</v>
      </c>
      <c r="L253" s="6">
        <v>11</v>
      </c>
      <c r="M253" s="2">
        <f t="shared" si="15"/>
        <v>3274.67</v>
      </c>
      <c r="N253" s="2">
        <f t="shared" si="16"/>
        <v>360.21370000000002</v>
      </c>
      <c r="O253" s="2">
        <f t="shared" si="17"/>
        <v>2914.4562999999998</v>
      </c>
      <c r="P253" s="1">
        <v>176</v>
      </c>
      <c r="Q253" s="2">
        <v>327.47000000000003</v>
      </c>
      <c r="R253" s="2">
        <f t="shared" si="18"/>
        <v>622.16629999999986</v>
      </c>
      <c r="S253" s="1" t="s">
        <v>1011</v>
      </c>
      <c r="T253" s="1" t="s">
        <v>1007</v>
      </c>
      <c r="U253" s="1" t="str">
        <f t="shared" si="19"/>
        <v>NO</v>
      </c>
    </row>
    <row r="254" spans="1:21" x14ac:dyDescent="0.3">
      <c r="A254" s="1" t="s">
        <v>437</v>
      </c>
      <c r="B254" s="1" t="s">
        <v>130</v>
      </c>
      <c r="C254" s="1" t="s">
        <v>131</v>
      </c>
      <c r="D254" s="1" t="s">
        <v>132</v>
      </c>
      <c r="E254" s="1" t="s">
        <v>1267</v>
      </c>
      <c r="F254" s="1" t="s">
        <v>1001</v>
      </c>
      <c r="G254" s="1" t="s">
        <v>1010</v>
      </c>
      <c r="H254" s="1">
        <v>8</v>
      </c>
      <c r="I254" s="1">
        <v>4</v>
      </c>
      <c r="J254" s="1" t="s">
        <v>2521</v>
      </c>
      <c r="K254" s="2">
        <v>278.86</v>
      </c>
      <c r="L254" s="6">
        <v>14</v>
      </c>
      <c r="M254" s="2">
        <f t="shared" si="15"/>
        <v>2230.88</v>
      </c>
      <c r="N254" s="2">
        <f t="shared" si="16"/>
        <v>312.32319999999999</v>
      </c>
      <c r="O254" s="2">
        <f t="shared" si="17"/>
        <v>1918.5568000000001</v>
      </c>
      <c r="P254" s="1">
        <v>263</v>
      </c>
      <c r="Q254" s="2">
        <v>195.2</v>
      </c>
      <c r="R254" s="2">
        <f t="shared" si="18"/>
        <v>356.95680000000016</v>
      </c>
      <c r="S254" s="1" t="s">
        <v>1003</v>
      </c>
      <c r="T254" s="1" t="s">
        <v>1007</v>
      </c>
      <c r="U254" s="1" t="str">
        <f t="shared" si="19"/>
        <v>NO</v>
      </c>
    </row>
    <row r="255" spans="1:21" x14ac:dyDescent="0.3">
      <c r="A255" s="1" t="s">
        <v>438</v>
      </c>
      <c r="B255" s="1" t="s">
        <v>45</v>
      </c>
      <c r="C255" s="1" t="s">
        <v>46</v>
      </c>
      <c r="D255" s="1" t="s">
        <v>47</v>
      </c>
      <c r="E255" s="1" t="s">
        <v>1268</v>
      </c>
      <c r="F255" s="1" t="s">
        <v>1006</v>
      </c>
      <c r="G255" s="1" t="s">
        <v>1002</v>
      </c>
      <c r="H255" s="1">
        <v>15</v>
      </c>
      <c r="I255" s="1">
        <v>7</v>
      </c>
      <c r="J255" s="1" t="s">
        <v>2677</v>
      </c>
      <c r="K255" s="2">
        <v>439.83</v>
      </c>
      <c r="L255" s="6">
        <v>11</v>
      </c>
      <c r="M255" s="2">
        <f t="shared" si="15"/>
        <v>6597.45</v>
      </c>
      <c r="N255" s="2">
        <f t="shared" si="16"/>
        <v>725.71949999999993</v>
      </c>
      <c r="O255" s="2">
        <f t="shared" si="17"/>
        <v>5871.7304999999997</v>
      </c>
      <c r="P255" s="1">
        <v>91</v>
      </c>
      <c r="Q255" s="2">
        <v>307.88</v>
      </c>
      <c r="R255" s="2">
        <f t="shared" si="18"/>
        <v>1253.5304999999998</v>
      </c>
      <c r="S255" s="1" t="s">
        <v>1011</v>
      </c>
      <c r="T255" s="1" t="s">
        <v>1004</v>
      </c>
      <c r="U255" s="1" t="str">
        <f t="shared" si="19"/>
        <v>NO</v>
      </c>
    </row>
    <row r="256" spans="1:21" x14ac:dyDescent="0.3">
      <c r="A256" s="1" t="s">
        <v>439</v>
      </c>
      <c r="B256" s="1" t="s">
        <v>37</v>
      </c>
      <c r="C256" s="1" t="s">
        <v>38</v>
      </c>
      <c r="D256" s="1" t="s">
        <v>39</v>
      </c>
      <c r="E256" s="1" t="s">
        <v>1269</v>
      </c>
      <c r="F256" s="1" t="s">
        <v>1001</v>
      </c>
      <c r="G256" s="1" t="s">
        <v>1023</v>
      </c>
      <c r="H256" s="1">
        <v>13</v>
      </c>
      <c r="I256" s="1">
        <v>2</v>
      </c>
      <c r="J256" s="1" t="s">
        <v>2704</v>
      </c>
      <c r="K256" s="2">
        <v>385.83</v>
      </c>
      <c r="L256" s="6">
        <v>10</v>
      </c>
      <c r="M256" s="2">
        <f t="shared" si="15"/>
        <v>5015.79</v>
      </c>
      <c r="N256" s="2">
        <f t="shared" si="16"/>
        <v>501.57900000000001</v>
      </c>
      <c r="O256" s="2">
        <f t="shared" si="17"/>
        <v>4514.2110000000002</v>
      </c>
      <c r="P256" s="1">
        <v>150</v>
      </c>
      <c r="Q256" s="2">
        <v>270.08</v>
      </c>
      <c r="R256" s="2">
        <f t="shared" si="18"/>
        <v>1003.1710000000003</v>
      </c>
      <c r="S256" s="1" t="s">
        <v>1003</v>
      </c>
      <c r="T256" s="1" t="s">
        <v>1004</v>
      </c>
      <c r="U256" s="1" t="str">
        <f t="shared" si="19"/>
        <v>NO</v>
      </c>
    </row>
    <row r="257" spans="1:21" x14ac:dyDescent="0.3">
      <c r="A257" s="1" t="s">
        <v>440</v>
      </c>
      <c r="B257" s="1" t="s">
        <v>126</v>
      </c>
      <c r="C257" s="1" t="s">
        <v>127</v>
      </c>
      <c r="D257" s="1" t="s">
        <v>85</v>
      </c>
      <c r="E257" s="1" t="s">
        <v>1270</v>
      </c>
      <c r="F257" s="1" t="s">
        <v>1013</v>
      </c>
      <c r="G257" s="1" t="s">
        <v>1023</v>
      </c>
      <c r="H257" s="1">
        <v>10</v>
      </c>
      <c r="I257" s="1">
        <v>2</v>
      </c>
      <c r="J257" s="1" t="s">
        <v>2576</v>
      </c>
      <c r="K257" s="2">
        <v>330.15</v>
      </c>
      <c r="L257" s="6">
        <v>6</v>
      </c>
      <c r="M257" s="2">
        <f t="shared" si="15"/>
        <v>3301.5</v>
      </c>
      <c r="N257" s="2">
        <f t="shared" si="16"/>
        <v>198.09</v>
      </c>
      <c r="O257" s="2">
        <f t="shared" si="17"/>
        <v>3103.41</v>
      </c>
      <c r="P257" s="1">
        <v>228</v>
      </c>
      <c r="Q257" s="2">
        <v>231.1</v>
      </c>
      <c r="R257" s="2">
        <f t="shared" si="18"/>
        <v>792.40999999999985</v>
      </c>
      <c r="S257" s="1" t="s">
        <v>1016</v>
      </c>
      <c r="T257" s="1" t="s">
        <v>1007</v>
      </c>
      <c r="U257" s="1" t="str">
        <f t="shared" si="19"/>
        <v>YES</v>
      </c>
    </row>
    <row r="258" spans="1:21" x14ac:dyDescent="0.3">
      <c r="A258" s="1" t="s">
        <v>441</v>
      </c>
      <c r="B258" s="1" t="s">
        <v>72</v>
      </c>
      <c r="C258" s="1" t="s">
        <v>73</v>
      </c>
      <c r="D258" s="1" t="s">
        <v>47</v>
      </c>
      <c r="E258" s="1" t="s">
        <v>1271</v>
      </c>
      <c r="F258" s="1" t="s">
        <v>1013</v>
      </c>
      <c r="G258" s="1" t="s">
        <v>1010</v>
      </c>
      <c r="H258" s="1">
        <v>2</v>
      </c>
      <c r="I258" s="1">
        <v>4</v>
      </c>
      <c r="J258" s="1" t="s">
        <v>2705</v>
      </c>
      <c r="K258" s="2">
        <v>318.5</v>
      </c>
      <c r="L258" s="6">
        <v>17</v>
      </c>
      <c r="M258" s="2">
        <f t="shared" ref="M258:M321" si="20">H258*K258</f>
        <v>637</v>
      </c>
      <c r="N258" s="2">
        <f t="shared" ref="N258:N321" si="21">M258*L258/100</f>
        <v>108.29</v>
      </c>
      <c r="O258" s="2">
        <f t="shared" ref="O258:O321" si="22">M258-N258</f>
        <v>528.71</v>
      </c>
      <c r="P258" s="1">
        <v>258</v>
      </c>
      <c r="Q258" s="2">
        <v>222.95</v>
      </c>
      <c r="R258" s="2">
        <f t="shared" ref="R258:R321" si="23">O258-(H258*Q258)</f>
        <v>82.810000000000059</v>
      </c>
      <c r="S258" s="1" t="s">
        <v>1016</v>
      </c>
      <c r="T258" s="1" t="s">
        <v>1004</v>
      </c>
      <c r="U258" s="1" t="str">
        <f t="shared" ref="U258:U321" si="24">IF(S258="Delivered","YES","NO")</f>
        <v>YES</v>
      </c>
    </row>
    <row r="259" spans="1:21" x14ac:dyDescent="0.3">
      <c r="A259" s="1" t="s">
        <v>442</v>
      </c>
      <c r="B259" s="1" t="s">
        <v>83</v>
      </c>
      <c r="C259" s="1" t="s">
        <v>84</v>
      </c>
      <c r="D259" s="1" t="s">
        <v>85</v>
      </c>
      <c r="E259" s="1" t="s">
        <v>1272</v>
      </c>
      <c r="F259" s="1" t="s">
        <v>1006</v>
      </c>
      <c r="G259" s="1" t="s">
        <v>1010</v>
      </c>
      <c r="H259" s="1">
        <v>3</v>
      </c>
      <c r="I259" s="1">
        <v>1</v>
      </c>
      <c r="J259" s="1" t="s">
        <v>2572</v>
      </c>
      <c r="K259" s="2">
        <v>349.01</v>
      </c>
      <c r="L259" s="6">
        <v>3</v>
      </c>
      <c r="M259" s="2">
        <f t="shared" si="20"/>
        <v>1047.03</v>
      </c>
      <c r="N259" s="2">
        <f t="shared" si="21"/>
        <v>31.410900000000002</v>
      </c>
      <c r="O259" s="2">
        <f t="shared" si="22"/>
        <v>1015.6191</v>
      </c>
      <c r="P259" s="1">
        <v>91</v>
      </c>
      <c r="Q259" s="2">
        <v>244.31</v>
      </c>
      <c r="R259" s="2">
        <f t="shared" si="23"/>
        <v>282.68909999999994</v>
      </c>
      <c r="S259" s="1" t="s">
        <v>1011</v>
      </c>
      <c r="T259" s="1" t="s">
        <v>1004</v>
      </c>
      <c r="U259" s="1" t="str">
        <f t="shared" si="24"/>
        <v>NO</v>
      </c>
    </row>
    <row r="260" spans="1:21" x14ac:dyDescent="0.3">
      <c r="A260" s="1" t="s">
        <v>443</v>
      </c>
      <c r="B260" s="1" t="s">
        <v>176</v>
      </c>
      <c r="C260" s="1" t="s">
        <v>177</v>
      </c>
      <c r="D260" s="1" t="s">
        <v>39</v>
      </c>
      <c r="E260" s="1" t="s">
        <v>1273</v>
      </c>
      <c r="F260" s="1" t="s">
        <v>1020</v>
      </c>
      <c r="G260" s="1" t="s">
        <v>1023</v>
      </c>
      <c r="H260" s="1">
        <v>3</v>
      </c>
      <c r="I260" s="1">
        <v>1</v>
      </c>
      <c r="J260" s="1" t="s">
        <v>2585</v>
      </c>
      <c r="K260" s="2">
        <v>430.33</v>
      </c>
      <c r="L260" s="6">
        <v>22</v>
      </c>
      <c r="M260" s="2">
        <f t="shared" si="20"/>
        <v>1290.99</v>
      </c>
      <c r="N260" s="2">
        <f t="shared" si="21"/>
        <v>284.01779999999997</v>
      </c>
      <c r="O260" s="2">
        <f t="shared" si="22"/>
        <v>1006.9722</v>
      </c>
      <c r="P260" s="1">
        <v>84</v>
      </c>
      <c r="Q260" s="2">
        <v>301.23</v>
      </c>
      <c r="R260" s="2">
        <f t="shared" si="23"/>
        <v>103.28219999999999</v>
      </c>
      <c r="S260" s="1" t="s">
        <v>1011</v>
      </c>
      <c r="T260" s="1" t="s">
        <v>1007</v>
      </c>
      <c r="U260" s="1" t="str">
        <f t="shared" si="24"/>
        <v>NO</v>
      </c>
    </row>
    <row r="261" spans="1:21" x14ac:dyDescent="0.3">
      <c r="A261" s="1" t="s">
        <v>444</v>
      </c>
      <c r="B261" s="1" t="s">
        <v>95</v>
      </c>
      <c r="C261" s="1" t="s">
        <v>96</v>
      </c>
      <c r="D261" s="1" t="s">
        <v>97</v>
      </c>
      <c r="E261" s="1" t="s">
        <v>1274</v>
      </c>
      <c r="F261" s="1" t="s">
        <v>1006</v>
      </c>
      <c r="G261" s="1" t="s">
        <v>1023</v>
      </c>
      <c r="H261" s="1">
        <v>14</v>
      </c>
      <c r="I261" s="1">
        <v>4</v>
      </c>
      <c r="J261" s="1" t="s">
        <v>2706</v>
      </c>
      <c r="K261" s="2">
        <v>379.24</v>
      </c>
      <c r="L261" s="6">
        <v>0</v>
      </c>
      <c r="M261" s="2">
        <f t="shared" si="20"/>
        <v>5309.3600000000006</v>
      </c>
      <c r="N261" s="2">
        <f t="shared" si="21"/>
        <v>0</v>
      </c>
      <c r="O261" s="2">
        <f t="shared" si="22"/>
        <v>5309.3600000000006</v>
      </c>
      <c r="P261" s="1">
        <v>214</v>
      </c>
      <c r="Q261" s="2">
        <v>265.47000000000003</v>
      </c>
      <c r="R261" s="2">
        <f t="shared" si="23"/>
        <v>1592.7800000000002</v>
      </c>
      <c r="S261" s="1" t="s">
        <v>1016</v>
      </c>
      <c r="T261" s="1" t="s">
        <v>1004</v>
      </c>
      <c r="U261" s="1" t="str">
        <f t="shared" si="24"/>
        <v>YES</v>
      </c>
    </row>
    <row r="262" spans="1:21" x14ac:dyDescent="0.3">
      <c r="A262" s="1" t="s">
        <v>445</v>
      </c>
      <c r="B262" s="1" t="s">
        <v>176</v>
      </c>
      <c r="C262" s="1" t="s">
        <v>177</v>
      </c>
      <c r="D262" s="1" t="s">
        <v>39</v>
      </c>
      <c r="E262" s="1" t="s">
        <v>1275</v>
      </c>
      <c r="F262" s="1" t="s">
        <v>1009</v>
      </c>
      <c r="G262" s="1" t="s">
        <v>1023</v>
      </c>
      <c r="H262" s="1">
        <v>9</v>
      </c>
      <c r="I262" s="1">
        <v>6</v>
      </c>
      <c r="J262" s="1" t="s">
        <v>2631</v>
      </c>
      <c r="K262" s="2">
        <v>251.17</v>
      </c>
      <c r="L262" s="6">
        <v>25</v>
      </c>
      <c r="M262" s="2">
        <f t="shared" si="20"/>
        <v>2260.5299999999997</v>
      </c>
      <c r="N262" s="2">
        <f t="shared" si="21"/>
        <v>565.13249999999994</v>
      </c>
      <c r="O262" s="2">
        <f t="shared" si="22"/>
        <v>1695.3974999999998</v>
      </c>
      <c r="P262" s="1">
        <v>147</v>
      </c>
      <c r="Q262" s="2">
        <v>175.82</v>
      </c>
      <c r="R262" s="2">
        <f t="shared" si="23"/>
        <v>113.01749999999993</v>
      </c>
      <c r="S262" s="1" t="s">
        <v>1016</v>
      </c>
      <c r="T262" s="1" t="s">
        <v>1004</v>
      </c>
      <c r="U262" s="1" t="str">
        <f t="shared" si="24"/>
        <v>YES</v>
      </c>
    </row>
    <row r="263" spans="1:21" x14ac:dyDescent="0.3">
      <c r="A263" s="1" t="s">
        <v>446</v>
      </c>
      <c r="B263" s="1" t="s">
        <v>262</v>
      </c>
      <c r="C263" s="1" t="s">
        <v>263</v>
      </c>
      <c r="D263" s="1" t="s">
        <v>104</v>
      </c>
      <c r="E263" s="1" t="s">
        <v>1276</v>
      </c>
      <c r="F263" s="1" t="s">
        <v>1027</v>
      </c>
      <c r="G263" s="1" t="s">
        <v>1002</v>
      </c>
      <c r="H263" s="1">
        <v>15</v>
      </c>
      <c r="I263" s="1">
        <v>1</v>
      </c>
      <c r="J263" s="1" t="s">
        <v>2641</v>
      </c>
      <c r="K263" s="2">
        <v>448.37</v>
      </c>
      <c r="L263" s="6">
        <v>16</v>
      </c>
      <c r="M263" s="2">
        <f t="shared" si="20"/>
        <v>6725.55</v>
      </c>
      <c r="N263" s="2">
        <f t="shared" si="21"/>
        <v>1076.088</v>
      </c>
      <c r="O263" s="2">
        <f t="shared" si="22"/>
        <v>5649.4620000000004</v>
      </c>
      <c r="P263" s="1">
        <v>58</v>
      </c>
      <c r="Q263" s="2">
        <v>313.86</v>
      </c>
      <c r="R263" s="2">
        <f t="shared" si="23"/>
        <v>941.5619999999999</v>
      </c>
      <c r="S263" s="1" t="s">
        <v>1011</v>
      </c>
      <c r="T263" s="1" t="s">
        <v>1004</v>
      </c>
      <c r="U263" s="1" t="str">
        <f t="shared" si="24"/>
        <v>NO</v>
      </c>
    </row>
    <row r="264" spans="1:21" x14ac:dyDescent="0.3">
      <c r="A264" s="1" t="s">
        <v>447</v>
      </c>
      <c r="B264" s="1" t="s">
        <v>237</v>
      </c>
      <c r="C264" s="1" t="s">
        <v>238</v>
      </c>
      <c r="D264" s="1" t="s">
        <v>85</v>
      </c>
      <c r="E264" s="1" t="s">
        <v>1277</v>
      </c>
      <c r="F264" s="1" t="s">
        <v>1001</v>
      </c>
      <c r="G264" s="1" t="s">
        <v>1023</v>
      </c>
      <c r="H264" s="1">
        <v>10</v>
      </c>
      <c r="I264" s="1">
        <v>4</v>
      </c>
      <c r="J264" s="1" t="s">
        <v>2707</v>
      </c>
      <c r="K264" s="2">
        <v>283.85000000000002</v>
      </c>
      <c r="L264" s="6">
        <v>6</v>
      </c>
      <c r="M264" s="2">
        <f t="shared" si="20"/>
        <v>2838.5</v>
      </c>
      <c r="N264" s="2">
        <f t="shared" si="21"/>
        <v>170.31</v>
      </c>
      <c r="O264" s="2">
        <f t="shared" si="22"/>
        <v>2668.19</v>
      </c>
      <c r="P264" s="1">
        <v>97</v>
      </c>
      <c r="Q264" s="2">
        <v>198.69</v>
      </c>
      <c r="R264" s="2">
        <f t="shared" si="23"/>
        <v>681.29</v>
      </c>
      <c r="S264" s="1" t="s">
        <v>1011</v>
      </c>
      <c r="T264" s="1" t="s">
        <v>1004</v>
      </c>
      <c r="U264" s="1" t="str">
        <f t="shared" si="24"/>
        <v>NO</v>
      </c>
    </row>
    <row r="265" spans="1:21" x14ac:dyDescent="0.3">
      <c r="A265" s="1" t="s">
        <v>448</v>
      </c>
      <c r="B265" s="1" t="s">
        <v>176</v>
      </c>
      <c r="C265" s="1" t="s">
        <v>177</v>
      </c>
      <c r="D265" s="1" t="s">
        <v>39</v>
      </c>
      <c r="E265" s="1" t="s">
        <v>1278</v>
      </c>
      <c r="F265" s="1" t="s">
        <v>1001</v>
      </c>
      <c r="G265" s="1" t="s">
        <v>1002</v>
      </c>
      <c r="H265" s="1">
        <v>8</v>
      </c>
      <c r="I265" s="1">
        <v>1</v>
      </c>
      <c r="J265" s="1" t="s">
        <v>2558</v>
      </c>
      <c r="K265" s="2">
        <v>422.34</v>
      </c>
      <c r="L265" s="6">
        <v>8</v>
      </c>
      <c r="M265" s="2">
        <f t="shared" si="20"/>
        <v>3378.72</v>
      </c>
      <c r="N265" s="2">
        <f t="shared" si="21"/>
        <v>270.29759999999999</v>
      </c>
      <c r="O265" s="2">
        <f t="shared" si="22"/>
        <v>3108.4223999999999</v>
      </c>
      <c r="P265" s="1">
        <v>173</v>
      </c>
      <c r="Q265" s="2">
        <v>295.64</v>
      </c>
      <c r="R265" s="2">
        <f t="shared" si="23"/>
        <v>743.30240000000003</v>
      </c>
      <c r="S265" s="1" t="s">
        <v>1011</v>
      </c>
      <c r="T265" s="1" t="s">
        <v>1004</v>
      </c>
      <c r="U265" s="1" t="str">
        <f t="shared" si="24"/>
        <v>NO</v>
      </c>
    </row>
    <row r="266" spans="1:21" x14ac:dyDescent="0.3">
      <c r="A266" s="1" t="s">
        <v>449</v>
      </c>
      <c r="B266" s="1" t="s">
        <v>111</v>
      </c>
      <c r="C266" s="1" t="s">
        <v>112</v>
      </c>
      <c r="D266" s="1" t="s">
        <v>97</v>
      </c>
      <c r="E266" s="1" t="s">
        <v>1279</v>
      </c>
      <c r="F266" s="1" t="s">
        <v>1015</v>
      </c>
      <c r="G266" s="1" t="s">
        <v>1002</v>
      </c>
      <c r="H266" s="1">
        <v>4</v>
      </c>
      <c r="I266" s="1">
        <v>4</v>
      </c>
      <c r="J266" s="1" t="s">
        <v>2681</v>
      </c>
      <c r="K266" s="2">
        <v>340.19</v>
      </c>
      <c r="L266" s="6">
        <v>4</v>
      </c>
      <c r="M266" s="2">
        <f t="shared" si="20"/>
        <v>1360.76</v>
      </c>
      <c r="N266" s="2">
        <f t="shared" si="21"/>
        <v>54.430399999999999</v>
      </c>
      <c r="O266" s="2">
        <f t="shared" si="22"/>
        <v>1306.3296</v>
      </c>
      <c r="P266" s="1">
        <v>282</v>
      </c>
      <c r="Q266" s="2">
        <v>238.13</v>
      </c>
      <c r="R266" s="2">
        <f t="shared" si="23"/>
        <v>353.80960000000005</v>
      </c>
      <c r="S266" s="1" t="s">
        <v>1003</v>
      </c>
      <c r="T266" s="1" t="s">
        <v>1004</v>
      </c>
      <c r="U266" s="1" t="str">
        <f t="shared" si="24"/>
        <v>NO</v>
      </c>
    </row>
    <row r="267" spans="1:21" x14ac:dyDescent="0.3">
      <c r="A267" s="1" t="s">
        <v>450</v>
      </c>
      <c r="B267" s="1" t="s">
        <v>192</v>
      </c>
      <c r="C267" s="1" t="s">
        <v>193</v>
      </c>
      <c r="D267" s="1" t="s">
        <v>85</v>
      </c>
      <c r="E267" s="1" t="s">
        <v>1280</v>
      </c>
      <c r="F267" s="1" t="s">
        <v>1027</v>
      </c>
      <c r="G267" s="1" t="s">
        <v>1023</v>
      </c>
      <c r="H267" s="1">
        <v>1</v>
      </c>
      <c r="I267" s="1">
        <v>4</v>
      </c>
      <c r="J267" s="1" t="s">
        <v>2705</v>
      </c>
      <c r="K267" s="2">
        <v>455.15</v>
      </c>
      <c r="L267" s="6">
        <v>11</v>
      </c>
      <c r="M267" s="2">
        <f t="shared" si="20"/>
        <v>455.15</v>
      </c>
      <c r="N267" s="2">
        <f t="shared" si="21"/>
        <v>50.066499999999998</v>
      </c>
      <c r="O267" s="2">
        <f t="shared" si="22"/>
        <v>405.08349999999996</v>
      </c>
      <c r="P267" s="1">
        <v>267</v>
      </c>
      <c r="Q267" s="2">
        <v>318.60000000000002</v>
      </c>
      <c r="R267" s="2">
        <f t="shared" si="23"/>
        <v>86.483499999999935</v>
      </c>
      <c r="S267" s="1" t="s">
        <v>1011</v>
      </c>
      <c r="T267" s="1" t="s">
        <v>1007</v>
      </c>
      <c r="U267" s="1" t="str">
        <f t="shared" si="24"/>
        <v>NO</v>
      </c>
    </row>
    <row r="268" spans="1:21" x14ac:dyDescent="0.3">
      <c r="A268" s="1" t="s">
        <v>451</v>
      </c>
      <c r="B268" s="1" t="s">
        <v>52</v>
      </c>
      <c r="C268" s="1" t="s">
        <v>53</v>
      </c>
      <c r="D268" s="1" t="s">
        <v>47</v>
      </c>
      <c r="E268" s="1" t="s">
        <v>1281</v>
      </c>
      <c r="F268" s="1" t="s">
        <v>1006</v>
      </c>
      <c r="G268" s="1" t="s">
        <v>1002</v>
      </c>
      <c r="H268" s="1">
        <v>5</v>
      </c>
      <c r="I268" s="1">
        <v>7</v>
      </c>
      <c r="J268" s="1" t="s">
        <v>2662</v>
      </c>
      <c r="K268" s="2">
        <v>313.89</v>
      </c>
      <c r="L268" s="6">
        <v>4</v>
      </c>
      <c r="M268" s="2">
        <f t="shared" si="20"/>
        <v>1569.4499999999998</v>
      </c>
      <c r="N268" s="2">
        <f t="shared" si="21"/>
        <v>62.777999999999992</v>
      </c>
      <c r="O268" s="2">
        <f t="shared" si="22"/>
        <v>1506.6719999999998</v>
      </c>
      <c r="P268" s="1">
        <v>193</v>
      </c>
      <c r="Q268" s="2">
        <v>219.72</v>
      </c>
      <c r="R268" s="2">
        <f t="shared" si="23"/>
        <v>408.07199999999989</v>
      </c>
      <c r="S268" s="1" t="s">
        <v>1011</v>
      </c>
      <c r="T268" s="1" t="s">
        <v>1007</v>
      </c>
      <c r="U268" s="1" t="str">
        <f t="shared" si="24"/>
        <v>NO</v>
      </c>
    </row>
    <row r="269" spans="1:21" x14ac:dyDescent="0.3">
      <c r="A269" s="1" t="s">
        <v>452</v>
      </c>
      <c r="B269" s="1" t="s">
        <v>176</v>
      </c>
      <c r="C269" s="1" t="s">
        <v>177</v>
      </c>
      <c r="D269" s="1" t="s">
        <v>39</v>
      </c>
      <c r="E269" s="1" t="s">
        <v>1282</v>
      </c>
      <c r="F269" s="1" t="s">
        <v>1006</v>
      </c>
      <c r="G269" s="1" t="s">
        <v>1023</v>
      </c>
      <c r="H269" s="1">
        <v>15</v>
      </c>
      <c r="I269" s="1">
        <v>7</v>
      </c>
      <c r="J269" s="1" t="s">
        <v>2613</v>
      </c>
      <c r="K269" s="2">
        <v>171.2</v>
      </c>
      <c r="L269" s="6">
        <v>22</v>
      </c>
      <c r="M269" s="2">
        <f t="shared" si="20"/>
        <v>2568</v>
      </c>
      <c r="N269" s="2">
        <f t="shared" si="21"/>
        <v>564.96</v>
      </c>
      <c r="O269" s="2">
        <f t="shared" si="22"/>
        <v>2003.04</v>
      </c>
      <c r="P269" s="1">
        <v>178</v>
      </c>
      <c r="Q269" s="2">
        <v>119.84</v>
      </c>
      <c r="R269" s="2">
        <f t="shared" si="23"/>
        <v>205.43999999999983</v>
      </c>
      <c r="S269" s="1" t="s">
        <v>1003</v>
      </c>
      <c r="T269" s="1" t="s">
        <v>1004</v>
      </c>
      <c r="U269" s="1" t="str">
        <f t="shared" si="24"/>
        <v>NO</v>
      </c>
    </row>
    <row r="270" spans="1:21" x14ac:dyDescent="0.3">
      <c r="A270" s="1" t="s">
        <v>453</v>
      </c>
      <c r="B270" s="1" t="s">
        <v>63</v>
      </c>
      <c r="C270" s="1" t="s">
        <v>64</v>
      </c>
      <c r="D270" s="1" t="s">
        <v>28</v>
      </c>
      <c r="E270" s="1" t="s">
        <v>1283</v>
      </c>
      <c r="F270" s="1" t="s">
        <v>1006</v>
      </c>
      <c r="G270" s="1" t="s">
        <v>1010</v>
      </c>
      <c r="H270" s="1">
        <v>6</v>
      </c>
      <c r="I270" s="1">
        <v>5</v>
      </c>
      <c r="J270" s="1" t="s">
        <v>2708</v>
      </c>
      <c r="K270" s="2">
        <v>313.8</v>
      </c>
      <c r="L270" s="6">
        <v>17</v>
      </c>
      <c r="M270" s="2">
        <f t="shared" si="20"/>
        <v>1882.8000000000002</v>
      </c>
      <c r="N270" s="2">
        <f t="shared" si="21"/>
        <v>320.07600000000002</v>
      </c>
      <c r="O270" s="2">
        <f t="shared" si="22"/>
        <v>1562.7240000000002</v>
      </c>
      <c r="P270" s="1">
        <v>223</v>
      </c>
      <c r="Q270" s="2">
        <v>219.66</v>
      </c>
      <c r="R270" s="2">
        <f t="shared" si="23"/>
        <v>244.76400000000012</v>
      </c>
      <c r="S270" s="1" t="s">
        <v>1016</v>
      </c>
      <c r="T270" s="1" t="s">
        <v>1004</v>
      </c>
      <c r="U270" s="1" t="str">
        <f t="shared" si="24"/>
        <v>YES</v>
      </c>
    </row>
    <row r="271" spans="1:21" x14ac:dyDescent="0.3">
      <c r="A271" s="1" t="s">
        <v>454</v>
      </c>
      <c r="B271" s="1" t="s">
        <v>77</v>
      </c>
      <c r="C271" s="1" t="s">
        <v>78</v>
      </c>
      <c r="D271" s="1" t="s">
        <v>47</v>
      </c>
      <c r="E271" s="1" t="s">
        <v>1284</v>
      </c>
      <c r="F271" s="1" t="s">
        <v>1009</v>
      </c>
      <c r="G271" s="1" t="s">
        <v>1002</v>
      </c>
      <c r="H271" s="1">
        <v>11</v>
      </c>
      <c r="I271" s="1">
        <v>5</v>
      </c>
      <c r="J271" s="1" t="s">
        <v>2657</v>
      </c>
      <c r="K271" s="2">
        <v>177.3</v>
      </c>
      <c r="L271" s="6">
        <v>23</v>
      </c>
      <c r="M271" s="2">
        <f t="shared" si="20"/>
        <v>1950.3000000000002</v>
      </c>
      <c r="N271" s="2">
        <f t="shared" si="21"/>
        <v>448.56900000000002</v>
      </c>
      <c r="O271" s="2">
        <f t="shared" si="22"/>
        <v>1501.7310000000002</v>
      </c>
      <c r="P271" s="1">
        <v>96</v>
      </c>
      <c r="Q271" s="2">
        <v>124.11</v>
      </c>
      <c r="R271" s="2">
        <f t="shared" si="23"/>
        <v>136.52100000000019</v>
      </c>
      <c r="S271" s="1" t="s">
        <v>1011</v>
      </c>
      <c r="T271" s="1" t="s">
        <v>1004</v>
      </c>
      <c r="U271" s="1" t="str">
        <f t="shared" si="24"/>
        <v>NO</v>
      </c>
    </row>
    <row r="272" spans="1:21" x14ac:dyDescent="0.3">
      <c r="A272" s="1" t="s">
        <v>456</v>
      </c>
      <c r="B272" s="1" t="s">
        <v>118</v>
      </c>
      <c r="C272" s="1" t="s">
        <v>119</v>
      </c>
      <c r="D272" s="1" t="s">
        <v>97</v>
      </c>
      <c r="E272" s="1" t="s">
        <v>1285</v>
      </c>
      <c r="F272" s="1" t="s">
        <v>1001</v>
      </c>
      <c r="G272" s="1" t="s">
        <v>1023</v>
      </c>
      <c r="H272" s="1">
        <v>13</v>
      </c>
      <c r="I272" s="1">
        <v>6</v>
      </c>
      <c r="J272" s="1" t="s">
        <v>2709</v>
      </c>
      <c r="K272" s="2">
        <v>336.36</v>
      </c>
      <c r="L272" s="6">
        <v>2</v>
      </c>
      <c r="M272" s="2">
        <f t="shared" si="20"/>
        <v>4372.68</v>
      </c>
      <c r="N272" s="2">
        <f t="shared" si="21"/>
        <v>87.453600000000009</v>
      </c>
      <c r="O272" s="2">
        <f t="shared" si="22"/>
        <v>4285.2264000000005</v>
      </c>
      <c r="P272" s="1">
        <v>160</v>
      </c>
      <c r="Q272" s="2">
        <v>235.45</v>
      </c>
      <c r="R272" s="2">
        <f t="shared" si="23"/>
        <v>1224.3764000000006</v>
      </c>
      <c r="S272" s="1" t="s">
        <v>1003</v>
      </c>
      <c r="T272" s="1" t="s">
        <v>1004</v>
      </c>
      <c r="U272" s="1" t="str">
        <f t="shared" si="24"/>
        <v>NO</v>
      </c>
    </row>
    <row r="273" spans="1:21" x14ac:dyDescent="0.3">
      <c r="A273" s="1" t="s">
        <v>457</v>
      </c>
      <c r="B273" s="1" t="s">
        <v>176</v>
      </c>
      <c r="C273" s="1" t="s">
        <v>177</v>
      </c>
      <c r="D273" s="1" t="s">
        <v>39</v>
      </c>
      <c r="E273" s="1" t="s">
        <v>1286</v>
      </c>
      <c r="F273" s="1" t="s">
        <v>1020</v>
      </c>
      <c r="G273" s="1" t="s">
        <v>1010</v>
      </c>
      <c r="H273" s="1">
        <v>9</v>
      </c>
      <c r="I273" s="1">
        <v>2</v>
      </c>
      <c r="J273" s="1" t="s">
        <v>2710</v>
      </c>
      <c r="K273" s="2">
        <v>307.27999999999997</v>
      </c>
      <c r="L273" s="6">
        <v>3</v>
      </c>
      <c r="M273" s="2">
        <f t="shared" si="20"/>
        <v>2765.5199999999995</v>
      </c>
      <c r="N273" s="2">
        <f t="shared" si="21"/>
        <v>82.965599999999981</v>
      </c>
      <c r="O273" s="2">
        <f t="shared" si="22"/>
        <v>2682.5543999999995</v>
      </c>
      <c r="P273" s="1">
        <v>216</v>
      </c>
      <c r="Q273" s="2">
        <v>215.1</v>
      </c>
      <c r="R273" s="2">
        <f t="shared" si="23"/>
        <v>746.65439999999967</v>
      </c>
      <c r="S273" s="1" t="s">
        <v>1016</v>
      </c>
      <c r="T273" s="1" t="s">
        <v>1004</v>
      </c>
      <c r="U273" s="1" t="str">
        <f t="shared" si="24"/>
        <v>YES</v>
      </c>
    </row>
    <row r="274" spans="1:21" x14ac:dyDescent="0.3">
      <c r="A274" s="1" t="s">
        <v>458</v>
      </c>
      <c r="B274" s="1" t="s">
        <v>57</v>
      </c>
      <c r="C274" s="1" t="s">
        <v>58</v>
      </c>
      <c r="D274" s="1" t="s">
        <v>59</v>
      </c>
      <c r="E274" s="1" t="s">
        <v>1287</v>
      </c>
      <c r="F274" s="1" t="s">
        <v>1001</v>
      </c>
      <c r="G274" s="1" t="s">
        <v>1010</v>
      </c>
      <c r="H274" s="1">
        <v>3</v>
      </c>
      <c r="I274" s="1">
        <v>4</v>
      </c>
      <c r="J274" s="1" t="s">
        <v>2516</v>
      </c>
      <c r="K274" s="2">
        <v>314.51</v>
      </c>
      <c r="L274" s="6">
        <v>12</v>
      </c>
      <c r="M274" s="2">
        <f t="shared" si="20"/>
        <v>943.53</v>
      </c>
      <c r="N274" s="2">
        <f t="shared" si="21"/>
        <v>113.2236</v>
      </c>
      <c r="O274" s="2">
        <f t="shared" si="22"/>
        <v>830.30639999999994</v>
      </c>
      <c r="P274" s="1">
        <v>220</v>
      </c>
      <c r="Q274" s="2">
        <v>220.16</v>
      </c>
      <c r="R274" s="2">
        <f t="shared" si="23"/>
        <v>169.82639999999992</v>
      </c>
      <c r="S274" s="1" t="s">
        <v>1003</v>
      </c>
      <c r="T274" s="1" t="s">
        <v>1007</v>
      </c>
      <c r="U274" s="1" t="str">
        <f t="shared" si="24"/>
        <v>NO</v>
      </c>
    </row>
    <row r="275" spans="1:21" x14ac:dyDescent="0.3">
      <c r="A275" s="1" t="s">
        <v>459</v>
      </c>
      <c r="B275" s="1" t="s">
        <v>111</v>
      </c>
      <c r="C275" s="1" t="s">
        <v>112</v>
      </c>
      <c r="D275" s="1" t="s">
        <v>97</v>
      </c>
      <c r="E275" s="1" t="s">
        <v>1288</v>
      </c>
      <c r="F275" s="1" t="s">
        <v>1027</v>
      </c>
      <c r="G275" s="1" t="s">
        <v>1002</v>
      </c>
      <c r="H275" s="1">
        <v>1</v>
      </c>
      <c r="I275" s="1">
        <v>3</v>
      </c>
      <c r="J275" s="1" t="s">
        <v>2711</v>
      </c>
      <c r="K275" s="2">
        <v>330.07</v>
      </c>
      <c r="L275" s="6">
        <v>23</v>
      </c>
      <c r="M275" s="2">
        <f t="shared" si="20"/>
        <v>330.07</v>
      </c>
      <c r="N275" s="2">
        <f t="shared" si="21"/>
        <v>75.9161</v>
      </c>
      <c r="O275" s="2">
        <f t="shared" si="22"/>
        <v>254.15389999999999</v>
      </c>
      <c r="P275" s="1">
        <v>164</v>
      </c>
      <c r="Q275" s="2">
        <v>231.05</v>
      </c>
      <c r="R275" s="2">
        <f t="shared" si="23"/>
        <v>23.103899999999982</v>
      </c>
      <c r="S275" s="1" t="s">
        <v>1016</v>
      </c>
      <c r="T275" s="1" t="s">
        <v>1007</v>
      </c>
      <c r="U275" s="1" t="str">
        <f t="shared" si="24"/>
        <v>YES</v>
      </c>
    </row>
    <row r="276" spans="1:21" x14ac:dyDescent="0.3">
      <c r="A276" s="1" t="s">
        <v>460</v>
      </c>
      <c r="B276" s="1" t="s">
        <v>189</v>
      </c>
      <c r="C276" s="1" t="s">
        <v>190</v>
      </c>
      <c r="D276" s="1" t="s">
        <v>59</v>
      </c>
      <c r="E276" s="1" t="s">
        <v>1289</v>
      </c>
      <c r="F276" s="1" t="s">
        <v>1001</v>
      </c>
      <c r="G276" s="1" t="s">
        <v>1023</v>
      </c>
      <c r="H276" s="1">
        <v>10</v>
      </c>
      <c r="I276" s="1">
        <v>4</v>
      </c>
      <c r="J276" s="1" t="s">
        <v>2523</v>
      </c>
      <c r="K276" s="2">
        <v>298.57</v>
      </c>
      <c r="L276" s="6">
        <v>19</v>
      </c>
      <c r="M276" s="2">
        <f t="shared" si="20"/>
        <v>2985.7</v>
      </c>
      <c r="N276" s="2">
        <f t="shared" si="21"/>
        <v>567.2829999999999</v>
      </c>
      <c r="O276" s="2">
        <f t="shared" si="22"/>
        <v>2418.4169999999999</v>
      </c>
      <c r="P276" s="1">
        <v>192</v>
      </c>
      <c r="Q276" s="2">
        <v>209</v>
      </c>
      <c r="R276" s="2">
        <f t="shared" si="23"/>
        <v>328.41699999999992</v>
      </c>
      <c r="S276" s="1" t="s">
        <v>1016</v>
      </c>
      <c r="T276" s="1" t="s">
        <v>1007</v>
      </c>
      <c r="U276" s="1" t="str">
        <f t="shared" si="24"/>
        <v>YES</v>
      </c>
    </row>
    <row r="277" spans="1:21" x14ac:dyDescent="0.3">
      <c r="A277" s="1" t="s">
        <v>461</v>
      </c>
      <c r="B277" s="1" t="s">
        <v>143</v>
      </c>
      <c r="C277" s="1" t="s">
        <v>144</v>
      </c>
      <c r="D277" s="1" t="s">
        <v>47</v>
      </c>
      <c r="E277" s="1" t="s">
        <v>1290</v>
      </c>
      <c r="F277" s="1" t="s">
        <v>1006</v>
      </c>
      <c r="G277" s="1" t="s">
        <v>1010</v>
      </c>
      <c r="H277" s="1">
        <v>8</v>
      </c>
      <c r="I277" s="1">
        <v>5</v>
      </c>
      <c r="J277" s="1" t="s">
        <v>2712</v>
      </c>
      <c r="K277" s="2">
        <v>71.64</v>
      </c>
      <c r="L277" s="6">
        <v>24</v>
      </c>
      <c r="M277" s="2">
        <f t="shared" si="20"/>
        <v>573.12</v>
      </c>
      <c r="N277" s="2">
        <f t="shared" si="21"/>
        <v>137.5488</v>
      </c>
      <c r="O277" s="2">
        <f t="shared" si="22"/>
        <v>435.57119999999998</v>
      </c>
      <c r="P277" s="1">
        <v>170</v>
      </c>
      <c r="Q277" s="2">
        <v>50.15</v>
      </c>
      <c r="R277" s="2">
        <f t="shared" si="23"/>
        <v>34.371199999999988</v>
      </c>
      <c r="S277" s="1" t="s">
        <v>1016</v>
      </c>
      <c r="T277" s="1" t="s">
        <v>1007</v>
      </c>
      <c r="U277" s="1" t="str">
        <f t="shared" si="24"/>
        <v>YES</v>
      </c>
    </row>
    <row r="278" spans="1:21" x14ac:dyDescent="0.3">
      <c r="A278" s="1" t="s">
        <v>462</v>
      </c>
      <c r="B278" s="1" t="s">
        <v>95</v>
      </c>
      <c r="C278" s="1" t="s">
        <v>96</v>
      </c>
      <c r="D278" s="1" t="s">
        <v>97</v>
      </c>
      <c r="E278" s="1" t="s">
        <v>1291</v>
      </c>
      <c r="F278" s="1" t="s">
        <v>1013</v>
      </c>
      <c r="G278" s="1" t="s">
        <v>1023</v>
      </c>
      <c r="H278" s="1">
        <v>8</v>
      </c>
      <c r="I278" s="1">
        <v>7</v>
      </c>
      <c r="J278" s="1" t="s">
        <v>2637</v>
      </c>
      <c r="K278" s="2">
        <v>47.39</v>
      </c>
      <c r="L278" s="6">
        <v>25</v>
      </c>
      <c r="M278" s="2">
        <f t="shared" si="20"/>
        <v>379.12</v>
      </c>
      <c r="N278" s="2">
        <f t="shared" si="21"/>
        <v>94.78</v>
      </c>
      <c r="O278" s="2">
        <f t="shared" si="22"/>
        <v>284.34000000000003</v>
      </c>
      <c r="P278" s="1">
        <v>152</v>
      </c>
      <c r="Q278" s="2">
        <v>33.17</v>
      </c>
      <c r="R278" s="2">
        <f t="shared" si="23"/>
        <v>18.980000000000018</v>
      </c>
      <c r="S278" s="1" t="s">
        <v>1016</v>
      </c>
      <c r="T278" s="1" t="s">
        <v>1004</v>
      </c>
      <c r="U278" s="1" t="str">
        <f t="shared" si="24"/>
        <v>YES</v>
      </c>
    </row>
    <row r="279" spans="1:21" x14ac:dyDescent="0.3">
      <c r="A279" s="1" t="s">
        <v>463</v>
      </c>
      <c r="B279" s="1" t="s">
        <v>166</v>
      </c>
      <c r="C279" s="1" t="s">
        <v>167</v>
      </c>
      <c r="D279" s="1" t="s">
        <v>59</v>
      </c>
      <c r="E279" s="1" t="s">
        <v>1292</v>
      </c>
      <c r="F279" s="1" t="s">
        <v>1020</v>
      </c>
      <c r="G279" s="1" t="s">
        <v>1010</v>
      </c>
      <c r="H279" s="1">
        <v>15</v>
      </c>
      <c r="I279" s="1">
        <v>4</v>
      </c>
      <c r="J279" s="1" t="s">
        <v>2632</v>
      </c>
      <c r="K279" s="2">
        <v>389.27</v>
      </c>
      <c r="L279" s="6">
        <v>25</v>
      </c>
      <c r="M279" s="2">
        <f t="shared" si="20"/>
        <v>5839.0499999999993</v>
      </c>
      <c r="N279" s="2">
        <f t="shared" si="21"/>
        <v>1459.7624999999998</v>
      </c>
      <c r="O279" s="2">
        <f t="shared" si="22"/>
        <v>4379.2874999999995</v>
      </c>
      <c r="P279" s="1">
        <v>138</v>
      </c>
      <c r="Q279" s="2">
        <v>272.49</v>
      </c>
      <c r="R279" s="2">
        <f t="shared" si="23"/>
        <v>291.93749999999909</v>
      </c>
      <c r="S279" s="1" t="s">
        <v>1016</v>
      </c>
      <c r="T279" s="1" t="s">
        <v>1007</v>
      </c>
      <c r="U279" s="1" t="str">
        <f t="shared" si="24"/>
        <v>YES</v>
      </c>
    </row>
    <row r="280" spans="1:21" x14ac:dyDescent="0.3">
      <c r="A280" s="1" t="s">
        <v>464</v>
      </c>
      <c r="B280" s="1" t="s">
        <v>107</v>
      </c>
      <c r="C280" s="1" t="s">
        <v>108</v>
      </c>
      <c r="D280" s="1" t="s">
        <v>39</v>
      </c>
      <c r="E280" s="1" t="s">
        <v>1293</v>
      </c>
      <c r="F280" s="1" t="s">
        <v>1020</v>
      </c>
      <c r="G280" s="1" t="s">
        <v>1010</v>
      </c>
      <c r="H280" s="1">
        <v>8</v>
      </c>
      <c r="I280" s="1">
        <v>1</v>
      </c>
      <c r="J280" s="1" t="s">
        <v>2554</v>
      </c>
      <c r="K280" s="2">
        <v>344.18</v>
      </c>
      <c r="L280" s="6">
        <v>21</v>
      </c>
      <c r="M280" s="2">
        <f t="shared" si="20"/>
        <v>2753.44</v>
      </c>
      <c r="N280" s="2">
        <f t="shared" si="21"/>
        <v>578.22239999999999</v>
      </c>
      <c r="O280" s="2">
        <f t="shared" si="22"/>
        <v>2175.2175999999999</v>
      </c>
      <c r="P280" s="1">
        <v>104</v>
      </c>
      <c r="Q280" s="2">
        <v>240.93</v>
      </c>
      <c r="R280" s="2">
        <f t="shared" si="23"/>
        <v>247.77759999999989</v>
      </c>
      <c r="S280" s="1" t="s">
        <v>1003</v>
      </c>
      <c r="T280" s="1" t="s">
        <v>1007</v>
      </c>
      <c r="U280" s="1" t="str">
        <f t="shared" si="24"/>
        <v>NO</v>
      </c>
    </row>
    <row r="281" spans="1:21" x14ac:dyDescent="0.3">
      <c r="A281" s="1" t="s">
        <v>465</v>
      </c>
      <c r="B281" s="1" t="s">
        <v>83</v>
      </c>
      <c r="C281" s="1" t="s">
        <v>84</v>
      </c>
      <c r="D281" s="1" t="s">
        <v>85</v>
      </c>
      <c r="E281" s="1" t="s">
        <v>1294</v>
      </c>
      <c r="F281" s="1" t="s">
        <v>1013</v>
      </c>
      <c r="G281" s="1" t="s">
        <v>1023</v>
      </c>
      <c r="H281" s="1">
        <v>12</v>
      </c>
      <c r="I281" s="1">
        <v>2</v>
      </c>
      <c r="J281" s="1" t="s">
        <v>2713</v>
      </c>
      <c r="K281" s="2">
        <v>459</v>
      </c>
      <c r="L281" s="6">
        <v>13</v>
      </c>
      <c r="M281" s="2">
        <f t="shared" si="20"/>
        <v>5508</v>
      </c>
      <c r="N281" s="2">
        <f t="shared" si="21"/>
        <v>716.04</v>
      </c>
      <c r="O281" s="2">
        <f t="shared" si="22"/>
        <v>4791.96</v>
      </c>
      <c r="P281" s="1">
        <v>221</v>
      </c>
      <c r="Q281" s="2">
        <v>321.3</v>
      </c>
      <c r="R281" s="2">
        <f t="shared" si="23"/>
        <v>936.35999999999967</v>
      </c>
      <c r="S281" s="1" t="s">
        <v>1011</v>
      </c>
      <c r="T281" s="1" t="s">
        <v>1004</v>
      </c>
      <c r="U281" s="1" t="str">
        <f t="shared" si="24"/>
        <v>NO</v>
      </c>
    </row>
    <row r="282" spans="1:21" x14ac:dyDescent="0.3">
      <c r="A282" s="1" t="s">
        <v>466</v>
      </c>
      <c r="B282" s="1" t="s">
        <v>237</v>
      </c>
      <c r="C282" s="1" t="s">
        <v>238</v>
      </c>
      <c r="D282" s="1" t="s">
        <v>85</v>
      </c>
      <c r="E282" s="1" t="s">
        <v>1295</v>
      </c>
      <c r="F282" s="1" t="s">
        <v>1027</v>
      </c>
      <c r="G282" s="1" t="s">
        <v>1002</v>
      </c>
      <c r="H282" s="1">
        <v>7</v>
      </c>
      <c r="I282" s="1">
        <v>3</v>
      </c>
      <c r="J282" s="1" t="s">
        <v>2714</v>
      </c>
      <c r="K282" s="2">
        <v>172.25</v>
      </c>
      <c r="L282" s="6">
        <v>6</v>
      </c>
      <c r="M282" s="2">
        <f t="shared" si="20"/>
        <v>1205.75</v>
      </c>
      <c r="N282" s="2">
        <f t="shared" si="21"/>
        <v>72.344999999999999</v>
      </c>
      <c r="O282" s="2">
        <f t="shared" si="22"/>
        <v>1133.405</v>
      </c>
      <c r="P282" s="1">
        <v>171</v>
      </c>
      <c r="Q282" s="2">
        <v>120.57</v>
      </c>
      <c r="R282" s="2">
        <f t="shared" si="23"/>
        <v>289.41499999999996</v>
      </c>
      <c r="S282" s="1" t="s">
        <v>1011</v>
      </c>
      <c r="T282" s="1" t="s">
        <v>1004</v>
      </c>
      <c r="U282" s="1" t="str">
        <f t="shared" si="24"/>
        <v>NO</v>
      </c>
    </row>
    <row r="283" spans="1:21" x14ac:dyDescent="0.3">
      <c r="A283" s="1" t="s">
        <v>467</v>
      </c>
      <c r="B283" s="1" t="s">
        <v>237</v>
      </c>
      <c r="C283" s="1" t="s">
        <v>238</v>
      </c>
      <c r="D283" s="1" t="s">
        <v>85</v>
      </c>
      <c r="E283" s="1" t="s">
        <v>1296</v>
      </c>
      <c r="F283" s="1" t="s">
        <v>1009</v>
      </c>
      <c r="G283" s="1" t="s">
        <v>1010</v>
      </c>
      <c r="H283" s="1">
        <v>9</v>
      </c>
      <c r="I283" s="1">
        <v>4</v>
      </c>
      <c r="J283" s="1" t="s">
        <v>2715</v>
      </c>
      <c r="K283" s="2">
        <v>258.32</v>
      </c>
      <c r="L283" s="6">
        <v>6</v>
      </c>
      <c r="M283" s="2">
        <f t="shared" si="20"/>
        <v>2324.88</v>
      </c>
      <c r="N283" s="2">
        <f t="shared" si="21"/>
        <v>139.49280000000002</v>
      </c>
      <c r="O283" s="2">
        <f t="shared" si="22"/>
        <v>2185.3872000000001</v>
      </c>
      <c r="P283" s="1">
        <v>200</v>
      </c>
      <c r="Q283" s="2">
        <v>180.82</v>
      </c>
      <c r="R283" s="2">
        <f t="shared" si="23"/>
        <v>558.00720000000024</v>
      </c>
      <c r="S283" s="1" t="s">
        <v>1003</v>
      </c>
      <c r="T283" s="1" t="s">
        <v>1007</v>
      </c>
      <c r="U283" s="1" t="str">
        <f t="shared" si="24"/>
        <v>NO</v>
      </c>
    </row>
    <row r="284" spans="1:21" x14ac:dyDescent="0.3">
      <c r="A284" s="1" t="s">
        <v>468</v>
      </c>
      <c r="B284" s="1" t="s">
        <v>107</v>
      </c>
      <c r="C284" s="1" t="s">
        <v>108</v>
      </c>
      <c r="D284" s="1" t="s">
        <v>39</v>
      </c>
      <c r="E284" s="1" t="s">
        <v>1297</v>
      </c>
      <c r="F284" s="1" t="s">
        <v>1013</v>
      </c>
      <c r="G284" s="1" t="s">
        <v>1023</v>
      </c>
      <c r="H284" s="1">
        <v>4</v>
      </c>
      <c r="I284" s="1">
        <v>2</v>
      </c>
      <c r="J284" s="1" t="s">
        <v>2716</v>
      </c>
      <c r="K284" s="2">
        <v>395.53</v>
      </c>
      <c r="L284" s="6">
        <v>24</v>
      </c>
      <c r="M284" s="2">
        <f t="shared" si="20"/>
        <v>1582.12</v>
      </c>
      <c r="N284" s="2">
        <f t="shared" si="21"/>
        <v>379.7088</v>
      </c>
      <c r="O284" s="2">
        <f t="shared" si="22"/>
        <v>1202.4112</v>
      </c>
      <c r="P284" s="1">
        <v>100</v>
      </c>
      <c r="Q284" s="2">
        <v>276.87</v>
      </c>
      <c r="R284" s="2">
        <f t="shared" si="23"/>
        <v>94.93119999999999</v>
      </c>
      <c r="S284" s="1" t="s">
        <v>1016</v>
      </c>
      <c r="T284" s="1" t="s">
        <v>1007</v>
      </c>
      <c r="U284" s="1" t="str">
        <f t="shared" si="24"/>
        <v>YES</v>
      </c>
    </row>
    <row r="285" spans="1:21" x14ac:dyDescent="0.3">
      <c r="A285" s="1" t="s">
        <v>469</v>
      </c>
      <c r="B285" s="1" t="s">
        <v>189</v>
      </c>
      <c r="C285" s="1" t="s">
        <v>190</v>
      </c>
      <c r="D285" s="1" t="s">
        <v>59</v>
      </c>
      <c r="E285" s="1" t="s">
        <v>1298</v>
      </c>
      <c r="F285" s="1" t="s">
        <v>1027</v>
      </c>
      <c r="G285" s="1" t="s">
        <v>1002</v>
      </c>
      <c r="H285" s="1">
        <v>13</v>
      </c>
      <c r="I285" s="1">
        <v>2</v>
      </c>
      <c r="J285" s="1" t="s">
        <v>2622</v>
      </c>
      <c r="K285" s="2">
        <v>94.1</v>
      </c>
      <c r="L285" s="6">
        <v>3</v>
      </c>
      <c r="M285" s="2">
        <f t="shared" si="20"/>
        <v>1223.3</v>
      </c>
      <c r="N285" s="2">
        <f t="shared" si="21"/>
        <v>36.698999999999998</v>
      </c>
      <c r="O285" s="2">
        <f t="shared" si="22"/>
        <v>1186.6009999999999</v>
      </c>
      <c r="P285" s="1">
        <v>267</v>
      </c>
      <c r="Q285" s="2">
        <v>65.87</v>
      </c>
      <c r="R285" s="2">
        <f t="shared" si="23"/>
        <v>330.29099999999983</v>
      </c>
      <c r="S285" s="1" t="s">
        <v>1016</v>
      </c>
      <c r="T285" s="1" t="s">
        <v>1004</v>
      </c>
      <c r="U285" s="1" t="str">
        <f t="shared" si="24"/>
        <v>YES</v>
      </c>
    </row>
    <row r="286" spans="1:21" x14ac:dyDescent="0.3">
      <c r="A286" s="1" t="s">
        <v>470</v>
      </c>
      <c r="B286" s="1" t="s">
        <v>197</v>
      </c>
      <c r="C286" s="1" t="s">
        <v>198</v>
      </c>
      <c r="D286" s="1" t="s">
        <v>104</v>
      </c>
      <c r="E286" s="1" t="s">
        <v>1299</v>
      </c>
      <c r="F286" s="1" t="s">
        <v>1009</v>
      </c>
      <c r="G286" s="1" t="s">
        <v>1002</v>
      </c>
      <c r="H286" s="1">
        <v>9</v>
      </c>
      <c r="I286" s="1">
        <v>7</v>
      </c>
      <c r="J286" s="1" t="s">
        <v>2717</v>
      </c>
      <c r="K286" s="2">
        <v>204.81</v>
      </c>
      <c r="L286" s="6">
        <v>10</v>
      </c>
      <c r="M286" s="2">
        <f t="shared" si="20"/>
        <v>1843.29</v>
      </c>
      <c r="N286" s="2">
        <f t="shared" si="21"/>
        <v>184.32900000000001</v>
      </c>
      <c r="O286" s="2">
        <f t="shared" si="22"/>
        <v>1658.961</v>
      </c>
      <c r="P286" s="1">
        <v>237</v>
      </c>
      <c r="Q286" s="2">
        <v>143.37</v>
      </c>
      <c r="R286" s="2">
        <f t="shared" si="23"/>
        <v>368.63100000000009</v>
      </c>
      <c r="S286" s="1" t="s">
        <v>1016</v>
      </c>
      <c r="T286" s="1" t="s">
        <v>1007</v>
      </c>
      <c r="U286" s="1" t="str">
        <f t="shared" si="24"/>
        <v>YES</v>
      </c>
    </row>
    <row r="287" spans="1:21" x14ac:dyDescent="0.3">
      <c r="A287" s="1" t="s">
        <v>471</v>
      </c>
      <c r="B287" s="1" t="s">
        <v>72</v>
      </c>
      <c r="C287" s="1" t="s">
        <v>73</v>
      </c>
      <c r="D287" s="1" t="s">
        <v>47</v>
      </c>
      <c r="E287" s="1" t="s">
        <v>1300</v>
      </c>
      <c r="F287" s="1" t="s">
        <v>1001</v>
      </c>
      <c r="G287" s="1" t="s">
        <v>1023</v>
      </c>
      <c r="H287" s="1">
        <v>7</v>
      </c>
      <c r="I287" s="1">
        <v>7</v>
      </c>
      <c r="J287" s="1" t="s">
        <v>2589</v>
      </c>
      <c r="K287" s="2">
        <v>236.57</v>
      </c>
      <c r="L287" s="6">
        <v>9</v>
      </c>
      <c r="M287" s="2">
        <f t="shared" si="20"/>
        <v>1655.99</v>
      </c>
      <c r="N287" s="2">
        <f t="shared" si="21"/>
        <v>149.03909999999999</v>
      </c>
      <c r="O287" s="2">
        <f t="shared" si="22"/>
        <v>1506.9509</v>
      </c>
      <c r="P287" s="1">
        <v>256</v>
      </c>
      <c r="Q287" s="2">
        <v>165.6</v>
      </c>
      <c r="R287" s="2">
        <f t="shared" si="23"/>
        <v>347.7509</v>
      </c>
      <c r="S287" s="1" t="s">
        <v>1011</v>
      </c>
      <c r="T287" s="1" t="s">
        <v>1007</v>
      </c>
      <c r="U287" s="1" t="str">
        <f t="shared" si="24"/>
        <v>NO</v>
      </c>
    </row>
    <row r="288" spans="1:21" x14ac:dyDescent="0.3">
      <c r="A288" s="1" t="s">
        <v>472</v>
      </c>
      <c r="B288" s="1" t="s">
        <v>118</v>
      </c>
      <c r="C288" s="1" t="s">
        <v>119</v>
      </c>
      <c r="D288" s="1" t="s">
        <v>97</v>
      </c>
      <c r="E288" s="1" t="s">
        <v>1301</v>
      </c>
      <c r="F288" s="1" t="s">
        <v>1009</v>
      </c>
      <c r="G288" s="1" t="s">
        <v>1002</v>
      </c>
      <c r="H288" s="1">
        <v>9</v>
      </c>
      <c r="I288" s="1">
        <v>3</v>
      </c>
      <c r="J288" s="1" t="s">
        <v>2718</v>
      </c>
      <c r="K288" s="2">
        <v>300.64999999999998</v>
      </c>
      <c r="L288" s="6">
        <v>23</v>
      </c>
      <c r="M288" s="2">
        <f t="shared" si="20"/>
        <v>2705.85</v>
      </c>
      <c r="N288" s="2">
        <f t="shared" si="21"/>
        <v>622.3454999999999</v>
      </c>
      <c r="O288" s="2">
        <f t="shared" si="22"/>
        <v>2083.5045</v>
      </c>
      <c r="P288" s="1">
        <v>168</v>
      </c>
      <c r="Q288" s="2">
        <v>210.45</v>
      </c>
      <c r="R288" s="2">
        <f t="shared" si="23"/>
        <v>189.45450000000005</v>
      </c>
      <c r="S288" s="1" t="s">
        <v>1016</v>
      </c>
      <c r="T288" s="1" t="s">
        <v>1004</v>
      </c>
      <c r="U288" s="1" t="str">
        <f t="shared" si="24"/>
        <v>YES</v>
      </c>
    </row>
    <row r="289" spans="1:21" x14ac:dyDescent="0.3">
      <c r="A289" s="1" t="s">
        <v>474</v>
      </c>
      <c r="B289" s="1" t="s">
        <v>57</v>
      </c>
      <c r="C289" s="1" t="s">
        <v>58</v>
      </c>
      <c r="D289" s="1" t="s">
        <v>59</v>
      </c>
      <c r="E289" s="1" t="s">
        <v>1302</v>
      </c>
      <c r="F289" s="1" t="s">
        <v>1015</v>
      </c>
      <c r="G289" s="1" t="s">
        <v>1002</v>
      </c>
      <c r="H289" s="1">
        <v>3</v>
      </c>
      <c r="I289" s="1">
        <v>6</v>
      </c>
      <c r="J289" s="1" t="s">
        <v>2631</v>
      </c>
      <c r="K289" s="2">
        <v>411.27</v>
      </c>
      <c r="L289" s="6">
        <v>22</v>
      </c>
      <c r="M289" s="2">
        <f t="shared" si="20"/>
        <v>1233.81</v>
      </c>
      <c r="N289" s="2">
        <f t="shared" si="21"/>
        <v>271.43819999999999</v>
      </c>
      <c r="O289" s="2">
        <f t="shared" si="22"/>
        <v>962.37179999999989</v>
      </c>
      <c r="P289" s="1">
        <v>194</v>
      </c>
      <c r="Q289" s="2">
        <v>287.89</v>
      </c>
      <c r="R289" s="2">
        <f t="shared" si="23"/>
        <v>98.701799999999935</v>
      </c>
      <c r="S289" s="1" t="s">
        <v>1016</v>
      </c>
      <c r="T289" s="1" t="s">
        <v>1007</v>
      </c>
      <c r="U289" s="1" t="str">
        <f t="shared" si="24"/>
        <v>YES</v>
      </c>
    </row>
    <row r="290" spans="1:21" x14ac:dyDescent="0.3">
      <c r="A290" s="1" t="s">
        <v>475</v>
      </c>
      <c r="B290" s="1" t="s">
        <v>197</v>
      </c>
      <c r="C290" s="1" t="s">
        <v>198</v>
      </c>
      <c r="D290" s="1" t="s">
        <v>104</v>
      </c>
      <c r="E290" s="1" t="s">
        <v>1303</v>
      </c>
      <c r="F290" s="1" t="s">
        <v>1015</v>
      </c>
      <c r="G290" s="1" t="s">
        <v>1010</v>
      </c>
      <c r="H290" s="1">
        <v>14</v>
      </c>
      <c r="I290" s="1">
        <v>5</v>
      </c>
      <c r="J290" s="1" t="s">
        <v>2674</v>
      </c>
      <c r="K290" s="2">
        <v>463.74</v>
      </c>
      <c r="L290" s="6">
        <v>23</v>
      </c>
      <c r="M290" s="2">
        <f t="shared" si="20"/>
        <v>6492.3600000000006</v>
      </c>
      <c r="N290" s="2">
        <f t="shared" si="21"/>
        <v>1493.2428000000002</v>
      </c>
      <c r="O290" s="2">
        <f t="shared" si="22"/>
        <v>4999.1172000000006</v>
      </c>
      <c r="P290" s="1">
        <v>102</v>
      </c>
      <c r="Q290" s="2">
        <v>324.62</v>
      </c>
      <c r="R290" s="2">
        <f t="shared" si="23"/>
        <v>454.4372000000003</v>
      </c>
      <c r="S290" s="1" t="s">
        <v>1011</v>
      </c>
      <c r="T290" s="1" t="s">
        <v>1007</v>
      </c>
      <c r="U290" s="1" t="str">
        <f t="shared" si="24"/>
        <v>NO</v>
      </c>
    </row>
    <row r="291" spans="1:21" x14ac:dyDescent="0.3">
      <c r="A291" s="1" t="s">
        <v>476</v>
      </c>
      <c r="B291" s="1" t="s">
        <v>126</v>
      </c>
      <c r="C291" s="1" t="s">
        <v>127</v>
      </c>
      <c r="D291" s="1" t="s">
        <v>85</v>
      </c>
      <c r="E291" s="1" t="s">
        <v>1304</v>
      </c>
      <c r="F291" s="1" t="s">
        <v>1020</v>
      </c>
      <c r="G291" s="1" t="s">
        <v>1002</v>
      </c>
      <c r="H291" s="1">
        <v>14</v>
      </c>
      <c r="I291" s="1">
        <v>6</v>
      </c>
      <c r="J291" s="1" t="s">
        <v>2625</v>
      </c>
      <c r="K291" s="2">
        <v>56.42</v>
      </c>
      <c r="L291" s="6">
        <v>1</v>
      </c>
      <c r="M291" s="2">
        <f t="shared" si="20"/>
        <v>789.88</v>
      </c>
      <c r="N291" s="2">
        <f t="shared" si="21"/>
        <v>7.8987999999999996</v>
      </c>
      <c r="O291" s="2">
        <f t="shared" si="22"/>
        <v>781.98119999999994</v>
      </c>
      <c r="P291" s="1">
        <v>219</v>
      </c>
      <c r="Q291" s="2">
        <v>39.49</v>
      </c>
      <c r="R291" s="2">
        <f t="shared" si="23"/>
        <v>229.12119999999993</v>
      </c>
      <c r="S291" s="1" t="s">
        <v>1003</v>
      </c>
      <c r="T291" s="1" t="s">
        <v>1007</v>
      </c>
      <c r="U291" s="1" t="str">
        <f t="shared" si="24"/>
        <v>NO</v>
      </c>
    </row>
    <row r="292" spans="1:21" x14ac:dyDescent="0.3">
      <c r="A292" s="1" t="s">
        <v>477</v>
      </c>
      <c r="B292" s="1" t="s">
        <v>262</v>
      </c>
      <c r="C292" s="1" t="s">
        <v>263</v>
      </c>
      <c r="D292" s="1" t="s">
        <v>104</v>
      </c>
      <c r="E292" s="1" t="s">
        <v>1305</v>
      </c>
      <c r="F292" s="1" t="s">
        <v>1001</v>
      </c>
      <c r="G292" s="1" t="s">
        <v>1002</v>
      </c>
      <c r="H292" s="1">
        <v>7</v>
      </c>
      <c r="I292" s="1">
        <v>4</v>
      </c>
      <c r="J292" s="1" t="s">
        <v>2719</v>
      </c>
      <c r="K292" s="2">
        <v>297.02999999999997</v>
      </c>
      <c r="L292" s="6">
        <v>6</v>
      </c>
      <c r="M292" s="2">
        <f t="shared" si="20"/>
        <v>2079.21</v>
      </c>
      <c r="N292" s="2">
        <f t="shared" si="21"/>
        <v>124.7526</v>
      </c>
      <c r="O292" s="2">
        <f t="shared" si="22"/>
        <v>1954.4574</v>
      </c>
      <c r="P292" s="1">
        <v>59</v>
      </c>
      <c r="Q292" s="2">
        <v>207.92</v>
      </c>
      <c r="R292" s="2">
        <f t="shared" si="23"/>
        <v>499.01740000000018</v>
      </c>
      <c r="S292" s="1" t="s">
        <v>1003</v>
      </c>
      <c r="T292" s="1" t="s">
        <v>1004</v>
      </c>
      <c r="U292" s="1" t="str">
        <f t="shared" si="24"/>
        <v>NO</v>
      </c>
    </row>
    <row r="293" spans="1:21" x14ac:dyDescent="0.3">
      <c r="A293" s="1" t="s">
        <v>478</v>
      </c>
      <c r="B293" s="1" t="s">
        <v>130</v>
      </c>
      <c r="C293" s="1" t="s">
        <v>131</v>
      </c>
      <c r="D293" s="1" t="s">
        <v>132</v>
      </c>
      <c r="E293" s="1" t="s">
        <v>1306</v>
      </c>
      <c r="F293" s="1" t="s">
        <v>1020</v>
      </c>
      <c r="G293" s="1" t="s">
        <v>1010</v>
      </c>
      <c r="H293" s="1">
        <v>9</v>
      </c>
      <c r="I293" s="1">
        <v>2</v>
      </c>
      <c r="J293" s="1" t="s">
        <v>2720</v>
      </c>
      <c r="K293" s="2">
        <v>69.16</v>
      </c>
      <c r="L293" s="6">
        <v>6</v>
      </c>
      <c r="M293" s="2">
        <f t="shared" si="20"/>
        <v>622.43999999999994</v>
      </c>
      <c r="N293" s="2">
        <f t="shared" si="21"/>
        <v>37.346399999999996</v>
      </c>
      <c r="O293" s="2">
        <f t="shared" si="22"/>
        <v>585.09359999999992</v>
      </c>
      <c r="P293" s="1">
        <v>177</v>
      </c>
      <c r="Q293" s="2">
        <v>48.41</v>
      </c>
      <c r="R293" s="2">
        <f t="shared" si="23"/>
        <v>149.40359999999998</v>
      </c>
      <c r="S293" s="1" t="s">
        <v>1011</v>
      </c>
      <c r="T293" s="1" t="s">
        <v>1007</v>
      </c>
      <c r="U293" s="1" t="str">
        <f t="shared" si="24"/>
        <v>NO</v>
      </c>
    </row>
    <row r="294" spans="1:21" x14ac:dyDescent="0.3">
      <c r="A294" s="1" t="s">
        <v>479</v>
      </c>
      <c r="B294" s="1" t="s">
        <v>52</v>
      </c>
      <c r="C294" s="1" t="s">
        <v>53</v>
      </c>
      <c r="D294" s="1" t="s">
        <v>47</v>
      </c>
      <c r="E294" s="1" t="s">
        <v>1307</v>
      </c>
      <c r="F294" s="1" t="s">
        <v>1009</v>
      </c>
      <c r="G294" s="1" t="s">
        <v>1002</v>
      </c>
      <c r="H294" s="1">
        <v>11</v>
      </c>
      <c r="I294" s="1">
        <v>7</v>
      </c>
      <c r="J294" s="1" t="s">
        <v>2617</v>
      </c>
      <c r="K294" s="2">
        <v>210.81</v>
      </c>
      <c r="L294" s="6">
        <v>16</v>
      </c>
      <c r="M294" s="2">
        <f t="shared" si="20"/>
        <v>2318.91</v>
      </c>
      <c r="N294" s="2">
        <f t="shared" si="21"/>
        <v>371.0256</v>
      </c>
      <c r="O294" s="2">
        <f t="shared" si="22"/>
        <v>1947.8843999999999</v>
      </c>
      <c r="P294" s="1">
        <v>261</v>
      </c>
      <c r="Q294" s="2">
        <v>147.57</v>
      </c>
      <c r="R294" s="2">
        <f t="shared" si="23"/>
        <v>324.61439999999993</v>
      </c>
      <c r="S294" s="1" t="s">
        <v>1003</v>
      </c>
      <c r="T294" s="1" t="s">
        <v>1007</v>
      </c>
      <c r="U294" s="1" t="str">
        <f t="shared" si="24"/>
        <v>NO</v>
      </c>
    </row>
    <row r="295" spans="1:21" x14ac:dyDescent="0.3">
      <c r="A295" s="1" t="s">
        <v>480</v>
      </c>
      <c r="B295" s="1" t="s">
        <v>69</v>
      </c>
      <c r="C295" s="1" t="s">
        <v>70</v>
      </c>
      <c r="D295" s="1" t="s">
        <v>59</v>
      </c>
      <c r="E295" s="1" t="s">
        <v>1308</v>
      </c>
      <c r="F295" s="1" t="s">
        <v>1027</v>
      </c>
      <c r="G295" s="1" t="s">
        <v>1010</v>
      </c>
      <c r="H295" s="1">
        <v>10</v>
      </c>
      <c r="I295" s="1">
        <v>7</v>
      </c>
      <c r="J295" s="1" t="s">
        <v>2630</v>
      </c>
      <c r="K295" s="2">
        <v>452.83</v>
      </c>
      <c r="L295" s="6">
        <v>2</v>
      </c>
      <c r="M295" s="2">
        <f t="shared" si="20"/>
        <v>4528.3</v>
      </c>
      <c r="N295" s="2">
        <f t="shared" si="21"/>
        <v>90.566000000000003</v>
      </c>
      <c r="O295" s="2">
        <f t="shared" si="22"/>
        <v>4437.7340000000004</v>
      </c>
      <c r="P295" s="1">
        <v>93</v>
      </c>
      <c r="Q295" s="2">
        <v>316.98</v>
      </c>
      <c r="R295" s="2">
        <f t="shared" si="23"/>
        <v>1267.9340000000002</v>
      </c>
      <c r="S295" s="1" t="s">
        <v>1003</v>
      </c>
      <c r="T295" s="1" t="s">
        <v>1004</v>
      </c>
      <c r="U295" s="1" t="str">
        <f t="shared" si="24"/>
        <v>NO</v>
      </c>
    </row>
    <row r="296" spans="1:21" x14ac:dyDescent="0.3">
      <c r="A296" s="1" t="s">
        <v>481</v>
      </c>
      <c r="B296" s="1" t="s">
        <v>299</v>
      </c>
      <c r="C296" s="1" t="s">
        <v>300</v>
      </c>
      <c r="D296" s="1" t="s">
        <v>39</v>
      </c>
      <c r="E296" s="1" t="s">
        <v>1309</v>
      </c>
      <c r="F296" s="1" t="s">
        <v>1013</v>
      </c>
      <c r="G296" s="1" t="s">
        <v>1023</v>
      </c>
      <c r="H296" s="1">
        <v>5</v>
      </c>
      <c r="I296" s="1">
        <v>7</v>
      </c>
      <c r="J296" s="1" t="s">
        <v>2685</v>
      </c>
      <c r="K296" s="2">
        <v>122.06</v>
      </c>
      <c r="L296" s="6">
        <v>5</v>
      </c>
      <c r="M296" s="2">
        <f t="shared" si="20"/>
        <v>610.29999999999995</v>
      </c>
      <c r="N296" s="2">
        <f t="shared" si="21"/>
        <v>30.515000000000001</v>
      </c>
      <c r="O296" s="2">
        <f t="shared" si="22"/>
        <v>579.78499999999997</v>
      </c>
      <c r="P296" s="1">
        <v>258</v>
      </c>
      <c r="Q296" s="2">
        <v>85.44</v>
      </c>
      <c r="R296" s="2">
        <f t="shared" si="23"/>
        <v>152.58499999999998</v>
      </c>
      <c r="S296" s="1" t="s">
        <v>1016</v>
      </c>
      <c r="T296" s="1" t="s">
        <v>1004</v>
      </c>
      <c r="U296" s="1" t="str">
        <f t="shared" si="24"/>
        <v>YES</v>
      </c>
    </row>
    <row r="297" spans="1:21" x14ac:dyDescent="0.3">
      <c r="A297" s="1" t="s">
        <v>482</v>
      </c>
      <c r="B297" s="1" t="s">
        <v>77</v>
      </c>
      <c r="C297" s="1" t="s">
        <v>78</v>
      </c>
      <c r="D297" s="1" t="s">
        <v>47</v>
      </c>
      <c r="E297" s="1" t="s">
        <v>1310</v>
      </c>
      <c r="F297" s="1" t="s">
        <v>1013</v>
      </c>
      <c r="G297" s="1" t="s">
        <v>1023</v>
      </c>
      <c r="H297" s="1">
        <v>6</v>
      </c>
      <c r="I297" s="1">
        <v>4</v>
      </c>
      <c r="J297" s="1" t="s">
        <v>2584</v>
      </c>
      <c r="K297" s="2">
        <v>55.08</v>
      </c>
      <c r="L297" s="6">
        <v>23</v>
      </c>
      <c r="M297" s="2">
        <f t="shared" si="20"/>
        <v>330.48</v>
      </c>
      <c r="N297" s="2">
        <f t="shared" si="21"/>
        <v>76.010400000000004</v>
      </c>
      <c r="O297" s="2">
        <f t="shared" si="22"/>
        <v>254.46960000000001</v>
      </c>
      <c r="P297" s="1">
        <v>166</v>
      </c>
      <c r="Q297" s="2">
        <v>38.56</v>
      </c>
      <c r="R297" s="2">
        <f t="shared" si="23"/>
        <v>23.1096</v>
      </c>
      <c r="S297" s="1" t="s">
        <v>1003</v>
      </c>
      <c r="T297" s="1" t="s">
        <v>1004</v>
      </c>
      <c r="U297" s="1" t="str">
        <f t="shared" si="24"/>
        <v>NO</v>
      </c>
    </row>
    <row r="298" spans="1:21" x14ac:dyDescent="0.3">
      <c r="A298" s="1" t="s">
        <v>483</v>
      </c>
      <c r="B298" s="1" t="s">
        <v>111</v>
      </c>
      <c r="C298" s="1" t="s">
        <v>112</v>
      </c>
      <c r="D298" s="1" t="s">
        <v>97</v>
      </c>
      <c r="E298" s="1" t="s">
        <v>1311</v>
      </c>
      <c r="F298" s="1" t="s">
        <v>1001</v>
      </c>
      <c r="G298" s="1" t="s">
        <v>1010</v>
      </c>
      <c r="H298" s="1">
        <v>15</v>
      </c>
      <c r="I298" s="1">
        <v>7</v>
      </c>
      <c r="J298" s="1" t="s">
        <v>2721</v>
      </c>
      <c r="K298" s="2">
        <v>327.85</v>
      </c>
      <c r="L298" s="6">
        <v>9</v>
      </c>
      <c r="M298" s="2">
        <f t="shared" si="20"/>
        <v>4917.75</v>
      </c>
      <c r="N298" s="2">
        <f t="shared" si="21"/>
        <v>442.59750000000003</v>
      </c>
      <c r="O298" s="2">
        <f t="shared" si="22"/>
        <v>4475.1525000000001</v>
      </c>
      <c r="P298" s="1">
        <v>168</v>
      </c>
      <c r="Q298" s="2">
        <v>229.5</v>
      </c>
      <c r="R298" s="2">
        <f t="shared" si="23"/>
        <v>1032.6525000000001</v>
      </c>
      <c r="S298" s="1" t="s">
        <v>1003</v>
      </c>
      <c r="T298" s="1" t="s">
        <v>1004</v>
      </c>
      <c r="U298" s="1" t="str">
        <f t="shared" si="24"/>
        <v>NO</v>
      </c>
    </row>
    <row r="299" spans="1:21" x14ac:dyDescent="0.3">
      <c r="A299" s="1" t="s">
        <v>484</v>
      </c>
      <c r="B299" s="1" t="s">
        <v>172</v>
      </c>
      <c r="C299" s="1" t="s">
        <v>173</v>
      </c>
      <c r="D299" s="1" t="s">
        <v>132</v>
      </c>
      <c r="E299" s="1" t="s">
        <v>1312</v>
      </c>
      <c r="F299" s="1" t="s">
        <v>1001</v>
      </c>
      <c r="G299" s="1" t="s">
        <v>1002</v>
      </c>
      <c r="H299" s="1">
        <v>9</v>
      </c>
      <c r="I299" s="1">
        <v>7</v>
      </c>
      <c r="J299" s="1" t="s">
        <v>2722</v>
      </c>
      <c r="K299" s="2">
        <v>213.81</v>
      </c>
      <c r="L299" s="6">
        <v>0</v>
      </c>
      <c r="M299" s="2">
        <f t="shared" si="20"/>
        <v>1924.29</v>
      </c>
      <c r="N299" s="2">
        <f t="shared" si="21"/>
        <v>0</v>
      </c>
      <c r="O299" s="2">
        <f t="shared" si="22"/>
        <v>1924.29</v>
      </c>
      <c r="P299" s="1">
        <v>181</v>
      </c>
      <c r="Q299" s="2">
        <v>149.66999999999999</v>
      </c>
      <c r="R299" s="2">
        <f t="shared" si="23"/>
        <v>577.26</v>
      </c>
      <c r="S299" s="1" t="s">
        <v>1003</v>
      </c>
      <c r="T299" s="1" t="s">
        <v>1007</v>
      </c>
      <c r="U299" s="1" t="str">
        <f t="shared" si="24"/>
        <v>NO</v>
      </c>
    </row>
    <row r="300" spans="1:21" x14ac:dyDescent="0.3">
      <c r="A300" s="1" t="s">
        <v>485</v>
      </c>
      <c r="B300" s="1" t="s">
        <v>111</v>
      </c>
      <c r="C300" s="1" t="s">
        <v>112</v>
      </c>
      <c r="D300" s="1" t="s">
        <v>97</v>
      </c>
      <c r="E300" s="1" t="s">
        <v>1313</v>
      </c>
      <c r="F300" s="1" t="s">
        <v>1020</v>
      </c>
      <c r="G300" s="1" t="s">
        <v>1023</v>
      </c>
      <c r="H300" s="1">
        <v>5</v>
      </c>
      <c r="I300" s="1">
        <v>7</v>
      </c>
      <c r="J300" s="1" t="s">
        <v>2723</v>
      </c>
      <c r="K300" s="2">
        <v>315.77999999999997</v>
      </c>
      <c r="L300" s="6">
        <v>6</v>
      </c>
      <c r="M300" s="2">
        <f t="shared" si="20"/>
        <v>1578.8999999999999</v>
      </c>
      <c r="N300" s="2">
        <f t="shared" si="21"/>
        <v>94.733999999999995</v>
      </c>
      <c r="O300" s="2">
        <f t="shared" si="22"/>
        <v>1484.1659999999999</v>
      </c>
      <c r="P300" s="1">
        <v>147</v>
      </c>
      <c r="Q300" s="2">
        <v>221.05</v>
      </c>
      <c r="R300" s="2">
        <f t="shared" si="23"/>
        <v>378.91599999999994</v>
      </c>
      <c r="S300" s="1" t="s">
        <v>1011</v>
      </c>
      <c r="T300" s="1" t="s">
        <v>1007</v>
      </c>
      <c r="U300" s="1" t="str">
        <f t="shared" si="24"/>
        <v>NO</v>
      </c>
    </row>
    <row r="301" spans="1:21" x14ac:dyDescent="0.3">
      <c r="A301" s="1" t="s">
        <v>486</v>
      </c>
      <c r="B301" s="1" t="s">
        <v>123</v>
      </c>
      <c r="C301" s="1" t="s">
        <v>124</v>
      </c>
      <c r="D301" s="1" t="s">
        <v>47</v>
      </c>
      <c r="E301" s="1" t="s">
        <v>1314</v>
      </c>
      <c r="F301" s="1" t="s">
        <v>1006</v>
      </c>
      <c r="G301" s="1" t="s">
        <v>1010</v>
      </c>
      <c r="H301" s="1">
        <v>15</v>
      </c>
      <c r="I301" s="1">
        <v>3</v>
      </c>
      <c r="J301" s="1" t="s">
        <v>2687</v>
      </c>
      <c r="K301" s="2">
        <v>394.34</v>
      </c>
      <c r="L301" s="6">
        <v>16</v>
      </c>
      <c r="M301" s="2">
        <f t="shared" si="20"/>
        <v>5915.0999999999995</v>
      </c>
      <c r="N301" s="2">
        <f t="shared" si="21"/>
        <v>946.41599999999994</v>
      </c>
      <c r="O301" s="2">
        <f t="shared" si="22"/>
        <v>4968.6839999999993</v>
      </c>
      <c r="P301" s="1">
        <v>62</v>
      </c>
      <c r="Q301" s="2">
        <v>276.04000000000002</v>
      </c>
      <c r="R301" s="2">
        <f t="shared" si="23"/>
        <v>828.08399999999892</v>
      </c>
      <c r="S301" s="1" t="s">
        <v>1011</v>
      </c>
      <c r="T301" s="1" t="s">
        <v>1004</v>
      </c>
      <c r="U301" s="1" t="str">
        <f t="shared" si="24"/>
        <v>NO</v>
      </c>
    </row>
    <row r="302" spans="1:21" x14ac:dyDescent="0.3">
      <c r="A302" s="1" t="s">
        <v>487</v>
      </c>
      <c r="B302" s="1" t="s">
        <v>45</v>
      </c>
      <c r="C302" s="1" t="s">
        <v>46</v>
      </c>
      <c r="D302" s="1" t="s">
        <v>47</v>
      </c>
      <c r="E302" s="1" t="s">
        <v>1315</v>
      </c>
      <c r="F302" s="1" t="s">
        <v>1013</v>
      </c>
      <c r="G302" s="1" t="s">
        <v>1010</v>
      </c>
      <c r="H302" s="1">
        <v>12</v>
      </c>
      <c r="I302" s="1">
        <v>1</v>
      </c>
      <c r="J302" s="1" t="s">
        <v>2631</v>
      </c>
      <c r="K302" s="2">
        <v>485.77</v>
      </c>
      <c r="L302" s="6">
        <v>0</v>
      </c>
      <c r="M302" s="2">
        <f t="shared" si="20"/>
        <v>5829.24</v>
      </c>
      <c r="N302" s="2">
        <f t="shared" si="21"/>
        <v>0</v>
      </c>
      <c r="O302" s="2">
        <f t="shared" si="22"/>
        <v>5829.24</v>
      </c>
      <c r="P302" s="1">
        <v>177</v>
      </c>
      <c r="Q302" s="2">
        <v>340.04</v>
      </c>
      <c r="R302" s="2">
        <f t="shared" si="23"/>
        <v>1748.7599999999993</v>
      </c>
      <c r="S302" s="1" t="s">
        <v>1003</v>
      </c>
      <c r="T302" s="1" t="s">
        <v>1004</v>
      </c>
      <c r="U302" s="1" t="str">
        <f t="shared" si="24"/>
        <v>NO</v>
      </c>
    </row>
    <row r="303" spans="1:21" x14ac:dyDescent="0.3">
      <c r="A303" s="1" t="s">
        <v>488</v>
      </c>
      <c r="B303" s="1" t="s">
        <v>107</v>
      </c>
      <c r="C303" s="1" t="s">
        <v>108</v>
      </c>
      <c r="D303" s="1" t="s">
        <v>39</v>
      </c>
      <c r="E303" s="1" t="s">
        <v>1316</v>
      </c>
      <c r="F303" s="1" t="s">
        <v>1009</v>
      </c>
      <c r="G303" s="1" t="s">
        <v>1023</v>
      </c>
      <c r="H303" s="1">
        <v>11</v>
      </c>
      <c r="I303" s="1">
        <v>7</v>
      </c>
      <c r="J303" s="1" t="s">
        <v>2724</v>
      </c>
      <c r="K303" s="2">
        <v>224.55</v>
      </c>
      <c r="L303" s="6">
        <v>10</v>
      </c>
      <c r="M303" s="2">
        <f t="shared" si="20"/>
        <v>2470.0500000000002</v>
      </c>
      <c r="N303" s="2">
        <f t="shared" si="21"/>
        <v>247.005</v>
      </c>
      <c r="O303" s="2">
        <f t="shared" si="22"/>
        <v>2223.0450000000001</v>
      </c>
      <c r="P303" s="1">
        <v>235</v>
      </c>
      <c r="Q303" s="2">
        <v>157.19</v>
      </c>
      <c r="R303" s="2">
        <f t="shared" si="23"/>
        <v>493.95500000000015</v>
      </c>
      <c r="S303" s="1" t="s">
        <v>1011</v>
      </c>
      <c r="T303" s="1" t="s">
        <v>1004</v>
      </c>
      <c r="U303" s="1" t="str">
        <f t="shared" si="24"/>
        <v>NO</v>
      </c>
    </row>
    <row r="304" spans="1:21" x14ac:dyDescent="0.3">
      <c r="A304" s="1" t="s">
        <v>489</v>
      </c>
      <c r="B304" s="1" t="s">
        <v>37</v>
      </c>
      <c r="C304" s="1" t="s">
        <v>38</v>
      </c>
      <c r="D304" s="1" t="s">
        <v>39</v>
      </c>
      <c r="E304" s="1" t="s">
        <v>1317</v>
      </c>
      <c r="F304" s="1" t="s">
        <v>1009</v>
      </c>
      <c r="G304" s="1" t="s">
        <v>1023</v>
      </c>
      <c r="H304" s="1">
        <v>14</v>
      </c>
      <c r="I304" s="1">
        <v>5</v>
      </c>
      <c r="J304" s="1" t="s">
        <v>2725</v>
      </c>
      <c r="K304" s="2">
        <v>439.82</v>
      </c>
      <c r="L304" s="6">
        <v>6</v>
      </c>
      <c r="M304" s="2">
        <f t="shared" si="20"/>
        <v>6157.48</v>
      </c>
      <c r="N304" s="2">
        <f t="shared" si="21"/>
        <v>369.44879999999995</v>
      </c>
      <c r="O304" s="2">
        <f t="shared" si="22"/>
        <v>5788.0311999999994</v>
      </c>
      <c r="P304" s="1">
        <v>133</v>
      </c>
      <c r="Q304" s="2">
        <v>307.87</v>
      </c>
      <c r="R304" s="2">
        <f t="shared" si="23"/>
        <v>1477.8511999999992</v>
      </c>
      <c r="S304" s="1" t="s">
        <v>1016</v>
      </c>
      <c r="T304" s="1" t="s">
        <v>1007</v>
      </c>
      <c r="U304" s="1" t="str">
        <f t="shared" si="24"/>
        <v>YES</v>
      </c>
    </row>
    <row r="305" spans="1:21" x14ac:dyDescent="0.3">
      <c r="A305" s="1" t="s">
        <v>490</v>
      </c>
      <c r="B305" s="1" t="s">
        <v>83</v>
      </c>
      <c r="C305" s="1" t="s">
        <v>84</v>
      </c>
      <c r="D305" s="1" t="s">
        <v>85</v>
      </c>
      <c r="E305" s="1" t="s">
        <v>1318</v>
      </c>
      <c r="F305" s="1" t="s">
        <v>1009</v>
      </c>
      <c r="G305" s="1" t="s">
        <v>1023</v>
      </c>
      <c r="H305" s="1">
        <v>4</v>
      </c>
      <c r="I305" s="1">
        <v>7</v>
      </c>
      <c r="J305" s="1" t="s">
        <v>2726</v>
      </c>
      <c r="K305" s="2">
        <v>107.19</v>
      </c>
      <c r="L305" s="6">
        <v>5</v>
      </c>
      <c r="M305" s="2">
        <f t="shared" si="20"/>
        <v>428.76</v>
      </c>
      <c r="N305" s="2">
        <f t="shared" si="21"/>
        <v>21.438000000000002</v>
      </c>
      <c r="O305" s="2">
        <f t="shared" si="22"/>
        <v>407.322</v>
      </c>
      <c r="P305" s="1">
        <v>103</v>
      </c>
      <c r="Q305" s="2">
        <v>75.03</v>
      </c>
      <c r="R305" s="2">
        <f t="shared" si="23"/>
        <v>107.202</v>
      </c>
      <c r="S305" s="1" t="s">
        <v>1016</v>
      </c>
      <c r="T305" s="1" t="s">
        <v>1007</v>
      </c>
      <c r="U305" s="1" t="str">
        <f t="shared" si="24"/>
        <v>YES</v>
      </c>
    </row>
    <row r="306" spans="1:21" x14ac:dyDescent="0.3">
      <c r="A306" s="1" t="s">
        <v>491</v>
      </c>
      <c r="B306" s="1" t="s">
        <v>166</v>
      </c>
      <c r="C306" s="1" t="s">
        <v>167</v>
      </c>
      <c r="D306" s="1" t="s">
        <v>59</v>
      </c>
      <c r="E306" s="1" t="s">
        <v>1319</v>
      </c>
      <c r="F306" s="1" t="s">
        <v>1020</v>
      </c>
      <c r="G306" s="1" t="s">
        <v>1010</v>
      </c>
      <c r="H306" s="1">
        <v>3</v>
      </c>
      <c r="I306" s="1">
        <v>2</v>
      </c>
      <c r="J306" s="1" t="s">
        <v>2681</v>
      </c>
      <c r="K306" s="2">
        <v>201.89</v>
      </c>
      <c r="L306" s="6">
        <v>3</v>
      </c>
      <c r="M306" s="2">
        <f t="shared" si="20"/>
        <v>605.66999999999996</v>
      </c>
      <c r="N306" s="2">
        <f t="shared" si="21"/>
        <v>18.170099999999998</v>
      </c>
      <c r="O306" s="2">
        <f t="shared" si="22"/>
        <v>587.49989999999991</v>
      </c>
      <c r="P306" s="1">
        <v>249</v>
      </c>
      <c r="Q306" s="2">
        <v>141.32</v>
      </c>
      <c r="R306" s="2">
        <f t="shared" si="23"/>
        <v>163.53989999999993</v>
      </c>
      <c r="S306" s="1" t="s">
        <v>1016</v>
      </c>
      <c r="T306" s="1" t="s">
        <v>1007</v>
      </c>
      <c r="U306" s="1" t="str">
        <f t="shared" si="24"/>
        <v>YES</v>
      </c>
    </row>
    <row r="307" spans="1:21" x14ac:dyDescent="0.3">
      <c r="A307" s="1" t="s">
        <v>492</v>
      </c>
      <c r="B307" s="1" t="s">
        <v>126</v>
      </c>
      <c r="C307" s="1" t="s">
        <v>127</v>
      </c>
      <c r="D307" s="1" t="s">
        <v>85</v>
      </c>
      <c r="E307" s="1" t="s">
        <v>1320</v>
      </c>
      <c r="F307" s="1" t="s">
        <v>1009</v>
      </c>
      <c r="G307" s="1" t="s">
        <v>1023</v>
      </c>
      <c r="H307" s="1">
        <v>4</v>
      </c>
      <c r="I307" s="1">
        <v>3</v>
      </c>
      <c r="J307" s="1" t="s">
        <v>2727</v>
      </c>
      <c r="K307" s="2">
        <v>403.12</v>
      </c>
      <c r="L307" s="6">
        <v>19</v>
      </c>
      <c r="M307" s="2">
        <f t="shared" si="20"/>
        <v>1612.48</v>
      </c>
      <c r="N307" s="2">
        <f t="shared" si="21"/>
        <v>306.37119999999999</v>
      </c>
      <c r="O307" s="2">
        <f t="shared" si="22"/>
        <v>1306.1088</v>
      </c>
      <c r="P307" s="1">
        <v>66</v>
      </c>
      <c r="Q307" s="2">
        <v>282.18</v>
      </c>
      <c r="R307" s="2">
        <f t="shared" si="23"/>
        <v>177.38879999999995</v>
      </c>
      <c r="S307" s="1" t="s">
        <v>1011</v>
      </c>
      <c r="T307" s="1" t="s">
        <v>1004</v>
      </c>
      <c r="U307" s="1" t="str">
        <f t="shared" si="24"/>
        <v>NO</v>
      </c>
    </row>
    <row r="308" spans="1:21" x14ac:dyDescent="0.3">
      <c r="A308" s="1" t="s">
        <v>493</v>
      </c>
      <c r="B308" s="1" t="s">
        <v>176</v>
      </c>
      <c r="C308" s="1" t="s">
        <v>177</v>
      </c>
      <c r="D308" s="1" t="s">
        <v>39</v>
      </c>
      <c r="E308" s="1" t="s">
        <v>1321</v>
      </c>
      <c r="F308" s="1" t="s">
        <v>1015</v>
      </c>
      <c r="G308" s="1" t="s">
        <v>1002</v>
      </c>
      <c r="H308" s="1">
        <v>7</v>
      </c>
      <c r="I308" s="1">
        <v>1</v>
      </c>
      <c r="J308" s="1" t="s">
        <v>2728</v>
      </c>
      <c r="K308" s="2">
        <v>170.09</v>
      </c>
      <c r="L308" s="6">
        <v>17</v>
      </c>
      <c r="M308" s="2">
        <f t="shared" si="20"/>
        <v>1190.6300000000001</v>
      </c>
      <c r="N308" s="2">
        <f t="shared" si="21"/>
        <v>202.40710000000001</v>
      </c>
      <c r="O308" s="2">
        <f t="shared" si="22"/>
        <v>988.2229000000001</v>
      </c>
      <c r="P308" s="1">
        <v>81</v>
      </c>
      <c r="Q308" s="2">
        <v>119.06</v>
      </c>
      <c r="R308" s="2">
        <f t="shared" si="23"/>
        <v>154.80290000000002</v>
      </c>
      <c r="S308" s="1" t="s">
        <v>1011</v>
      </c>
      <c r="T308" s="1" t="s">
        <v>1004</v>
      </c>
      <c r="U308" s="1" t="str">
        <f t="shared" si="24"/>
        <v>NO</v>
      </c>
    </row>
    <row r="309" spans="1:21" x14ac:dyDescent="0.3">
      <c r="A309" s="1" t="s">
        <v>494</v>
      </c>
      <c r="B309" s="1" t="s">
        <v>63</v>
      </c>
      <c r="C309" s="1" t="s">
        <v>64</v>
      </c>
      <c r="D309" s="1" t="s">
        <v>28</v>
      </c>
      <c r="E309" s="1" t="s">
        <v>1322</v>
      </c>
      <c r="F309" s="1" t="s">
        <v>1020</v>
      </c>
      <c r="G309" s="1" t="s">
        <v>1002</v>
      </c>
      <c r="H309" s="1">
        <v>14</v>
      </c>
      <c r="I309" s="1">
        <v>4</v>
      </c>
      <c r="J309" s="1" t="s">
        <v>2693</v>
      </c>
      <c r="K309" s="2">
        <v>370.58</v>
      </c>
      <c r="L309" s="6">
        <v>25</v>
      </c>
      <c r="M309" s="2">
        <f t="shared" si="20"/>
        <v>5188.12</v>
      </c>
      <c r="N309" s="2">
        <f t="shared" si="21"/>
        <v>1297.03</v>
      </c>
      <c r="O309" s="2">
        <f t="shared" si="22"/>
        <v>3891.09</v>
      </c>
      <c r="P309" s="1">
        <v>263</v>
      </c>
      <c r="Q309" s="2">
        <v>259.41000000000003</v>
      </c>
      <c r="R309" s="2">
        <f t="shared" si="23"/>
        <v>259.34999999999991</v>
      </c>
      <c r="S309" s="1" t="s">
        <v>1003</v>
      </c>
      <c r="T309" s="1" t="s">
        <v>1004</v>
      </c>
      <c r="U309" s="1" t="str">
        <f t="shared" si="24"/>
        <v>NO</v>
      </c>
    </row>
    <row r="310" spans="1:21" x14ac:dyDescent="0.3">
      <c r="A310" s="1" t="s">
        <v>495</v>
      </c>
      <c r="B310" s="1" t="s">
        <v>299</v>
      </c>
      <c r="C310" s="1" t="s">
        <v>300</v>
      </c>
      <c r="D310" s="1" t="s">
        <v>39</v>
      </c>
      <c r="E310" s="1" t="s">
        <v>1323</v>
      </c>
      <c r="F310" s="1" t="s">
        <v>1006</v>
      </c>
      <c r="G310" s="1" t="s">
        <v>1002</v>
      </c>
      <c r="H310" s="1">
        <v>1</v>
      </c>
      <c r="I310" s="1">
        <v>7</v>
      </c>
      <c r="J310" s="1" t="s">
        <v>2729</v>
      </c>
      <c r="K310" s="2">
        <v>329.83</v>
      </c>
      <c r="L310" s="6">
        <v>16</v>
      </c>
      <c r="M310" s="2">
        <f t="shared" si="20"/>
        <v>329.83</v>
      </c>
      <c r="N310" s="2">
        <f t="shared" si="21"/>
        <v>52.772799999999997</v>
      </c>
      <c r="O310" s="2">
        <f t="shared" si="22"/>
        <v>277.05719999999997</v>
      </c>
      <c r="P310" s="1">
        <v>102</v>
      </c>
      <c r="Q310" s="2">
        <v>230.88</v>
      </c>
      <c r="R310" s="2">
        <f t="shared" si="23"/>
        <v>46.177199999999971</v>
      </c>
      <c r="S310" s="1" t="s">
        <v>1003</v>
      </c>
      <c r="T310" s="1" t="s">
        <v>1004</v>
      </c>
      <c r="U310" s="1" t="str">
        <f t="shared" si="24"/>
        <v>NO</v>
      </c>
    </row>
    <row r="311" spans="1:21" x14ac:dyDescent="0.3">
      <c r="A311" s="1" t="s">
        <v>496</v>
      </c>
      <c r="B311" s="1" t="s">
        <v>176</v>
      </c>
      <c r="C311" s="1" t="s">
        <v>177</v>
      </c>
      <c r="D311" s="1" t="s">
        <v>39</v>
      </c>
      <c r="E311" s="1" t="s">
        <v>1324</v>
      </c>
      <c r="F311" s="1" t="s">
        <v>1015</v>
      </c>
      <c r="G311" s="1" t="s">
        <v>1010</v>
      </c>
      <c r="H311" s="1">
        <v>5</v>
      </c>
      <c r="I311" s="1">
        <v>6</v>
      </c>
      <c r="J311" s="1" t="s">
        <v>2730</v>
      </c>
      <c r="K311" s="2">
        <v>94.24</v>
      </c>
      <c r="L311" s="6">
        <v>15</v>
      </c>
      <c r="M311" s="2">
        <f t="shared" si="20"/>
        <v>471.2</v>
      </c>
      <c r="N311" s="2">
        <f t="shared" si="21"/>
        <v>70.680000000000007</v>
      </c>
      <c r="O311" s="2">
        <f t="shared" si="22"/>
        <v>400.52</v>
      </c>
      <c r="P311" s="1">
        <v>157</v>
      </c>
      <c r="Q311" s="2">
        <v>65.97</v>
      </c>
      <c r="R311" s="2">
        <f t="shared" si="23"/>
        <v>70.669999999999959</v>
      </c>
      <c r="S311" s="1" t="s">
        <v>1016</v>
      </c>
      <c r="T311" s="1" t="s">
        <v>1007</v>
      </c>
      <c r="U311" s="1" t="str">
        <f t="shared" si="24"/>
        <v>YES</v>
      </c>
    </row>
    <row r="312" spans="1:21" x14ac:dyDescent="0.3">
      <c r="A312" s="1" t="s">
        <v>497</v>
      </c>
      <c r="B312" s="1" t="s">
        <v>102</v>
      </c>
      <c r="C312" s="1" t="s">
        <v>103</v>
      </c>
      <c r="D312" s="1" t="s">
        <v>104</v>
      </c>
      <c r="E312" s="1" t="s">
        <v>1325</v>
      </c>
      <c r="F312" s="1" t="s">
        <v>1001</v>
      </c>
      <c r="G312" s="1" t="s">
        <v>1002</v>
      </c>
      <c r="H312" s="1">
        <v>8</v>
      </c>
      <c r="I312" s="1">
        <v>1</v>
      </c>
      <c r="J312" s="1" t="s">
        <v>2731</v>
      </c>
      <c r="K312" s="2">
        <v>234.24</v>
      </c>
      <c r="L312" s="6">
        <v>6</v>
      </c>
      <c r="M312" s="2">
        <f t="shared" si="20"/>
        <v>1873.92</v>
      </c>
      <c r="N312" s="2">
        <f t="shared" si="21"/>
        <v>112.43520000000001</v>
      </c>
      <c r="O312" s="2">
        <f t="shared" si="22"/>
        <v>1761.4848000000002</v>
      </c>
      <c r="P312" s="1">
        <v>75</v>
      </c>
      <c r="Q312" s="2">
        <v>163.97</v>
      </c>
      <c r="R312" s="2">
        <f t="shared" si="23"/>
        <v>449.72480000000019</v>
      </c>
      <c r="S312" s="1" t="s">
        <v>1016</v>
      </c>
      <c r="T312" s="1" t="s">
        <v>1004</v>
      </c>
      <c r="U312" s="1" t="str">
        <f t="shared" si="24"/>
        <v>YES</v>
      </c>
    </row>
    <row r="313" spans="1:21" x14ac:dyDescent="0.3">
      <c r="A313" s="1" t="s">
        <v>498</v>
      </c>
      <c r="B313" s="1" t="s">
        <v>37</v>
      </c>
      <c r="C313" s="1" t="s">
        <v>38</v>
      </c>
      <c r="D313" s="1" t="s">
        <v>39</v>
      </c>
      <c r="E313" s="1" t="s">
        <v>1326</v>
      </c>
      <c r="F313" s="1" t="s">
        <v>1013</v>
      </c>
      <c r="G313" s="1" t="s">
        <v>1023</v>
      </c>
      <c r="H313" s="1">
        <v>3</v>
      </c>
      <c r="I313" s="1">
        <v>2</v>
      </c>
      <c r="J313" s="1" t="s">
        <v>2732</v>
      </c>
      <c r="K313" s="2">
        <v>225.73</v>
      </c>
      <c r="L313" s="6">
        <v>1</v>
      </c>
      <c r="M313" s="2">
        <f t="shared" si="20"/>
        <v>677.18999999999994</v>
      </c>
      <c r="N313" s="2">
        <f t="shared" si="21"/>
        <v>6.7718999999999996</v>
      </c>
      <c r="O313" s="2">
        <f t="shared" si="22"/>
        <v>670.41809999999998</v>
      </c>
      <c r="P313" s="1">
        <v>247</v>
      </c>
      <c r="Q313" s="2">
        <v>158.01</v>
      </c>
      <c r="R313" s="2">
        <f t="shared" si="23"/>
        <v>196.38810000000001</v>
      </c>
      <c r="S313" s="1" t="s">
        <v>1016</v>
      </c>
      <c r="T313" s="1" t="s">
        <v>1004</v>
      </c>
      <c r="U313" s="1" t="str">
        <f t="shared" si="24"/>
        <v>YES</v>
      </c>
    </row>
    <row r="314" spans="1:21" x14ac:dyDescent="0.3">
      <c r="A314" s="1" t="s">
        <v>499</v>
      </c>
      <c r="B314" s="1" t="s">
        <v>197</v>
      </c>
      <c r="C314" s="1" t="s">
        <v>198</v>
      </c>
      <c r="D314" s="1" t="s">
        <v>104</v>
      </c>
      <c r="E314" s="1" t="s">
        <v>1327</v>
      </c>
      <c r="F314" s="1" t="s">
        <v>1001</v>
      </c>
      <c r="G314" s="1" t="s">
        <v>1010</v>
      </c>
      <c r="H314" s="1">
        <v>12</v>
      </c>
      <c r="I314" s="1">
        <v>4</v>
      </c>
      <c r="J314" s="1" t="s">
        <v>2634</v>
      </c>
      <c r="K314" s="2">
        <v>490.45</v>
      </c>
      <c r="L314" s="6">
        <v>9</v>
      </c>
      <c r="M314" s="2">
        <f t="shared" si="20"/>
        <v>5885.4</v>
      </c>
      <c r="N314" s="2">
        <f t="shared" si="21"/>
        <v>529.68600000000004</v>
      </c>
      <c r="O314" s="2">
        <f t="shared" si="22"/>
        <v>5355.7139999999999</v>
      </c>
      <c r="P314" s="1">
        <v>244</v>
      </c>
      <c r="Q314" s="2">
        <v>343.31</v>
      </c>
      <c r="R314" s="2">
        <f t="shared" si="23"/>
        <v>1235.9939999999997</v>
      </c>
      <c r="S314" s="1" t="s">
        <v>1003</v>
      </c>
      <c r="T314" s="1" t="s">
        <v>1007</v>
      </c>
      <c r="U314" s="1" t="str">
        <f t="shared" si="24"/>
        <v>NO</v>
      </c>
    </row>
    <row r="315" spans="1:21" x14ac:dyDescent="0.3">
      <c r="A315" s="1" t="s">
        <v>500</v>
      </c>
      <c r="B315" s="1" t="s">
        <v>262</v>
      </c>
      <c r="C315" s="1" t="s">
        <v>263</v>
      </c>
      <c r="D315" s="1" t="s">
        <v>104</v>
      </c>
      <c r="E315" s="1" t="s">
        <v>1328</v>
      </c>
      <c r="F315" s="1" t="s">
        <v>1006</v>
      </c>
      <c r="G315" s="1" t="s">
        <v>1023</v>
      </c>
      <c r="H315" s="1">
        <v>12</v>
      </c>
      <c r="I315" s="1">
        <v>1</v>
      </c>
      <c r="J315" s="1" t="s">
        <v>2589</v>
      </c>
      <c r="K315" s="2">
        <v>214.43</v>
      </c>
      <c r="L315" s="6">
        <v>7</v>
      </c>
      <c r="M315" s="2">
        <f t="shared" si="20"/>
        <v>2573.16</v>
      </c>
      <c r="N315" s="2">
        <f t="shared" si="21"/>
        <v>180.12119999999999</v>
      </c>
      <c r="O315" s="2">
        <f t="shared" si="22"/>
        <v>2393.0387999999998</v>
      </c>
      <c r="P315" s="1">
        <v>156</v>
      </c>
      <c r="Q315" s="2">
        <v>150.1</v>
      </c>
      <c r="R315" s="2">
        <f t="shared" si="23"/>
        <v>591.83879999999999</v>
      </c>
      <c r="S315" s="1" t="s">
        <v>1016</v>
      </c>
      <c r="T315" s="1" t="s">
        <v>1007</v>
      </c>
      <c r="U315" s="1" t="str">
        <f t="shared" si="24"/>
        <v>YES</v>
      </c>
    </row>
    <row r="316" spans="1:21" x14ac:dyDescent="0.3">
      <c r="A316" s="1" t="s">
        <v>501</v>
      </c>
      <c r="B316" s="1" t="s">
        <v>126</v>
      </c>
      <c r="C316" s="1" t="s">
        <v>127</v>
      </c>
      <c r="D316" s="1" t="s">
        <v>85</v>
      </c>
      <c r="E316" s="1" t="s">
        <v>1329</v>
      </c>
      <c r="F316" s="1" t="s">
        <v>1001</v>
      </c>
      <c r="G316" s="1" t="s">
        <v>1010</v>
      </c>
      <c r="H316" s="1">
        <v>2</v>
      </c>
      <c r="I316" s="1">
        <v>5</v>
      </c>
      <c r="J316" s="1" t="s">
        <v>2565</v>
      </c>
      <c r="K316" s="2">
        <v>80.39</v>
      </c>
      <c r="L316" s="6">
        <v>6</v>
      </c>
      <c r="M316" s="2">
        <f t="shared" si="20"/>
        <v>160.78</v>
      </c>
      <c r="N316" s="2">
        <f t="shared" si="21"/>
        <v>9.6468000000000007</v>
      </c>
      <c r="O316" s="2">
        <f t="shared" si="22"/>
        <v>151.13319999999999</v>
      </c>
      <c r="P316" s="1">
        <v>228</v>
      </c>
      <c r="Q316" s="2">
        <v>56.27</v>
      </c>
      <c r="R316" s="2">
        <f t="shared" si="23"/>
        <v>38.593199999999982</v>
      </c>
      <c r="S316" s="1" t="s">
        <v>1016</v>
      </c>
      <c r="T316" s="1" t="s">
        <v>1007</v>
      </c>
      <c r="U316" s="1" t="str">
        <f t="shared" si="24"/>
        <v>YES</v>
      </c>
    </row>
    <row r="317" spans="1:21" x14ac:dyDescent="0.3">
      <c r="A317" s="1" t="s">
        <v>502</v>
      </c>
      <c r="B317" s="1" t="s">
        <v>45</v>
      </c>
      <c r="C317" s="1" t="s">
        <v>46</v>
      </c>
      <c r="D317" s="1" t="s">
        <v>47</v>
      </c>
      <c r="E317" s="1" t="s">
        <v>1330</v>
      </c>
      <c r="F317" s="1" t="s">
        <v>1013</v>
      </c>
      <c r="G317" s="1" t="s">
        <v>1023</v>
      </c>
      <c r="H317" s="1">
        <v>7</v>
      </c>
      <c r="I317" s="1">
        <v>5</v>
      </c>
      <c r="J317" s="1" t="s">
        <v>2733</v>
      </c>
      <c r="K317" s="2">
        <v>416.67</v>
      </c>
      <c r="L317" s="6">
        <v>19</v>
      </c>
      <c r="M317" s="2">
        <f t="shared" si="20"/>
        <v>2916.69</v>
      </c>
      <c r="N317" s="2">
        <f t="shared" si="21"/>
        <v>554.17110000000002</v>
      </c>
      <c r="O317" s="2">
        <f t="shared" si="22"/>
        <v>2362.5189</v>
      </c>
      <c r="P317" s="1">
        <v>71</v>
      </c>
      <c r="Q317" s="2">
        <v>291.67</v>
      </c>
      <c r="R317" s="2">
        <f t="shared" si="23"/>
        <v>320.82889999999998</v>
      </c>
      <c r="S317" s="1" t="s">
        <v>1003</v>
      </c>
      <c r="T317" s="1" t="s">
        <v>1007</v>
      </c>
      <c r="U317" s="1" t="str">
        <f t="shared" si="24"/>
        <v>NO</v>
      </c>
    </row>
    <row r="318" spans="1:21" x14ac:dyDescent="0.3">
      <c r="A318" s="1" t="s">
        <v>503</v>
      </c>
      <c r="B318" s="1" t="s">
        <v>83</v>
      </c>
      <c r="C318" s="1" t="s">
        <v>84</v>
      </c>
      <c r="D318" s="1" t="s">
        <v>85</v>
      </c>
      <c r="E318" s="1" t="s">
        <v>1331</v>
      </c>
      <c r="F318" s="1" t="s">
        <v>1020</v>
      </c>
      <c r="G318" s="1" t="s">
        <v>1023</v>
      </c>
      <c r="H318" s="1">
        <v>1</v>
      </c>
      <c r="I318" s="1">
        <v>1</v>
      </c>
      <c r="J318" s="1" t="s">
        <v>2550</v>
      </c>
      <c r="K318" s="2">
        <v>464.83</v>
      </c>
      <c r="L318" s="6">
        <v>0</v>
      </c>
      <c r="M318" s="2">
        <f t="shared" si="20"/>
        <v>464.83</v>
      </c>
      <c r="N318" s="2">
        <f t="shared" si="21"/>
        <v>0</v>
      </c>
      <c r="O318" s="2">
        <f t="shared" si="22"/>
        <v>464.83</v>
      </c>
      <c r="P318" s="1">
        <v>76</v>
      </c>
      <c r="Q318" s="2">
        <v>325.38</v>
      </c>
      <c r="R318" s="2">
        <f t="shared" si="23"/>
        <v>139.44999999999999</v>
      </c>
      <c r="S318" s="1" t="s">
        <v>1003</v>
      </c>
      <c r="T318" s="1" t="s">
        <v>1007</v>
      </c>
      <c r="U318" s="1" t="str">
        <f t="shared" si="24"/>
        <v>NO</v>
      </c>
    </row>
    <row r="319" spans="1:21" x14ac:dyDescent="0.3">
      <c r="A319" s="1" t="s">
        <v>504</v>
      </c>
      <c r="B319" s="1" t="s">
        <v>26</v>
      </c>
      <c r="C319" s="1" t="s">
        <v>27</v>
      </c>
      <c r="D319" s="1" t="s">
        <v>28</v>
      </c>
      <c r="E319" s="1" t="s">
        <v>1332</v>
      </c>
      <c r="F319" s="1" t="s">
        <v>1001</v>
      </c>
      <c r="G319" s="1" t="s">
        <v>1023</v>
      </c>
      <c r="H319" s="1">
        <v>8</v>
      </c>
      <c r="I319" s="1">
        <v>7</v>
      </c>
      <c r="J319" s="1" t="s">
        <v>2585</v>
      </c>
      <c r="K319" s="2">
        <v>217.41</v>
      </c>
      <c r="L319" s="6">
        <v>8</v>
      </c>
      <c r="M319" s="2">
        <f t="shared" si="20"/>
        <v>1739.28</v>
      </c>
      <c r="N319" s="2">
        <f t="shared" si="21"/>
        <v>139.14240000000001</v>
      </c>
      <c r="O319" s="2">
        <f t="shared" si="22"/>
        <v>1600.1376</v>
      </c>
      <c r="P319" s="1">
        <v>275</v>
      </c>
      <c r="Q319" s="2">
        <v>152.19</v>
      </c>
      <c r="R319" s="2">
        <f t="shared" si="23"/>
        <v>382.61760000000004</v>
      </c>
      <c r="S319" s="1" t="s">
        <v>1011</v>
      </c>
      <c r="T319" s="1" t="s">
        <v>1004</v>
      </c>
      <c r="U319" s="1" t="str">
        <f t="shared" si="24"/>
        <v>NO</v>
      </c>
    </row>
    <row r="320" spans="1:21" x14ac:dyDescent="0.3">
      <c r="A320" s="1" t="s">
        <v>505</v>
      </c>
      <c r="B320" s="1" t="s">
        <v>37</v>
      </c>
      <c r="C320" s="1" t="s">
        <v>38</v>
      </c>
      <c r="D320" s="1" t="s">
        <v>39</v>
      </c>
      <c r="E320" s="1" t="s">
        <v>1333</v>
      </c>
      <c r="F320" s="1" t="s">
        <v>1001</v>
      </c>
      <c r="G320" s="1" t="s">
        <v>1023</v>
      </c>
      <c r="H320" s="1">
        <v>9</v>
      </c>
      <c r="I320" s="1">
        <v>5</v>
      </c>
      <c r="J320" s="1" t="s">
        <v>2518</v>
      </c>
      <c r="K320" s="2">
        <v>264.36</v>
      </c>
      <c r="L320" s="6">
        <v>5</v>
      </c>
      <c r="M320" s="2">
        <f t="shared" si="20"/>
        <v>2379.2400000000002</v>
      </c>
      <c r="N320" s="2">
        <f t="shared" si="21"/>
        <v>118.962</v>
      </c>
      <c r="O320" s="2">
        <f t="shared" si="22"/>
        <v>2260.2780000000002</v>
      </c>
      <c r="P320" s="1">
        <v>227</v>
      </c>
      <c r="Q320" s="2">
        <v>185.05</v>
      </c>
      <c r="R320" s="2">
        <f t="shared" si="23"/>
        <v>594.8280000000002</v>
      </c>
      <c r="S320" s="1" t="s">
        <v>1003</v>
      </c>
      <c r="T320" s="1" t="s">
        <v>1007</v>
      </c>
      <c r="U320" s="1" t="str">
        <f t="shared" si="24"/>
        <v>NO</v>
      </c>
    </row>
    <row r="321" spans="1:21" x14ac:dyDescent="0.3">
      <c r="A321" s="1" t="s">
        <v>506</v>
      </c>
      <c r="B321" s="1" t="s">
        <v>126</v>
      </c>
      <c r="C321" s="1" t="s">
        <v>127</v>
      </c>
      <c r="D321" s="1" t="s">
        <v>85</v>
      </c>
      <c r="E321" s="1" t="s">
        <v>1334</v>
      </c>
      <c r="F321" s="1" t="s">
        <v>1020</v>
      </c>
      <c r="G321" s="1" t="s">
        <v>1023</v>
      </c>
      <c r="H321" s="1">
        <v>8</v>
      </c>
      <c r="I321" s="1">
        <v>1</v>
      </c>
      <c r="J321" s="1" t="s">
        <v>2571</v>
      </c>
      <c r="K321" s="2">
        <v>185.54</v>
      </c>
      <c r="L321" s="6">
        <v>0</v>
      </c>
      <c r="M321" s="2">
        <f t="shared" si="20"/>
        <v>1484.32</v>
      </c>
      <c r="N321" s="2">
        <f t="shared" si="21"/>
        <v>0</v>
      </c>
      <c r="O321" s="2">
        <f t="shared" si="22"/>
        <v>1484.32</v>
      </c>
      <c r="P321" s="1">
        <v>173</v>
      </c>
      <c r="Q321" s="2">
        <v>129.88</v>
      </c>
      <c r="R321" s="2">
        <f t="shared" si="23"/>
        <v>445.28</v>
      </c>
      <c r="S321" s="1" t="s">
        <v>1016</v>
      </c>
      <c r="T321" s="1" t="s">
        <v>1004</v>
      </c>
      <c r="U321" s="1" t="str">
        <f t="shared" si="24"/>
        <v>YES</v>
      </c>
    </row>
    <row r="322" spans="1:21" x14ac:dyDescent="0.3">
      <c r="A322" s="1" t="s">
        <v>507</v>
      </c>
      <c r="B322" s="1" t="s">
        <v>192</v>
      </c>
      <c r="C322" s="1" t="s">
        <v>193</v>
      </c>
      <c r="D322" s="1" t="s">
        <v>85</v>
      </c>
      <c r="E322" s="1" t="s">
        <v>1335</v>
      </c>
      <c r="F322" s="1" t="s">
        <v>1013</v>
      </c>
      <c r="G322" s="1" t="s">
        <v>1023</v>
      </c>
      <c r="H322" s="1">
        <v>5</v>
      </c>
      <c r="I322" s="1">
        <v>2</v>
      </c>
      <c r="J322" s="1" t="s">
        <v>2564</v>
      </c>
      <c r="K322" s="2">
        <v>181.5</v>
      </c>
      <c r="L322" s="6">
        <v>20</v>
      </c>
      <c r="M322" s="2">
        <f t="shared" ref="M322:M385" si="25">H322*K322</f>
        <v>907.5</v>
      </c>
      <c r="N322" s="2">
        <f t="shared" ref="N322:N385" si="26">M322*L322/100</f>
        <v>181.5</v>
      </c>
      <c r="O322" s="2">
        <f t="shared" ref="O322:O385" si="27">M322-N322</f>
        <v>726</v>
      </c>
      <c r="P322" s="1">
        <v>58</v>
      </c>
      <c r="Q322" s="2">
        <v>127.05</v>
      </c>
      <c r="R322" s="2">
        <f t="shared" ref="R322:R385" si="28">O322-(H322*Q322)</f>
        <v>90.75</v>
      </c>
      <c r="S322" s="1" t="s">
        <v>1016</v>
      </c>
      <c r="T322" s="1" t="s">
        <v>1004</v>
      </c>
      <c r="U322" s="1" t="str">
        <f t="shared" ref="U322:U385" si="29">IF(S322="Delivered","YES","NO")</f>
        <v>YES</v>
      </c>
    </row>
    <row r="323" spans="1:21" x14ac:dyDescent="0.3">
      <c r="A323" s="1" t="s">
        <v>508</v>
      </c>
      <c r="B323" s="1" t="s">
        <v>72</v>
      </c>
      <c r="C323" s="1" t="s">
        <v>73</v>
      </c>
      <c r="D323" s="1" t="s">
        <v>47</v>
      </c>
      <c r="E323" s="1" t="s">
        <v>1336</v>
      </c>
      <c r="F323" s="1" t="s">
        <v>1001</v>
      </c>
      <c r="G323" s="1" t="s">
        <v>1010</v>
      </c>
      <c r="H323" s="1">
        <v>4</v>
      </c>
      <c r="I323" s="1">
        <v>4</v>
      </c>
      <c r="J323" s="1" t="s">
        <v>2548</v>
      </c>
      <c r="K323" s="2">
        <v>340.62</v>
      </c>
      <c r="L323" s="6">
        <v>24</v>
      </c>
      <c r="M323" s="2">
        <f t="shared" si="25"/>
        <v>1362.48</v>
      </c>
      <c r="N323" s="2">
        <f t="shared" si="26"/>
        <v>326.99520000000001</v>
      </c>
      <c r="O323" s="2">
        <f t="shared" si="27"/>
        <v>1035.4848</v>
      </c>
      <c r="P323" s="1">
        <v>55</v>
      </c>
      <c r="Q323" s="2">
        <v>238.43</v>
      </c>
      <c r="R323" s="2">
        <f t="shared" si="28"/>
        <v>81.764799999999923</v>
      </c>
      <c r="S323" s="1" t="s">
        <v>1011</v>
      </c>
      <c r="T323" s="1" t="s">
        <v>1007</v>
      </c>
      <c r="U323" s="1" t="str">
        <f t="shared" si="29"/>
        <v>NO</v>
      </c>
    </row>
    <row r="324" spans="1:21" x14ac:dyDescent="0.3">
      <c r="A324" s="1" t="s">
        <v>509</v>
      </c>
      <c r="B324" s="1" t="s">
        <v>126</v>
      </c>
      <c r="C324" s="1" t="s">
        <v>127</v>
      </c>
      <c r="D324" s="1" t="s">
        <v>85</v>
      </c>
      <c r="E324" s="1" t="s">
        <v>1337</v>
      </c>
      <c r="F324" s="1" t="s">
        <v>1015</v>
      </c>
      <c r="G324" s="1" t="s">
        <v>1023</v>
      </c>
      <c r="H324" s="1">
        <v>4</v>
      </c>
      <c r="I324" s="1">
        <v>1</v>
      </c>
      <c r="J324" s="1" t="s">
        <v>2556</v>
      </c>
      <c r="K324" s="2">
        <v>420.84</v>
      </c>
      <c r="L324" s="6">
        <v>0</v>
      </c>
      <c r="M324" s="2">
        <f t="shared" si="25"/>
        <v>1683.36</v>
      </c>
      <c r="N324" s="2">
        <f t="shared" si="26"/>
        <v>0</v>
      </c>
      <c r="O324" s="2">
        <f t="shared" si="27"/>
        <v>1683.36</v>
      </c>
      <c r="P324" s="1">
        <v>253</v>
      </c>
      <c r="Q324" s="2">
        <v>294.58999999999997</v>
      </c>
      <c r="R324" s="2">
        <f t="shared" si="28"/>
        <v>505</v>
      </c>
      <c r="S324" s="1" t="s">
        <v>1016</v>
      </c>
      <c r="T324" s="1" t="s">
        <v>1004</v>
      </c>
      <c r="U324" s="1" t="str">
        <f t="shared" si="29"/>
        <v>YES</v>
      </c>
    </row>
    <row r="325" spans="1:21" x14ac:dyDescent="0.3">
      <c r="A325" s="1" t="s">
        <v>510</v>
      </c>
      <c r="B325" s="1" t="s">
        <v>77</v>
      </c>
      <c r="C325" s="1" t="s">
        <v>78</v>
      </c>
      <c r="D325" s="1" t="s">
        <v>47</v>
      </c>
      <c r="E325" s="1" t="s">
        <v>1338</v>
      </c>
      <c r="F325" s="1" t="s">
        <v>1006</v>
      </c>
      <c r="G325" s="1" t="s">
        <v>1023</v>
      </c>
      <c r="H325" s="1">
        <v>6</v>
      </c>
      <c r="I325" s="1">
        <v>1</v>
      </c>
      <c r="J325" s="1" t="s">
        <v>2734</v>
      </c>
      <c r="K325" s="2">
        <v>332.31</v>
      </c>
      <c r="L325" s="6">
        <v>22</v>
      </c>
      <c r="M325" s="2">
        <f t="shared" si="25"/>
        <v>1993.8600000000001</v>
      </c>
      <c r="N325" s="2">
        <f t="shared" si="26"/>
        <v>438.64920000000006</v>
      </c>
      <c r="O325" s="2">
        <f t="shared" si="27"/>
        <v>1555.2108000000001</v>
      </c>
      <c r="P325" s="1">
        <v>124</v>
      </c>
      <c r="Q325" s="2">
        <v>232.62</v>
      </c>
      <c r="R325" s="2">
        <f t="shared" si="28"/>
        <v>159.49080000000004</v>
      </c>
      <c r="S325" s="1" t="s">
        <v>1011</v>
      </c>
      <c r="T325" s="1" t="s">
        <v>1004</v>
      </c>
      <c r="U325" s="1" t="str">
        <f t="shared" si="29"/>
        <v>NO</v>
      </c>
    </row>
    <row r="326" spans="1:21" x14ac:dyDescent="0.3">
      <c r="A326" s="1" t="s">
        <v>511</v>
      </c>
      <c r="B326" s="1" t="s">
        <v>63</v>
      </c>
      <c r="C326" s="1" t="s">
        <v>64</v>
      </c>
      <c r="D326" s="1" t="s">
        <v>28</v>
      </c>
      <c r="E326" s="1" t="s">
        <v>1339</v>
      </c>
      <c r="F326" s="1" t="s">
        <v>1009</v>
      </c>
      <c r="G326" s="1" t="s">
        <v>1010</v>
      </c>
      <c r="H326" s="1">
        <v>9</v>
      </c>
      <c r="I326" s="1">
        <v>2</v>
      </c>
      <c r="J326" s="1" t="s">
        <v>2629</v>
      </c>
      <c r="K326" s="2">
        <v>172.66</v>
      </c>
      <c r="L326" s="6">
        <v>16</v>
      </c>
      <c r="M326" s="2">
        <f t="shared" si="25"/>
        <v>1553.94</v>
      </c>
      <c r="N326" s="2">
        <f t="shared" si="26"/>
        <v>248.63040000000001</v>
      </c>
      <c r="O326" s="2">
        <f t="shared" si="27"/>
        <v>1305.3096</v>
      </c>
      <c r="P326" s="1">
        <v>133</v>
      </c>
      <c r="Q326" s="2">
        <v>120.86</v>
      </c>
      <c r="R326" s="2">
        <f t="shared" si="28"/>
        <v>217.56960000000004</v>
      </c>
      <c r="S326" s="1" t="s">
        <v>1003</v>
      </c>
      <c r="T326" s="1" t="s">
        <v>1004</v>
      </c>
      <c r="U326" s="1" t="str">
        <f t="shared" si="29"/>
        <v>NO</v>
      </c>
    </row>
    <row r="327" spans="1:21" x14ac:dyDescent="0.3">
      <c r="A327" s="1" t="s">
        <v>512</v>
      </c>
      <c r="B327" s="1" t="s">
        <v>37</v>
      </c>
      <c r="C327" s="1" t="s">
        <v>38</v>
      </c>
      <c r="D327" s="1" t="s">
        <v>39</v>
      </c>
      <c r="E327" s="1" t="s">
        <v>1340</v>
      </c>
      <c r="F327" s="1" t="s">
        <v>1020</v>
      </c>
      <c r="G327" s="1" t="s">
        <v>1010</v>
      </c>
      <c r="H327" s="1">
        <v>7</v>
      </c>
      <c r="I327" s="1">
        <v>5</v>
      </c>
      <c r="J327" s="1" t="s">
        <v>2598</v>
      </c>
      <c r="K327" s="2">
        <v>351.88</v>
      </c>
      <c r="L327" s="6">
        <v>5</v>
      </c>
      <c r="M327" s="2">
        <f t="shared" si="25"/>
        <v>2463.16</v>
      </c>
      <c r="N327" s="2">
        <f t="shared" si="26"/>
        <v>123.15799999999999</v>
      </c>
      <c r="O327" s="2">
        <f t="shared" si="27"/>
        <v>2340.002</v>
      </c>
      <c r="P327" s="1">
        <v>60</v>
      </c>
      <c r="Q327" s="2">
        <v>246.32</v>
      </c>
      <c r="R327" s="2">
        <f t="shared" si="28"/>
        <v>615.76199999999994</v>
      </c>
      <c r="S327" s="1" t="s">
        <v>1016</v>
      </c>
      <c r="T327" s="1" t="s">
        <v>1007</v>
      </c>
      <c r="U327" s="1" t="str">
        <f t="shared" si="29"/>
        <v>YES</v>
      </c>
    </row>
    <row r="328" spans="1:21" x14ac:dyDescent="0.3">
      <c r="A328" s="1" t="s">
        <v>513</v>
      </c>
      <c r="B328" s="1" t="s">
        <v>83</v>
      </c>
      <c r="C328" s="1" t="s">
        <v>84</v>
      </c>
      <c r="D328" s="1" t="s">
        <v>85</v>
      </c>
      <c r="E328" s="1" t="s">
        <v>1341</v>
      </c>
      <c r="F328" s="1" t="s">
        <v>1009</v>
      </c>
      <c r="G328" s="1" t="s">
        <v>1002</v>
      </c>
      <c r="H328" s="1">
        <v>13</v>
      </c>
      <c r="I328" s="1">
        <v>2</v>
      </c>
      <c r="J328" s="1" t="s">
        <v>2733</v>
      </c>
      <c r="K328" s="2">
        <v>302.41000000000003</v>
      </c>
      <c r="L328" s="6">
        <v>10</v>
      </c>
      <c r="M328" s="2">
        <f t="shared" si="25"/>
        <v>3931.3300000000004</v>
      </c>
      <c r="N328" s="2">
        <f t="shared" si="26"/>
        <v>393.13300000000004</v>
      </c>
      <c r="O328" s="2">
        <f t="shared" si="27"/>
        <v>3538.1970000000001</v>
      </c>
      <c r="P328" s="1">
        <v>102</v>
      </c>
      <c r="Q328" s="2">
        <v>211.69</v>
      </c>
      <c r="R328" s="2">
        <f t="shared" si="28"/>
        <v>786.22700000000032</v>
      </c>
      <c r="S328" s="1" t="s">
        <v>1003</v>
      </c>
      <c r="T328" s="1" t="s">
        <v>1004</v>
      </c>
      <c r="U328" s="1" t="str">
        <f t="shared" si="29"/>
        <v>NO</v>
      </c>
    </row>
    <row r="329" spans="1:21" x14ac:dyDescent="0.3">
      <c r="A329" s="1" t="s">
        <v>514</v>
      </c>
      <c r="B329" s="1" t="s">
        <v>52</v>
      </c>
      <c r="C329" s="1" t="s">
        <v>53</v>
      </c>
      <c r="D329" s="1" t="s">
        <v>47</v>
      </c>
      <c r="E329" s="1" t="s">
        <v>1342</v>
      </c>
      <c r="F329" s="1" t="s">
        <v>1006</v>
      </c>
      <c r="G329" s="1" t="s">
        <v>1023</v>
      </c>
      <c r="H329" s="1">
        <v>13</v>
      </c>
      <c r="I329" s="1">
        <v>6</v>
      </c>
      <c r="J329" s="1" t="s">
        <v>2585</v>
      </c>
      <c r="K329" s="2">
        <v>322.05</v>
      </c>
      <c r="L329" s="6">
        <v>9</v>
      </c>
      <c r="M329" s="2">
        <f t="shared" si="25"/>
        <v>4186.6500000000005</v>
      </c>
      <c r="N329" s="2">
        <f t="shared" si="26"/>
        <v>376.79850000000005</v>
      </c>
      <c r="O329" s="2">
        <f t="shared" si="27"/>
        <v>3809.8515000000007</v>
      </c>
      <c r="P329" s="1">
        <v>102</v>
      </c>
      <c r="Q329" s="2">
        <v>225.44</v>
      </c>
      <c r="R329" s="2">
        <f t="shared" si="28"/>
        <v>879.13150000000087</v>
      </c>
      <c r="S329" s="1" t="s">
        <v>1003</v>
      </c>
      <c r="T329" s="1" t="s">
        <v>1007</v>
      </c>
      <c r="U329" s="1" t="str">
        <f t="shared" si="29"/>
        <v>NO</v>
      </c>
    </row>
    <row r="330" spans="1:21" x14ac:dyDescent="0.3">
      <c r="A330" s="1" t="s">
        <v>515</v>
      </c>
      <c r="B330" s="1" t="s">
        <v>102</v>
      </c>
      <c r="C330" s="1" t="s">
        <v>103</v>
      </c>
      <c r="D330" s="1" t="s">
        <v>104</v>
      </c>
      <c r="E330" s="1" t="s">
        <v>1343</v>
      </c>
      <c r="F330" s="1" t="s">
        <v>1020</v>
      </c>
      <c r="G330" s="1" t="s">
        <v>1002</v>
      </c>
      <c r="H330" s="1">
        <v>5</v>
      </c>
      <c r="I330" s="1">
        <v>3</v>
      </c>
      <c r="J330" s="1" t="s">
        <v>2645</v>
      </c>
      <c r="K330" s="2">
        <v>301.11</v>
      </c>
      <c r="L330" s="6">
        <v>13</v>
      </c>
      <c r="M330" s="2">
        <f t="shared" si="25"/>
        <v>1505.5500000000002</v>
      </c>
      <c r="N330" s="2">
        <f t="shared" si="26"/>
        <v>195.72150000000002</v>
      </c>
      <c r="O330" s="2">
        <f t="shared" si="27"/>
        <v>1309.8285000000001</v>
      </c>
      <c r="P330" s="1">
        <v>125</v>
      </c>
      <c r="Q330" s="2">
        <v>210.78</v>
      </c>
      <c r="R330" s="2">
        <f t="shared" si="28"/>
        <v>255.92849999999999</v>
      </c>
      <c r="S330" s="1" t="s">
        <v>1003</v>
      </c>
      <c r="T330" s="1" t="s">
        <v>1004</v>
      </c>
      <c r="U330" s="1" t="str">
        <f t="shared" si="29"/>
        <v>NO</v>
      </c>
    </row>
    <row r="331" spans="1:21" x14ac:dyDescent="0.3">
      <c r="A331" s="1" t="s">
        <v>516</v>
      </c>
      <c r="B331" s="1" t="s">
        <v>26</v>
      </c>
      <c r="C331" s="1" t="s">
        <v>27</v>
      </c>
      <c r="D331" s="1" t="s">
        <v>28</v>
      </c>
      <c r="E331" s="1" t="s">
        <v>1344</v>
      </c>
      <c r="F331" s="1" t="s">
        <v>1015</v>
      </c>
      <c r="G331" s="1" t="s">
        <v>1023</v>
      </c>
      <c r="H331" s="1">
        <v>5</v>
      </c>
      <c r="I331" s="1">
        <v>4</v>
      </c>
      <c r="J331" s="1" t="s">
        <v>2735</v>
      </c>
      <c r="K331" s="2">
        <v>425.73</v>
      </c>
      <c r="L331" s="6">
        <v>23</v>
      </c>
      <c r="M331" s="2">
        <f t="shared" si="25"/>
        <v>2128.65</v>
      </c>
      <c r="N331" s="2">
        <f t="shared" si="26"/>
        <v>489.58950000000004</v>
      </c>
      <c r="O331" s="2">
        <f t="shared" si="27"/>
        <v>1639.0605</v>
      </c>
      <c r="P331" s="1">
        <v>227</v>
      </c>
      <c r="Q331" s="2">
        <v>298.01</v>
      </c>
      <c r="R331" s="2">
        <f t="shared" si="28"/>
        <v>149.01050000000009</v>
      </c>
      <c r="S331" s="1" t="s">
        <v>1011</v>
      </c>
      <c r="T331" s="1" t="s">
        <v>1004</v>
      </c>
      <c r="U331" s="1" t="str">
        <f t="shared" si="29"/>
        <v>NO</v>
      </c>
    </row>
    <row r="332" spans="1:21" x14ac:dyDescent="0.3">
      <c r="A332" s="1" t="s">
        <v>517</v>
      </c>
      <c r="B332" s="1" t="s">
        <v>95</v>
      </c>
      <c r="C332" s="1" t="s">
        <v>96</v>
      </c>
      <c r="D332" s="1" t="s">
        <v>97</v>
      </c>
      <c r="E332" s="1" t="s">
        <v>1345</v>
      </c>
      <c r="F332" s="1" t="s">
        <v>1009</v>
      </c>
      <c r="G332" s="1" t="s">
        <v>1010</v>
      </c>
      <c r="H332" s="1">
        <v>11</v>
      </c>
      <c r="I332" s="1">
        <v>5</v>
      </c>
      <c r="J332" s="1" t="s">
        <v>2531</v>
      </c>
      <c r="K332" s="2">
        <v>352.19</v>
      </c>
      <c r="L332" s="6">
        <v>20</v>
      </c>
      <c r="M332" s="2">
        <f t="shared" si="25"/>
        <v>3874.09</v>
      </c>
      <c r="N332" s="2">
        <f t="shared" si="26"/>
        <v>774.81799999999998</v>
      </c>
      <c r="O332" s="2">
        <f t="shared" si="27"/>
        <v>3099.2719999999999</v>
      </c>
      <c r="P332" s="1">
        <v>97</v>
      </c>
      <c r="Q332" s="2">
        <v>246.53</v>
      </c>
      <c r="R332" s="2">
        <f t="shared" si="28"/>
        <v>387.44200000000001</v>
      </c>
      <c r="S332" s="1" t="s">
        <v>1016</v>
      </c>
      <c r="T332" s="1" t="s">
        <v>1004</v>
      </c>
      <c r="U332" s="1" t="str">
        <f t="shared" si="29"/>
        <v>YES</v>
      </c>
    </row>
    <row r="333" spans="1:21" x14ac:dyDescent="0.3">
      <c r="A333" s="1" t="s">
        <v>518</v>
      </c>
      <c r="B333" s="1" t="s">
        <v>57</v>
      </c>
      <c r="C333" s="1" t="s">
        <v>58</v>
      </c>
      <c r="D333" s="1" t="s">
        <v>59</v>
      </c>
      <c r="E333" s="1" t="s">
        <v>1346</v>
      </c>
      <c r="F333" s="1" t="s">
        <v>1015</v>
      </c>
      <c r="G333" s="1" t="s">
        <v>1002</v>
      </c>
      <c r="H333" s="1">
        <v>13</v>
      </c>
      <c r="I333" s="1">
        <v>3</v>
      </c>
      <c r="J333" s="1" t="s">
        <v>2684</v>
      </c>
      <c r="K333" s="2">
        <v>202.98</v>
      </c>
      <c r="L333" s="6">
        <v>18</v>
      </c>
      <c r="M333" s="2">
        <f t="shared" si="25"/>
        <v>2638.74</v>
      </c>
      <c r="N333" s="2">
        <f t="shared" si="26"/>
        <v>474.97319999999991</v>
      </c>
      <c r="O333" s="2">
        <f t="shared" si="27"/>
        <v>2163.7667999999999</v>
      </c>
      <c r="P333" s="1">
        <v>225</v>
      </c>
      <c r="Q333" s="2">
        <v>142.09</v>
      </c>
      <c r="R333" s="2">
        <f t="shared" si="28"/>
        <v>316.5967999999998</v>
      </c>
      <c r="S333" s="1" t="s">
        <v>1003</v>
      </c>
      <c r="T333" s="1" t="s">
        <v>1007</v>
      </c>
      <c r="U333" s="1" t="str">
        <f t="shared" si="29"/>
        <v>NO</v>
      </c>
    </row>
    <row r="334" spans="1:21" x14ac:dyDescent="0.3">
      <c r="A334" s="1" t="s">
        <v>519</v>
      </c>
      <c r="B334" s="1" t="s">
        <v>111</v>
      </c>
      <c r="C334" s="1" t="s">
        <v>112</v>
      </c>
      <c r="D334" s="1" t="s">
        <v>97</v>
      </c>
      <c r="E334" s="1" t="s">
        <v>1347</v>
      </c>
      <c r="F334" s="1" t="s">
        <v>1013</v>
      </c>
      <c r="G334" s="1" t="s">
        <v>1010</v>
      </c>
      <c r="H334" s="1">
        <v>7</v>
      </c>
      <c r="I334" s="1">
        <v>2</v>
      </c>
      <c r="J334" s="1" t="s">
        <v>2735</v>
      </c>
      <c r="K334" s="2">
        <v>233.23</v>
      </c>
      <c r="L334" s="6">
        <v>11</v>
      </c>
      <c r="M334" s="2">
        <f t="shared" si="25"/>
        <v>1632.61</v>
      </c>
      <c r="N334" s="2">
        <f t="shared" si="26"/>
        <v>179.58709999999999</v>
      </c>
      <c r="O334" s="2">
        <f t="shared" si="27"/>
        <v>1453.0228999999999</v>
      </c>
      <c r="P334" s="1">
        <v>118</v>
      </c>
      <c r="Q334" s="2">
        <v>163.26</v>
      </c>
      <c r="R334" s="2">
        <f t="shared" si="28"/>
        <v>310.2029</v>
      </c>
      <c r="S334" s="1" t="s">
        <v>1016</v>
      </c>
      <c r="T334" s="1" t="s">
        <v>1007</v>
      </c>
      <c r="U334" s="1" t="str">
        <f t="shared" si="29"/>
        <v>YES</v>
      </c>
    </row>
    <row r="335" spans="1:21" x14ac:dyDescent="0.3">
      <c r="A335" s="1" t="s">
        <v>520</v>
      </c>
      <c r="B335" s="1" t="s">
        <v>95</v>
      </c>
      <c r="C335" s="1" t="s">
        <v>96</v>
      </c>
      <c r="D335" s="1" t="s">
        <v>97</v>
      </c>
      <c r="E335" s="1" t="s">
        <v>1348</v>
      </c>
      <c r="F335" s="1" t="s">
        <v>1009</v>
      </c>
      <c r="G335" s="1" t="s">
        <v>1002</v>
      </c>
      <c r="H335" s="1">
        <v>10</v>
      </c>
      <c r="I335" s="1">
        <v>2</v>
      </c>
      <c r="J335" s="1" t="s">
        <v>2736</v>
      </c>
      <c r="K335" s="2">
        <v>189.03</v>
      </c>
      <c r="L335" s="6">
        <v>0</v>
      </c>
      <c r="M335" s="2">
        <f t="shared" si="25"/>
        <v>1890.3</v>
      </c>
      <c r="N335" s="2">
        <f t="shared" si="26"/>
        <v>0</v>
      </c>
      <c r="O335" s="2">
        <f t="shared" si="27"/>
        <v>1890.3</v>
      </c>
      <c r="P335" s="1">
        <v>92</v>
      </c>
      <c r="Q335" s="2">
        <v>132.32</v>
      </c>
      <c r="R335" s="2">
        <f t="shared" si="28"/>
        <v>567.10000000000014</v>
      </c>
      <c r="S335" s="1" t="s">
        <v>1011</v>
      </c>
      <c r="T335" s="1" t="s">
        <v>1007</v>
      </c>
      <c r="U335" s="1" t="str">
        <f t="shared" si="29"/>
        <v>NO</v>
      </c>
    </row>
    <row r="336" spans="1:21" x14ac:dyDescent="0.3">
      <c r="A336" s="1" t="s">
        <v>521</v>
      </c>
      <c r="B336" s="1" t="s">
        <v>107</v>
      </c>
      <c r="C336" s="1" t="s">
        <v>108</v>
      </c>
      <c r="D336" s="1" t="s">
        <v>39</v>
      </c>
      <c r="E336" s="1" t="s">
        <v>1349</v>
      </c>
      <c r="F336" s="1" t="s">
        <v>1020</v>
      </c>
      <c r="G336" s="1" t="s">
        <v>1002</v>
      </c>
      <c r="H336" s="1">
        <v>2</v>
      </c>
      <c r="I336" s="1">
        <v>6</v>
      </c>
      <c r="J336" s="1" t="s">
        <v>2629</v>
      </c>
      <c r="K336" s="2">
        <v>191.93</v>
      </c>
      <c r="L336" s="6">
        <v>9</v>
      </c>
      <c r="M336" s="2">
        <f t="shared" si="25"/>
        <v>383.86</v>
      </c>
      <c r="N336" s="2">
        <f t="shared" si="26"/>
        <v>34.547400000000003</v>
      </c>
      <c r="O336" s="2">
        <f t="shared" si="27"/>
        <v>349.31260000000003</v>
      </c>
      <c r="P336" s="1">
        <v>251</v>
      </c>
      <c r="Q336" s="2">
        <v>134.35</v>
      </c>
      <c r="R336" s="2">
        <f t="shared" si="28"/>
        <v>80.612600000000043</v>
      </c>
      <c r="S336" s="1" t="s">
        <v>1011</v>
      </c>
      <c r="T336" s="1" t="s">
        <v>1004</v>
      </c>
      <c r="U336" s="1" t="str">
        <f t="shared" si="29"/>
        <v>NO</v>
      </c>
    </row>
    <row r="337" spans="1:21" x14ac:dyDescent="0.3">
      <c r="A337" s="1" t="s">
        <v>522</v>
      </c>
      <c r="B337" s="1" t="s">
        <v>102</v>
      </c>
      <c r="C337" s="1" t="s">
        <v>103</v>
      </c>
      <c r="D337" s="1" t="s">
        <v>104</v>
      </c>
      <c r="E337" s="1" t="s">
        <v>1350</v>
      </c>
      <c r="F337" s="1" t="s">
        <v>1015</v>
      </c>
      <c r="G337" s="1" t="s">
        <v>1010</v>
      </c>
      <c r="H337" s="1">
        <v>14</v>
      </c>
      <c r="I337" s="1">
        <v>7</v>
      </c>
      <c r="J337" s="1" t="s">
        <v>2737</v>
      </c>
      <c r="K337" s="2">
        <v>357.86</v>
      </c>
      <c r="L337" s="6">
        <v>10</v>
      </c>
      <c r="M337" s="2">
        <f t="shared" si="25"/>
        <v>5010.04</v>
      </c>
      <c r="N337" s="2">
        <f t="shared" si="26"/>
        <v>501.00400000000002</v>
      </c>
      <c r="O337" s="2">
        <f t="shared" si="27"/>
        <v>4509.0360000000001</v>
      </c>
      <c r="P337" s="1">
        <v>165</v>
      </c>
      <c r="Q337" s="2">
        <v>250.5</v>
      </c>
      <c r="R337" s="2">
        <f t="shared" si="28"/>
        <v>1002.0360000000001</v>
      </c>
      <c r="S337" s="1" t="s">
        <v>1003</v>
      </c>
      <c r="T337" s="1" t="s">
        <v>1007</v>
      </c>
      <c r="U337" s="1" t="str">
        <f t="shared" si="29"/>
        <v>NO</v>
      </c>
    </row>
    <row r="338" spans="1:21" x14ac:dyDescent="0.3">
      <c r="A338" s="1" t="s">
        <v>523</v>
      </c>
      <c r="B338" s="1" t="s">
        <v>57</v>
      </c>
      <c r="C338" s="1" t="s">
        <v>58</v>
      </c>
      <c r="D338" s="1" t="s">
        <v>59</v>
      </c>
      <c r="E338" s="1" t="s">
        <v>1351</v>
      </c>
      <c r="F338" s="1" t="s">
        <v>1027</v>
      </c>
      <c r="G338" s="1" t="s">
        <v>1023</v>
      </c>
      <c r="H338" s="1">
        <v>9</v>
      </c>
      <c r="I338" s="1">
        <v>1</v>
      </c>
      <c r="J338" s="1" t="s">
        <v>2704</v>
      </c>
      <c r="K338" s="2">
        <v>270.02999999999997</v>
      </c>
      <c r="L338" s="6">
        <v>17</v>
      </c>
      <c r="M338" s="2">
        <f t="shared" si="25"/>
        <v>2430.2699999999995</v>
      </c>
      <c r="N338" s="2">
        <f t="shared" si="26"/>
        <v>413.14589999999987</v>
      </c>
      <c r="O338" s="2">
        <f t="shared" si="27"/>
        <v>2017.1240999999995</v>
      </c>
      <c r="P338" s="1">
        <v>109</v>
      </c>
      <c r="Q338" s="2">
        <v>189.02</v>
      </c>
      <c r="R338" s="2">
        <f t="shared" si="28"/>
        <v>315.94409999999948</v>
      </c>
      <c r="S338" s="1" t="s">
        <v>1003</v>
      </c>
      <c r="T338" s="1" t="s">
        <v>1004</v>
      </c>
      <c r="U338" s="1" t="str">
        <f t="shared" si="29"/>
        <v>NO</v>
      </c>
    </row>
    <row r="339" spans="1:21" x14ac:dyDescent="0.3">
      <c r="A339" s="1" t="s">
        <v>524</v>
      </c>
      <c r="B339" s="1" t="s">
        <v>118</v>
      </c>
      <c r="C339" s="1" t="s">
        <v>119</v>
      </c>
      <c r="D339" s="1" t="s">
        <v>97</v>
      </c>
      <c r="E339" s="1" t="s">
        <v>1352</v>
      </c>
      <c r="F339" s="1" t="s">
        <v>1006</v>
      </c>
      <c r="G339" s="1" t="s">
        <v>1002</v>
      </c>
      <c r="H339" s="1">
        <v>6</v>
      </c>
      <c r="I339" s="1">
        <v>2</v>
      </c>
      <c r="J339" s="1" t="s">
        <v>2738</v>
      </c>
      <c r="K339" s="2">
        <v>357.18</v>
      </c>
      <c r="L339" s="6">
        <v>3</v>
      </c>
      <c r="M339" s="2">
        <f t="shared" si="25"/>
        <v>2143.08</v>
      </c>
      <c r="N339" s="2">
        <f t="shared" si="26"/>
        <v>64.292400000000001</v>
      </c>
      <c r="O339" s="2">
        <f t="shared" si="27"/>
        <v>2078.7876000000001</v>
      </c>
      <c r="P339" s="1">
        <v>49</v>
      </c>
      <c r="Q339" s="2">
        <v>250.03</v>
      </c>
      <c r="R339" s="2">
        <f t="shared" si="28"/>
        <v>578.60760000000005</v>
      </c>
      <c r="S339" s="1" t="s">
        <v>1003</v>
      </c>
      <c r="T339" s="1" t="s">
        <v>1007</v>
      </c>
      <c r="U339" s="1" t="str">
        <f t="shared" si="29"/>
        <v>NO</v>
      </c>
    </row>
    <row r="340" spans="1:21" x14ac:dyDescent="0.3">
      <c r="A340" s="1" t="s">
        <v>525</v>
      </c>
      <c r="B340" s="1" t="s">
        <v>299</v>
      </c>
      <c r="C340" s="1" t="s">
        <v>300</v>
      </c>
      <c r="D340" s="1" t="s">
        <v>39</v>
      </c>
      <c r="E340" s="1" t="s">
        <v>1353</v>
      </c>
      <c r="F340" s="1" t="s">
        <v>1015</v>
      </c>
      <c r="G340" s="1" t="s">
        <v>1010</v>
      </c>
      <c r="H340" s="1">
        <v>9</v>
      </c>
      <c r="I340" s="1">
        <v>7</v>
      </c>
      <c r="J340" s="1" t="s">
        <v>2689</v>
      </c>
      <c r="K340" s="2">
        <v>76.41</v>
      </c>
      <c r="L340" s="6">
        <v>18</v>
      </c>
      <c r="M340" s="2">
        <f t="shared" si="25"/>
        <v>687.68999999999994</v>
      </c>
      <c r="N340" s="2">
        <f t="shared" si="26"/>
        <v>123.78419999999998</v>
      </c>
      <c r="O340" s="2">
        <f t="shared" si="27"/>
        <v>563.9058</v>
      </c>
      <c r="P340" s="1">
        <v>109</v>
      </c>
      <c r="Q340" s="2">
        <v>53.49</v>
      </c>
      <c r="R340" s="2">
        <f t="shared" si="28"/>
        <v>82.495799999999974</v>
      </c>
      <c r="S340" s="1" t="s">
        <v>1016</v>
      </c>
      <c r="T340" s="1" t="s">
        <v>1004</v>
      </c>
      <c r="U340" s="1" t="str">
        <f t="shared" si="29"/>
        <v>YES</v>
      </c>
    </row>
    <row r="341" spans="1:21" x14ac:dyDescent="0.3">
      <c r="A341" s="1" t="s">
        <v>526</v>
      </c>
      <c r="B341" s="1" t="s">
        <v>95</v>
      </c>
      <c r="C341" s="1" t="s">
        <v>96</v>
      </c>
      <c r="D341" s="1" t="s">
        <v>97</v>
      </c>
      <c r="E341" s="1" t="s">
        <v>1354</v>
      </c>
      <c r="F341" s="1" t="s">
        <v>1027</v>
      </c>
      <c r="G341" s="1" t="s">
        <v>1010</v>
      </c>
      <c r="H341" s="1">
        <v>5</v>
      </c>
      <c r="I341" s="1">
        <v>5</v>
      </c>
      <c r="J341" s="1" t="s">
        <v>2739</v>
      </c>
      <c r="K341" s="2">
        <v>131.4</v>
      </c>
      <c r="L341" s="6">
        <v>7</v>
      </c>
      <c r="M341" s="2">
        <f t="shared" si="25"/>
        <v>657</v>
      </c>
      <c r="N341" s="2">
        <f t="shared" si="26"/>
        <v>45.99</v>
      </c>
      <c r="O341" s="2">
        <f t="shared" si="27"/>
        <v>611.01</v>
      </c>
      <c r="P341" s="1">
        <v>232</v>
      </c>
      <c r="Q341" s="2">
        <v>91.98</v>
      </c>
      <c r="R341" s="2">
        <f t="shared" si="28"/>
        <v>151.10999999999996</v>
      </c>
      <c r="S341" s="1" t="s">
        <v>1003</v>
      </c>
      <c r="T341" s="1" t="s">
        <v>1004</v>
      </c>
      <c r="U341" s="1" t="str">
        <f t="shared" si="29"/>
        <v>NO</v>
      </c>
    </row>
    <row r="342" spans="1:21" x14ac:dyDescent="0.3">
      <c r="A342" s="1" t="s">
        <v>527</v>
      </c>
      <c r="B342" s="1" t="s">
        <v>192</v>
      </c>
      <c r="C342" s="1" t="s">
        <v>193</v>
      </c>
      <c r="D342" s="1" t="s">
        <v>85</v>
      </c>
      <c r="E342" s="1" t="s">
        <v>1355</v>
      </c>
      <c r="F342" s="1" t="s">
        <v>1015</v>
      </c>
      <c r="G342" s="1" t="s">
        <v>1002</v>
      </c>
      <c r="H342" s="1">
        <v>8</v>
      </c>
      <c r="I342" s="1">
        <v>4</v>
      </c>
      <c r="J342" s="1" t="s">
        <v>2740</v>
      </c>
      <c r="K342" s="2">
        <v>73.67</v>
      </c>
      <c r="L342" s="6">
        <v>17</v>
      </c>
      <c r="M342" s="2">
        <f t="shared" si="25"/>
        <v>589.36</v>
      </c>
      <c r="N342" s="2">
        <f t="shared" si="26"/>
        <v>100.19120000000001</v>
      </c>
      <c r="O342" s="2">
        <f t="shared" si="27"/>
        <v>489.16880000000003</v>
      </c>
      <c r="P342" s="1">
        <v>57</v>
      </c>
      <c r="Q342" s="2">
        <v>51.57</v>
      </c>
      <c r="R342" s="2">
        <f t="shared" si="28"/>
        <v>76.608800000000031</v>
      </c>
      <c r="S342" s="1" t="s">
        <v>1016</v>
      </c>
      <c r="T342" s="1" t="s">
        <v>1007</v>
      </c>
      <c r="U342" s="1" t="str">
        <f t="shared" si="29"/>
        <v>YES</v>
      </c>
    </row>
    <row r="343" spans="1:21" x14ac:dyDescent="0.3">
      <c r="A343" s="1" t="s">
        <v>528</v>
      </c>
      <c r="B343" s="1" t="s">
        <v>166</v>
      </c>
      <c r="C343" s="1" t="s">
        <v>167</v>
      </c>
      <c r="D343" s="1" t="s">
        <v>59</v>
      </c>
      <c r="E343" s="1" t="s">
        <v>1356</v>
      </c>
      <c r="F343" s="1" t="s">
        <v>1001</v>
      </c>
      <c r="G343" s="1" t="s">
        <v>1023</v>
      </c>
      <c r="H343" s="1">
        <v>3</v>
      </c>
      <c r="I343" s="1">
        <v>1</v>
      </c>
      <c r="J343" s="1" t="s">
        <v>2741</v>
      </c>
      <c r="K343" s="2">
        <v>411.44</v>
      </c>
      <c r="L343" s="6">
        <v>17</v>
      </c>
      <c r="M343" s="2">
        <f t="shared" si="25"/>
        <v>1234.32</v>
      </c>
      <c r="N343" s="2">
        <f t="shared" si="26"/>
        <v>209.83439999999999</v>
      </c>
      <c r="O343" s="2">
        <f t="shared" si="27"/>
        <v>1024.4856</v>
      </c>
      <c r="P343" s="1">
        <v>124</v>
      </c>
      <c r="Q343" s="2">
        <v>288.01</v>
      </c>
      <c r="R343" s="2">
        <f t="shared" si="28"/>
        <v>160.4556</v>
      </c>
      <c r="S343" s="1" t="s">
        <v>1016</v>
      </c>
      <c r="T343" s="1" t="s">
        <v>1007</v>
      </c>
      <c r="U343" s="1" t="str">
        <f t="shared" si="29"/>
        <v>YES</v>
      </c>
    </row>
    <row r="344" spans="1:21" x14ac:dyDescent="0.3">
      <c r="A344" s="1" t="s">
        <v>529</v>
      </c>
      <c r="B344" s="1" t="s">
        <v>45</v>
      </c>
      <c r="C344" s="1" t="s">
        <v>46</v>
      </c>
      <c r="D344" s="1" t="s">
        <v>47</v>
      </c>
      <c r="E344" s="1" t="s">
        <v>1357</v>
      </c>
      <c r="F344" s="1" t="s">
        <v>1013</v>
      </c>
      <c r="G344" s="1" t="s">
        <v>1002</v>
      </c>
      <c r="H344" s="1">
        <v>5</v>
      </c>
      <c r="I344" s="1">
        <v>6</v>
      </c>
      <c r="J344" s="1" t="s">
        <v>2742</v>
      </c>
      <c r="K344" s="2">
        <v>386.72</v>
      </c>
      <c r="L344" s="6">
        <v>5</v>
      </c>
      <c r="M344" s="2">
        <f t="shared" si="25"/>
        <v>1933.6000000000001</v>
      </c>
      <c r="N344" s="2">
        <f t="shared" si="26"/>
        <v>96.68</v>
      </c>
      <c r="O344" s="2">
        <f t="shared" si="27"/>
        <v>1836.92</v>
      </c>
      <c r="P344" s="1">
        <v>258</v>
      </c>
      <c r="Q344" s="2">
        <v>270.7</v>
      </c>
      <c r="R344" s="2">
        <f t="shared" si="28"/>
        <v>483.42000000000007</v>
      </c>
      <c r="S344" s="1" t="s">
        <v>1016</v>
      </c>
      <c r="T344" s="1" t="s">
        <v>1007</v>
      </c>
      <c r="U344" s="1" t="str">
        <f t="shared" si="29"/>
        <v>YES</v>
      </c>
    </row>
    <row r="345" spans="1:21" x14ac:dyDescent="0.3">
      <c r="A345" s="1" t="s">
        <v>530</v>
      </c>
      <c r="B345" s="1" t="s">
        <v>192</v>
      </c>
      <c r="C345" s="1" t="s">
        <v>193</v>
      </c>
      <c r="D345" s="1" t="s">
        <v>85</v>
      </c>
      <c r="E345" s="1" t="s">
        <v>1358</v>
      </c>
      <c r="F345" s="1" t="s">
        <v>1013</v>
      </c>
      <c r="G345" s="1" t="s">
        <v>1023</v>
      </c>
      <c r="H345" s="1">
        <v>10</v>
      </c>
      <c r="I345" s="1">
        <v>1</v>
      </c>
      <c r="J345" s="1" t="s">
        <v>2743</v>
      </c>
      <c r="K345" s="2">
        <v>320.32</v>
      </c>
      <c r="L345" s="6">
        <v>12</v>
      </c>
      <c r="M345" s="2">
        <f t="shared" si="25"/>
        <v>3203.2</v>
      </c>
      <c r="N345" s="2">
        <f t="shared" si="26"/>
        <v>384.38399999999996</v>
      </c>
      <c r="O345" s="2">
        <f t="shared" si="27"/>
        <v>2818.8159999999998</v>
      </c>
      <c r="P345" s="1">
        <v>189</v>
      </c>
      <c r="Q345" s="2">
        <v>224.22</v>
      </c>
      <c r="R345" s="2">
        <f t="shared" si="28"/>
        <v>576.61599999999999</v>
      </c>
      <c r="S345" s="1" t="s">
        <v>1003</v>
      </c>
      <c r="T345" s="1" t="s">
        <v>1004</v>
      </c>
      <c r="U345" s="1" t="str">
        <f t="shared" si="29"/>
        <v>NO</v>
      </c>
    </row>
    <row r="346" spans="1:21" x14ac:dyDescent="0.3">
      <c r="A346" s="1" t="s">
        <v>531</v>
      </c>
      <c r="B346" s="1" t="s">
        <v>45</v>
      </c>
      <c r="C346" s="1" t="s">
        <v>46</v>
      </c>
      <c r="D346" s="1" t="s">
        <v>47</v>
      </c>
      <c r="E346" s="1" t="s">
        <v>1359</v>
      </c>
      <c r="F346" s="1" t="s">
        <v>1006</v>
      </c>
      <c r="G346" s="1" t="s">
        <v>1002</v>
      </c>
      <c r="H346" s="1">
        <v>13</v>
      </c>
      <c r="I346" s="1">
        <v>1</v>
      </c>
      <c r="J346" s="1" t="s">
        <v>2744</v>
      </c>
      <c r="K346" s="2">
        <v>316.45999999999998</v>
      </c>
      <c r="L346" s="6">
        <v>21</v>
      </c>
      <c r="M346" s="2">
        <f t="shared" si="25"/>
        <v>4113.9799999999996</v>
      </c>
      <c r="N346" s="2">
        <f t="shared" si="26"/>
        <v>863.93579999999986</v>
      </c>
      <c r="O346" s="2">
        <f t="shared" si="27"/>
        <v>3250.0441999999998</v>
      </c>
      <c r="P346" s="1">
        <v>92</v>
      </c>
      <c r="Q346" s="2">
        <v>221.52</v>
      </c>
      <c r="R346" s="2">
        <f t="shared" si="28"/>
        <v>370.2841999999996</v>
      </c>
      <c r="S346" s="1" t="s">
        <v>1016</v>
      </c>
      <c r="T346" s="1" t="s">
        <v>1004</v>
      </c>
      <c r="U346" s="1" t="str">
        <f t="shared" si="29"/>
        <v>YES</v>
      </c>
    </row>
    <row r="347" spans="1:21" x14ac:dyDescent="0.3">
      <c r="A347" s="1" t="s">
        <v>532</v>
      </c>
      <c r="B347" s="1" t="s">
        <v>172</v>
      </c>
      <c r="C347" s="1" t="s">
        <v>173</v>
      </c>
      <c r="D347" s="1" t="s">
        <v>132</v>
      </c>
      <c r="E347" s="1" t="s">
        <v>1360</v>
      </c>
      <c r="F347" s="1" t="s">
        <v>1001</v>
      </c>
      <c r="G347" s="1" t="s">
        <v>1010</v>
      </c>
      <c r="H347" s="1">
        <v>8</v>
      </c>
      <c r="I347" s="1">
        <v>4</v>
      </c>
      <c r="J347" s="1" t="s">
        <v>2745</v>
      </c>
      <c r="K347" s="2">
        <v>446.07</v>
      </c>
      <c r="L347" s="6">
        <v>20</v>
      </c>
      <c r="M347" s="2">
        <f t="shared" si="25"/>
        <v>3568.56</v>
      </c>
      <c r="N347" s="2">
        <f t="shared" si="26"/>
        <v>713.71199999999999</v>
      </c>
      <c r="O347" s="2">
        <f t="shared" si="27"/>
        <v>2854.848</v>
      </c>
      <c r="P347" s="1">
        <v>72</v>
      </c>
      <c r="Q347" s="2">
        <v>312.25</v>
      </c>
      <c r="R347" s="2">
        <f t="shared" si="28"/>
        <v>356.84799999999996</v>
      </c>
      <c r="S347" s="1" t="s">
        <v>1011</v>
      </c>
      <c r="T347" s="1" t="s">
        <v>1007</v>
      </c>
      <c r="U347" s="1" t="str">
        <f t="shared" si="29"/>
        <v>NO</v>
      </c>
    </row>
    <row r="348" spans="1:21" x14ac:dyDescent="0.3">
      <c r="A348" s="1" t="s">
        <v>533</v>
      </c>
      <c r="B348" s="1" t="s">
        <v>52</v>
      </c>
      <c r="C348" s="1" t="s">
        <v>53</v>
      </c>
      <c r="D348" s="1" t="s">
        <v>47</v>
      </c>
      <c r="E348" s="1" t="s">
        <v>1361</v>
      </c>
      <c r="F348" s="1" t="s">
        <v>1009</v>
      </c>
      <c r="G348" s="1" t="s">
        <v>1023</v>
      </c>
      <c r="H348" s="1">
        <v>2</v>
      </c>
      <c r="I348" s="1">
        <v>4</v>
      </c>
      <c r="J348" s="1" t="s">
        <v>2746</v>
      </c>
      <c r="K348" s="2">
        <v>91</v>
      </c>
      <c r="L348" s="6">
        <v>21</v>
      </c>
      <c r="M348" s="2">
        <f t="shared" si="25"/>
        <v>182</v>
      </c>
      <c r="N348" s="2">
        <f t="shared" si="26"/>
        <v>38.22</v>
      </c>
      <c r="O348" s="2">
        <f t="shared" si="27"/>
        <v>143.78</v>
      </c>
      <c r="P348" s="1">
        <v>141</v>
      </c>
      <c r="Q348" s="2">
        <v>63.7</v>
      </c>
      <c r="R348" s="2">
        <f t="shared" si="28"/>
        <v>16.379999999999995</v>
      </c>
      <c r="S348" s="1" t="s">
        <v>1011</v>
      </c>
      <c r="T348" s="1" t="s">
        <v>1004</v>
      </c>
      <c r="U348" s="1" t="str">
        <f t="shared" si="29"/>
        <v>NO</v>
      </c>
    </row>
    <row r="349" spans="1:21" x14ac:dyDescent="0.3">
      <c r="A349" s="1" t="s">
        <v>534</v>
      </c>
      <c r="B349" s="1" t="s">
        <v>63</v>
      </c>
      <c r="C349" s="1" t="s">
        <v>64</v>
      </c>
      <c r="D349" s="1" t="s">
        <v>28</v>
      </c>
      <c r="E349" s="1" t="s">
        <v>1362</v>
      </c>
      <c r="F349" s="1" t="s">
        <v>1001</v>
      </c>
      <c r="G349" s="1" t="s">
        <v>1023</v>
      </c>
      <c r="H349" s="1">
        <v>3</v>
      </c>
      <c r="I349" s="1">
        <v>7</v>
      </c>
      <c r="J349" s="1" t="s">
        <v>2747</v>
      </c>
      <c r="K349" s="2">
        <v>92.09</v>
      </c>
      <c r="L349" s="6">
        <v>7</v>
      </c>
      <c r="M349" s="2">
        <f t="shared" si="25"/>
        <v>276.27</v>
      </c>
      <c r="N349" s="2">
        <f t="shared" si="26"/>
        <v>19.338899999999999</v>
      </c>
      <c r="O349" s="2">
        <f t="shared" si="27"/>
        <v>256.93109999999996</v>
      </c>
      <c r="P349" s="1">
        <v>163</v>
      </c>
      <c r="Q349" s="2">
        <v>64.459999999999994</v>
      </c>
      <c r="R349" s="2">
        <f t="shared" si="28"/>
        <v>63.551099999999963</v>
      </c>
      <c r="S349" s="1" t="s">
        <v>1011</v>
      </c>
      <c r="T349" s="1" t="s">
        <v>1007</v>
      </c>
      <c r="U349" s="1" t="str">
        <f t="shared" si="29"/>
        <v>NO</v>
      </c>
    </row>
    <row r="350" spans="1:21" x14ac:dyDescent="0.3">
      <c r="A350" s="1" t="s">
        <v>535</v>
      </c>
      <c r="B350" s="1" t="s">
        <v>52</v>
      </c>
      <c r="C350" s="1" t="s">
        <v>53</v>
      </c>
      <c r="D350" s="1" t="s">
        <v>47</v>
      </c>
      <c r="E350" s="1" t="s">
        <v>1363</v>
      </c>
      <c r="F350" s="1" t="s">
        <v>1013</v>
      </c>
      <c r="G350" s="1" t="s">
        <v>1002</v>
      </c>
      <c r="H350" s="1">
        <v>9</v>
      </c>
      <c r="I350" s="1">
        <v>1</v>
      </c>
      <c r="J350" s="1" t="s">
        <v>2527</v>
      </c>
      <c r="K350" s="2">
        <v>370.81</v>
      </c>
      <c r="L350" s="6">
        <v>11</v>
      </c>
      <c r="M350" s="2">
        <f t="shared" si="25"/>
        <v>3337.29</v>
      </c>
      <c r="N350" s="2">
        <f t="shared" si="26"/>
        <v>367.1019</v>
      </c>
      <c r="O350" s="2">
        <f t="shared" si="27"/>
        <v>2970.1880999999998</v>
      </c>
      <c r="P350" s="1">
        <v>142</v>
      </c>
      <c r="Q350" s="2">
        <v>259.57</v>
      </c>
      <c r="R350" s="2">
        <f t="shared" si="28"/>
        <v>634.05809999999974</v>
      </c>
      <c r="S350" s="1" t="s">
        <v>1011</v>
      </c>
      <c r="T350" s="1" t="s">
        <v>1004</v>
      </c>
      <c r="U350" s="1" t="str">
        <f t="shared" si="29"/>
        <v>NO</v>
      </c>
    </row>
    <row r="351" spans="1:21" x14ac:dyDescent="0.3">
      <c r="A351" s="1" t="s">
        <v>536</v>
      </c>
      <c r="B351" s="1" t="s">
        <v>197</v>
      </c>
      <c r="C351" s="1" t="s">
        <v>198</v>
      </c>
      <c r="D351" s="1" t="s">
        <v>104</v>
      </c>
      <c r="E351" s="1" t="s">
        <v>1364</v>
      </c>
      <c r="F351" s="1" t="s">
        <v>1027</v>
      </c>
      <c r="G351" s="1" t="s">
        <v>1002</v>
      </c>
      <c r="H351" s="1">
        <v>2</v>
      </c>
      <c r="I351" s="1">
        <v>4</v>
      </c>
      <c r="J351" s="1" t="s">
        <v>2589</v>
      </c>
      <c r="K351" s="2">
        <v>419.7</v>
      </c>
      <c r="L351" s="6">
        <v>2</v>
      </c>
      <c r="M351" s="2">
        <f t="shared" si="25"/>
        <v>839.4</v>
      </c>
      <c r="N351" s="2">
        <f t="shared" si="26"/>
        <v>16.788</v>
      </c>
      <c r="O351" s="2">
        <f t="shared" si="27"/>
        <v>822.61199999999997</v>
      </c>
      <c r="P351" s="1">
        <v>181</v>
      </c>
      <c r="Q351" s="2">
        <v>293.79000000000002</v>
      </c>
      <c r="R351" s="2">
        <f t="shared" si="28"/>
        <v>235.03199999999993</v>
      </c>
      <c r="S351" s="1" t="s">
        <v>1011</v>
      </c>
      <c r="T351" s="1" t="s">
        <v>1004</v>
      </c>
      <c r="U351" s="1" t="str">
        <f t="shared" si="29"/>
        <v>NO</v>
      </c>
    </row>
    <row r="352" spans="1:21" x14ac:dyDescent="0.3">
      <c r="A352" s="1" t="s">
        <v>537</v>
      </c>
      <c r="B352" s="1" t="s">
        <v>63</v>
      </c>
      <c r="C352" s="1" t="s">
        <v>64</v>
      </c>
      <c r="D352" s="1" t="s">
        <v>28</v>
      </c>
      <c r="E352" s="1" t="s">
        <v>1365</v>
      </c>
      <c r="F352" s="1" t="s">
        <v>1020</v>
      </c>
      <c r="G352" s="1" t="s">
        <v>1023</v>
      </c>
      <c r="H352" s="1">
        <v>2</v>
      </c>
      <c r="I352" s="1">
        <v>5</v>
      </c>
      <c r="J352" s="1" t="s">
        <v>2666</v>
      </c>
      <c r="K352" s="2">
        <v>492.32</v>
      </c>
      <c r="L352" s="6">
        <v>1</v>
      </c>
      <c r="M352" s="2">
        <f t="shared" si="25"/>
        <v>984.64</v>
      </c>
      <c r="N352" s="2">
        <f t="shared" si="26"/>
        <v>9.8463999999999992</v>
      </c>
      <c r="O352" s="2">
        <f t="shared" si="27"/>
        <v>974.79359999999997</v>
      </c>
      <c r="P352" s="1">
        <v>140</v>
      </c>
      <c r="Q352" s="2">
        <v>344.62</v>
      </c>
      <c r="R352" s="2">
        <f t="shared" si="28"/>
        <v>285.55359999999996</v>
      </c>
      <c r="S352" s="1" t="s">
        <v>1011</v>
      </c>
      <c r="T352" s="1" t="s">
        <v>1007</v>
      </c>
      <c r="U352" s="1" t="str">
        <f t="shared" si="29"/>
        <v>NO</v>
      </c>
    </row>
    <row r="353" spans="1:21" x14ac:dyDescent="0.3">
      <c r="A353" s="1" t="s">
        <v>538</v>
      </c>
      <c r="B353" s="1" t="s">
        <v>118</v>
      </c>
      <c r="C353" s="1" t="s">
        <v>119</v>
      </c>
      <c r="D353" s="1" t="s">
        <v>97</v>
      </c>
      <c r="E353" s="1" t="s">
        <v>1366</v>
      </c>
      <c r="F353" s="1" t="s">
        <v>1027</v>
      </c>
      <c r="G353" s="1" t="s">
        <v>1002</v>
      </c>
      <c r="H353" s="1">
        <v>3</v>
      </c>
      <c r="I353" s="1">
        <v>4</v>
      </c>
      <c r="J353" s="1" t="s">
        <v>2748</v>
      </c>
      <c r="K353" s="2">
        <v>291.89</v>
      </c>
      <c r="L353" s="6">
        <v>19</v>
      </c>
      <c r="M353" s="2">
        <f t="shared" si="25"/>
        <v>875.67</v>
      </c>
      <c r="N353" s="2">
        <f t="shared" si="26"/>
        <v>166.37729999999999</v>
      </c>
      <c r="O353" s="2">
        <f t="shared" si="27"/>
        <v>709.29269999999997</v>
      </c>
      <c r="P353" s="1">
        <v>238</v>
      </c>
      <c r="Q353" s="2">
        <v>204.32</v>
      </c>
      <c r="R353" s="2">
        <f t="shared" si="28"/>
        <v>96.332699999999932</v>
      </c>
      <c r="S353" s="1" t="s">
        <v>1003</v>
      </c>
      <c r="T353" s="1" t="s">
        <v>1004</v>
      </c>
      <c r="U353" s="1" t="str">
        <f t="shared" si="29"/>
        <v>NO</v>
      </c>
    </row>
    <row r="354" spans="1:21" x14ac:dyDescent="0.3">
      <c r="A354" s="1" t="s">
        <v>539</v>
      </c>
      <c r="B354" s="1" t="s">
        <v>143</v>
      </c>
      <c r="C354" s="1" t="s">
        <v>144</v>
      </c>
      <c r="D354" s="1" t="s">
        <v>47</v>
      </c>
      <c r="E354" s="1" t="s">
        <v>1367</v>
      </c>
      <c r="F354" s="1" t="s">
        <v>1013</v>
      </c>
      <c r="G354" s="1" t="s">
        <v>1023</v>
      </c>
      <c r="H354" s="1">
        <v>11</v>
      </c>
      <c r="I354" s="1">
        <v>6</v>
      </c>
      <c r="J354" s="1" t="s">
        <v>2670</v>
      </c>
      <c r="K354" s="2">
        <v>61.9</v>
      </c>
      <c r="L354" s="6">
        <v>9</v>
      </c>
      <c r="M354" s="2">
        <f t="shared" si="25"/>
        <v>680.9</v>
      </c>
      <c r="N354" s="2">
        <f t="shared" si="26"/>
        <v>61.280999999999992</v>
      </c>
      <c r="O354" s="2">
        <f t="shared" si="27"/>
        <v>619.61900000000003</v>
      </c>
      <c r="P354" s="1">
        <v>216</v>
      </c>
      <c r="Q354" s="2">
        <v>43.33</v>
      </c>
      <c r="R354" s="2">
        <f t="shared" si="28"/>
        <v>142.98900000000003</v>
      </c>
      <c r="S354" s="1" t="s">
        <v>1016</v>
      </c>
      <c r="T354" s="1" t="s">
        <v>1007</v>
      </c>
      <c r="U354" s="1" t="str">
        <f t="shared" si="29"/>
        <v>YES</v>
      </c>
    </row>
    <row r="355" spans="1:21" x14ac:dyDescent="0.3">
      <c r="A355" s="1" t="s">
        <v>540</v>
      </c>
      <c r="B355" s="1" t="s">
        <v>166</v>
      </c>
      <c r="C355" s="1" t="s">
        <v>167</v>
      </c>
      <c r="D355" s="1" t="s">
        <v>59</v>
      </c>
      <c r="E355" s="1" t="s">
        <v>1368</v>
      </c>
      <c r="F355" s="1" t="s">
        <v>1001</v>
      </c>
      <c r="G355" s="1" t="s">
        <v>1023</v>
      </c>
      <c r="H355" s="1">
        <v>1</v>
      </c>
      <c r="I355" s="1">
        <v>2</v>
      </c>
      <c r="J355" s="1" t="s">
        <v>2617</v>
      </c>
      <c r="K355" s="2">
        <v>464.69</v>
      </c>
      <c r="L355" s="6">
        <v>9</v>
      </c>
      <c r="M355" s="2">
        <f t="shared" si="25"/>
        <v>464.69</v>
      </c>
      <c r="N355" s="2">
        <f t="shared" si="26"/>
        <v>41.822099999999999</v>
      </c>
      <c r="O355" s="2">
        <f t="shared" si="27"/>
        <v>422.86790000000002</v>
      </c>
      <c r="P355" s="1">
        <v>140</v>
      </c>
      <c r="Q355" s="2">
        <v>325.27999999999997</v>
      </c>
      <c r="R355" s="2">
        <f t="shared" si="28"/>
        <v>97.587900000000047</v>
      </c>
      <c r="S355" s="1" t="s">
        <v>1003</v>
      </c>
      <c r="T355" s="1" t="s">
        <v>1004</v>
      </c>
      <c r="U355" s="1" t="str">
        <f t="shared" si="29"/>
        <v>NO</v>
      </c>
    </row>
    <row r="356" spans="1:21" x14ac:dyDescent="0.3">
      <c r="A356" s="1" t="s">
        <v>541</v>
      </c>
      <c r="B356" s="1" t="s">
        <v>63</v>
      </c>
      <c r="C356" s="1" t="s">
        <v>64</v>
      </c>
      <c r="D356" s="1" t="s">
        <v>28</v>
      </c>
      <c r="E356" s="1" t="s">
        <v>1369</v>
      </c>
      <c r="F356" s="1" t="s">
        <v>1009</v>
      </c>
      <c r="G356" s="1" t="s">
        <v>1023</v>
      </c>
      <c r="H356" s="1">
        <v>10</v>
      </c>
      <c r="I356" s="1">
        <v>5</v>
      </c>
      <c r="J356" s="1" t="s">
        <v>2686</v>
      </c>
      <c r="K356" s="2">
        <v>395.33</v>
      </c>
      <c r="L356" s="6">
        <v>3</v>
      </c>
      <c r="M356" s="2">
        <f t="shared" si="25"/>
        <v>3953.2999999999997</v>
      </c>
      <c r="N356" s="2">
        <f t="shared" si="26"/>
        <v>118.59899999999999</v>
      </c>
      <c r="O356" s="2">
        <f t="shared" si="27"/>
        <v>3834.7009999999996</v>
      </c>
      <c r="P356" s="1">
        <v>235</v>
      </c>
      <c r="Q356" s="2">
        <v>276.73</v>
      </c>
      <c r="R356" s="2">
        <f t="shared" si="28"/>
        <v>1067.4009999999994</v>
      </c>
      <c r="S356" s="1" t="s">
        <v>1016</v>
      </c>
      <c r="T356" s="1" t="s">
        <v>1004</v>
      </c>
      <c r="U356" s="1" t="str">
        <f t="shared" si="29"/>
        <v>YES</v>
      </c>
    </row>
    <row r="357" spans="1:21" x14ac:dyDescent="0.3">
      <c r="A357" s="1" t="s">
        <v>542</v>
      </c>
      <c r="B357" s="1" t="s">
        <v>72</v>
      </c>
      <c r="C357" s="1" t="s">
        <v>73</v>
      </c>
      <c r="D357" s="1" t="s">
        <v>47</v>
      </c>
      <c r="E357" s="1" t="s">
        <v>1370</v>
      </c>
      <c r="F357" s="1" t="s">
        <v>1020</v>
      </c>
      <c r="G357" s="1" t="s">
        <v>1010</v>
      </c>
      <c r="H357" s="1">
        <v>12</v>
      </c>
      <c r="I357" s="1">
        <v>5</v>
      </c>
      <c r="J357" s="1" t="s">
        <v>2691</v>
      </c>
      <c r="K357" s="2">
        <v>277.91000000000003</v>
      </c>
      <c r="L357" s="6">
        <v>17</v>
      </c>
      <c r="M357" s="2">
        <f t="shared" si="25"/>
        <v>3334.92</v>
      </c>
      <c r="N357" s="2">
        <f t="shared" si="26"/>
        <v>566.93640000000005</v>
      </c>
      <c r="O357" s="2">
        <f t="shared" si="27"/>
        <v>2767.9836</v>
      </c>
      <c r="P357" s="1">
        <v>110</v>
      </c>
      <c r="Q357" s="2">
        <v>194.54</v>
      </c>
      <c r="R357" s="2">
        <f t="shared" si="28"/>
        <v>433.50360000000001</v>
      </c>
      <c r="S357" s="1" t="s">
        <v>1011</v>
      </c>
      <c r="T357" s="1" t="s">
        <v>1004</v>
      </c>
      <c r="U357" s="1" t="str">
        <f t="shared" si="29"/>
        <v>NO</v>
      </c>
    </row>
    <row r="358" spans="1:21" x14ac:dyDescent="0.3">
      <c r="A358" s="1" t="s">
        <v>543</v>
      </c>
      <c r="B358" s="1" t="s">
        <v>45</v>
      </c>
      <c r="C358" s="1" t="s">
        <v>46</v>
      </c>
      <c r="D358" s="1" t="s">
        <v>47</v>
      </c>
      <c r="E358" s="1" t="s">
        <v>1371</v>
      </c>
      <c r="F358" s="1" t="s">
        <v>1015</v>
      </c>
      <c r="G358" s="1" t="s">
        <v>1002</v>
      </c>
      <c r="H358" s="1">
        <v>6</v>
      </c>
      <c r="I358" s="1">
        <v>5</v>
      </c>
      <c r="J358" s="1" t="s">
        <v>2660</v>
      </c>
      <c r="K358" s="2">
        <v>248.06</v>
      </c>
      <c r="L358" s="6">
        <v>15</v>
      </c>
      <c r="M358" s="2">
        <f t="shared" si="25"/>
        <v>1488.3600000000001</v>
      </c>
      <c r="N358" s="2">
        <f t="shared" si="26"/>
        <v>223.25400000000002</v>
      </c>
      <c r="O358" s="2">
        <f t="shared" si="27"/>
        <v>1265.1060000000002</v>
      </c>
      <c r="P358" s="1">
        <v>69</v>
      </c>
      <c r="Q358" s="2">
        <v>173.64</v>
      </c>
      <c r="R358" s="2">
        <f t="shared" si="28"/>
        <v>223.2660000000003</v>
      </c>
      <c r="S358" s="1" t="s">
        <v>1016</v>
      </c>
      <c r="T358" s="1" t="s">
        <v>1004</v>
      </c>
      <c r="U358" s="1" t="str">
        <f t="shared" si="29"/>
        <v>YES</v>
      </c>
    </row>
    <row r="359" spans="1:21" x14ac:dyDescent="0.3">
      <c r="A359" s="1" t="s">
        <v>544</v>
      </c>
      <c r="B359" s="1" t="s">
        <v>57</v>
      </c>
      <c r="C359" s="1" t="s">
        <v>58</v>
      </c>
      <c r="D359" s="1" t="s">
        <v>59</v>
      </c>
      <c r="E359" s="1" t="s">
        <v>1372</v>
      </c>
      <c r="F359" s="1" t="s">
        <v>1001</v>
      </c>
      <c r="G359" s="1" t="s">
        <v>1010</v>
      </c>
      <c r="H359" s="1">
        <v>4</v>
      </c>
      <c r="I359" s="1">
        <v>6</v>
      </c>
      <c r="J359" s="1" t="s">
        <v>2644</v>
      </c>
      <c r="K359" s="2">
        <v>341.18</v>
      </c>
      <c r="L359" s="6">
        <v>5</v>
      </c>
      <c r="M359" s="2">
        <f t="shared" si="25"/>
        <v>1364.72</v>
      </c>
      <c r="N359" s="2">
        <f t="shared" si="26"/>
        <v>68.236000000000004</v>
      </c>
      <c r="O359" s="2">
        <f t="shared" si="27"/>
        <v>1296.4839999999999</v>
      </c>
      <c r="P359" s="1">
        <v>85</v>
      </c>
      <c r="Q359" s="2">
        <v>238.83</v>
      </c>
      <c r="R359" s="2">
        <f t="shared" si="28"/>
        <v>341.16399999999987</v>
      </c>
      <c r="S359" s="1" t="s">
        <v>1016</v>
      </c>
      <c r="T359" s="1" t="s">
        <v>1007</v>
      </c>
      <c r="U359" s="1" t="str">
        <f t="shared" si="29"/>
        <v>YES</v>
      </c>
    </row>
    <row r="360" spans="1:21" x14ac:dyDescent="0.3">
      <c r="A360" s="1" t="s">
        <v>545</v>
      </c>
      <c r="B360" s="1" t="s">
        <v>57</v>
      </c>
      <c r="C360" s="1" t="s">
        <v>58</v>
      </c>
      <c r="D360" s="1" t="s">
        <v>59</v>
      </c>
      <c r="E360" s="1" t="s">
        <v>1373</v>
      </c>
      <c r="F360" s="1" t="s">
        <v>1009</v>
      </c>
      <c r="G360" s="1" t="s">
        <v>1023</v>
      </c>
      <c r="H360" s="1">
        <v>13</v>
      </c>
      <c r="I360" s="1">
        <v>2</v>
      </c>
      <c r="J360" s="1" t="s">
        <v>2529</v>
      </c>
      <c r="K360" s="2">
        <v>193.6</v>
      </c>
      <c r="L360" s="6">
        <v>24</v>
      </c>
      <c r="M360" s="2">
        <f t="shared" si="25"/>
        <v>2516.7999999999997</v>
      </c>
      <c r="N360" s="2">
        <f t="shared" si="26"/>
        <v>604.03199999999993</v>
      </c>
      <c r="O360" s="2">
        <f t="shared" si="27"/>
        <v>1912.7679999999998</v>
      </c>
      <c r="P360" s="1">
        <v>282</v>
      </c>
      <c r="Q360" s="2">
        <v>135.52000000000001</v>
      </c>
      <c r="R360" s="2">
        <f t="shared" si="28"/>
        <v>151.00799999999958</v>
      </c>
      <c r="S360" s="1" t="s">
        <v>1003</v>
      </c>
      <c r="T360" s="1" t="s">
        <v>1007</v>
      </c>
      <c r="U360" s="1" t="str">
        <f t="shared" si="29"/>
        <v>NO</v>
      </c>
    </row>
    <row r="361" spans="1:21" x14ac:dyDescent="0.3">
      <c r="A361" s="1" t="s">
        <v>546</v>
      </c>
      <c r="B361" s="1" t="s">
        <v>57</v>
      </c>
      <c r="C361" s="1" t="s">
        <v>58</v>
      </c>
      <c r="D361" s="1" t="s">
        <v>59</v>
      </c>
      <c r="E361" s="1" t="s">
        <v>1374</v>
      </c>
      <c r="F361" s="1" t="s">
        <v>1001</v>
      </c>
      <c r="G361" s="1" t="s">
        <v>1023</v>
      </c>
      <c r="H361" s="1">
        <v>13</v>
      </c>
      <c r="I361" s="1">
        <v>1</v>
      </c>
      <c r="J361" s="1" t="s">
        <v>2597</v>
      </c>
      <c r="K361" s="2">
        <v>479.73</v>
      </c>
      <c r="L361" s="6">
        <v>3</v>
      </c>
      <c r="M361" s="2">
        <f t="shared" si="25"/>
        <v>6236.49</v>
      </c>
      <c r="N361" s="2">
        <f t="shared" si="26"/>
        <v>187.09470000000002</v>
      </c>
      <c r="O361" s="2">
        <f t="shared" si="27"/>
        <v>6049.3953000000001</v>
      </c>
      <c r="P361" s="1">
        <v>111</v>
      </c>
      <c r="Q361" s="2">
        <v>335.81</v>
      </c>
      <c r="R361" s="2">
        <f t="shared" si="28"/>
        <v>1683.8653000000004</v>
      </c>
      <c r="S361" s="1" t="s">
        <v>1016</v>
      </c>
      <c r="T361" s="1" t="s">
        <v>1004</v>
      </c>
      <c r="U361" s="1" t="str">
        <f t="shared" si="29"/>
        <v>YES</v>
      </c>
    </row>
    <row r="362" spans="1:21" x14ac:dyDescent="0.3">
      <c r="A362" s="1" t="s">
        <v>547</v>
      </c>
      <c r="B362" s="1" t="s">
        <v>37</v>
      </c>
      <c r="C362" s="1" t="s">
        <v>38</v>
      </c>
      <c r="D362" s="1" t="s">
        <v>39</v>
      </c>
      <c r="E362" s="1" t="s">
        <v>1375</v>
      </c>
      <c r="F362" s="1" t="s">
        <v>1006</v>
      </c>
      <c r="G362" s="1" t="s">
        <v>1010</v>
      </c>
      <c r="H362" s="1">
        <v>7</v>
      </c>
      <c r="I362" s="1">
        <v>4</v>
      </c>
      <c r="J362" s="1" t="s">
        <v>2749</v>
      </c>
      <c r="K362" s="2">
        <v>412.37</v>
      </c>
      <c r="L362" s="6">
        <v>13</v>
      </c>
      <c r="M362" s="2">
        <f t="shared" si="25"/>
        <v>2886.59</v>
      </c>
      <c r="N362" s="2">
        <f t="shared" si="26"/>
        <v>375.25669999999997</v>
      </c>
      <c r="O362" s="2">
        <f t="shared" si="27"/>
        <v>2511.3333000000002</v>
      </c>
      <c r="P362" s="1">
        <v>156</v>
      </c>
      <c r="Q362" s="2">
        <v>288.66000000000003</v>
      </c>
      <c r="R362" s="2">
        <f t="shared" si="28"/>
        <v>490.71330000000012</v>
      </c>
      <c r="S362" s="1" t="s">
        <v>1003</v>
      </c>
      <c r="T362" s="1" t="s">
        <v>1004</v>
      </c>
      <c r="U362" s="1" t="str">
        <f t="shared" si="29"/>
        <v>NO</v>
      </c>
    </row>
    <row r="363" spans="1:21" x14ac:dyDescent="0.3">
      <c r="A363" s="1" t="s">
        <v>548</v>
      </c>
      <c r="B363" s="1" t="s">
        <v>262</v>
      </c>
      <c r="C363" s="1" t="s">
        <v>263</v>
      </c>
      <c r="D363" s="1" t="s">
        <v>104</v>
      </c>
      <c r="E363" s="1" t="s">
        <v>1376</v>
      </c>
      <c r="F363" s="1" t="s">
        <v>1015</v>
      </c>
      <c r="G363" s="1" t="s">
        <v>1010</v>
      </c>
      <c r="H363" s="1">
        <v>5</v>
      </c>
      <c r="I363" s="1">
        <v>6</v>
      </c>
      <c r="J363" s="1" t="s">
        <v>2632</v>
      </c>
      <c r="K363" s="2">
        <v>486.74</v>
      </c>
      <c r="L363" s="6">
        <v>3</v>
      </c>
      <c r="M363" s="2">
        <f t="shared" si="25"/>
        <v>2433.6999999999998</v>
      </c>
      <c r="N363" s="2">
        <f t="shared" si="26"/>
        <v>73.010999999999996</v>
      </c>
      <c r="O363" s="2">
        <f t="shared" si="27"/>
        <v>2360.6889999999999</v>
      </c>
      <c r="P363" s="1">
        <v>100</v>
      </c>
      <c r="Q363" s="2">
        <v>340.72</v>
      </c>
      <c r="R363" s="2">
        <f t="shared" si="28"/>
        <v>657.08899999999971</v>
      </c>
      <c r="S363" s="1" t="s">
        <v>1011</v>
      </c>
      <c r="T363" s="1" t="s">
        <v>1004</v>
      </c>
      <c r="U363" s="1" t="str">
        <f t="shared" si="29"/>
        <v>NO</v>
      </c>
    </row>
    <row r="364" spans="1:21" x14ac:dyDescent="0.3">
      <c r="A364" s="1" t="s">
        <v>549</v>
      </c>
      <c r="B364" s="1" t="s">
        <v>102</v>
      </c>
      <c r="C364" s="1" t="s">
        <v>103</v>
      </c>
      <c r="D364" s="1" t="s">
        <v>104</v>
      </c>
      <c r="E364" s="1" t="s">
        <v>1377</v>
      </c>
      <c r="F364" s="1" t="s">
        <v>1009</v>
      </c>
      <c r="G364" s="1" t="s">
        <v>1023</v>
      </c>
      <c r="H364" s="1">
        <v>7</v>
      </c>
      <c r="I364" s="1">
        <v>7</v>
      </c>
      <c r="J364" s="1" t="s">
        <v>2546</v>
      </c>
      <c r="K364" s="2">
        <v>260.67</v>
      </c>
      <c r="L364" s="6">
        <v>12</v>
      </c>
      <c r="M364" s="2">
        <f t="shared" si="25"/>
        <v>1824.69</v>
      </c>
      <c r="N364" s="2">
        <f t="shared" si="26"/>
        <v>218.96279999999999</v>
      </c>
      <c r="O364" s="2">
        <f t="shared" si="27"/>
        <v>1605.7272</v>
      </c>
      <c r="P364" s="1">
        <v>132</v>
      </c>
      <c r="Q364" s="2">
        <v>182.47</v>
      </c>
      <c r="R364" s="2">
        <f t="shared" si="28"/>
        <v>328.43720000000008</v>
      </c>
      <c r="S364" s="1" t="s">
        <v>1011</v>
      </c>
      <c r="T364" s="1" t="s">
        <v>1007</v>
      </c>
      <c r="U364" s="1" t="str">
        <f t="shared" si="29"/>
        <v>NO</v>
      </c>
    </row>
    <row r="365" spans="1:21" x14ac:dyDescent="0.3">
      <c r="A365" s="1" t="s">
        <v>550</v>
      </c>
      <c r="B365" s="1" t="s">
        <v>63</v>
      </c>
      <c r="C365" s="1" t="s">
        <v>64</v>
      </c>
      <c r="D365" s="1" t="s">
        <v>28</v>
      </c>
      <c r="E365" s="1" t="s">
        <v>1378</v>
      </c>
      <c r="F365" s="1" t="s">
        <v>1001</v>
      </c>
      <c r="G365" s="1" t="s">
        <v>1023</v>
      </c>
      <c r="H365" s="1">
        <v>12</v>
      </c>
      <c r="I365" s="1">
        <v>1</v>
      </c>
      <c r="J365" s="1" t="s">
        <v>2580</v>
      </c>
      <c r="K365" s="2">
        <v>87.03</v>
      </c>
      <c r="L365" s="6">
        <v>15</v>
      </c>
      <c r="M365" s="2">
        <f t="shared" si="25"/>
        <v>1044.3600000000001</v>
      </c>
      <c r="N365" s="2">
        <f t="shared" si="26"/>
        <v>156.65400000000002</v>
      </c>
      <c r="O365" s="2">
        <f t="shared" si="27"/>
        <v>887.70600000000013</v>
      </c>
      <c r="P365" s="1">
        <v>36</v>
      </c>
      <c r="Q365" s="2">
        <v>60.92</v>
      </c>
      <c r="R365" s="2">
        <f t="shared" si="28"/>
        <v>156.66600000000017</v>
      </c>
      <c r="S365" s="1" t="s">
        <v>1016</v>
      </c>
      <c r="T365" s="1" t="s">
        <v>1004</v>
      </c>
      <c r="U365" s="1" t="str">
        <f t="shared" si="29"/>
        <v>YES</v>
      </c>
    </row>
    <row r="366" spans="1:21" x14ac:dyDescent="0.3">
      <c r="A366" s="1" t="s">
        <v>551</v>
      </c>
      <c r="B366" s="1" t="s">
        <v>63</v>
      </c>
      <c r="C366" s="1" t="s">
        <v>64</v>
      </c>
      <c r="D366" s="1" t="s">
        <v>28</v>
      </c>
      <c r="E366" s="1" t="s">
        <v>1379</v>
      </c>
      <c r="F366" s="1" t="s">
        <v>1015</v>
      </c>
      <c r="G366" s="1" t="s">
        <v>1010</v>
      </c>
      <c r="H366" s="1">
        <v>4</v>
      </c>
      <c r="I366" s="1">
        <v>7</v>
      </c>
      <c r="J366" s="1" t="s">
        <v>2521</v>
      </c>
      <c r="K366" s="2">
        <v>374.02</v>
      </c>
      <c r="L366" s="6">
        <v>17</v>
      </c>
      <c r="M366" s="2">
        <f t="shared" si="25"/>
        <v>1496.08</v>
      </c>
      <c r="N366" s="2">
        <f t="shared" si="26"/>
        <v>254.33360000000002</v>
      </c>
      <c r="O366" s="2">
        <f t="shared" si="27"/>
        <v>1241.7464</v>
      </c>
      <c r="P366" s="1">
        <v>55</v>
      </c>
      <c r="Q366" s="2">
        <v>261.81</v>
      </c>
      <c r="R366" s="2">
        <f t="shared" si="28"/>
        <v>194.50639999999999</v>
      </c>
      <c r="S366" s="1" t="s">
        <v>1011</v>
      </c>
      <c r="T366" s="1" t="s">
        <v>1004</v>
      </c>
      <c r="U366" s="1" t="str">
        <f t="shared" si="29"/>
        <v>NO</v>
      </c>
    </row>
    <row r="367" spans="1:21" x14ac:dyDescent="0.3">
      <c r="A367" s="1" t="s">
        <v>552</v>
      </c>
      <c r="B367" s="1" t="s">
        <v>192</v>
      </c>
      <c r="C367" s="1" t="s">
        <v>193</v>
      </c>
      <c r="D367" s="1" t="s">
        <v>85</v>
      </c>
      <c r="E367" s="1" t="s">
        <v>1380</v>
      </c>
      <c r="F367" s="1" t="s">
        <v>1020</v>
      </c>
      <c r="G367" s="1" t="s">
        <v>1023</v>
      </c>
      <c r="H367" s="1">
        <v>2</v>
      </c>
      <c r="I367" s="1">
        <v>7</v>
      </c>
      <c r="J367" s="1" t="s">
        <v>2750</v>
      </c>
      <c r="K367" s="2">
        <v>256.79000000000002</v>
      </c>
      <c r="L367" s="6">
        <v>12</v>
      </c>
      <c r="M367" s="2">
        <f t="shared" si="25"/>
        <v>513.58000000000004</v>
      </c>
      <c r="N367" s="2">
        <f t="shared" si="26"/>
        <v>61.629600000000011</v>
      </c>
      <c r="O367" s="2">
        <f t="shared" si="27"/>
        <v>451.95040000000006</v>
      </c>
      <c r="P367" s="1">
        <v>187</v>
      </c>
      <c r="Q367" s="2">
        <v>179.75</v>
      </c>
      <c r="R367" s="2">
        <f t="shared" si="28"/>
        <v>92.450400000000059</v>
      </c>
      <c r="S367" s="1" t="s">
        <v>1011</v>
      </c>
      <c r="T367" s="1" t="s">
        <v>1007</v>
      </c>
      <c r="U367" s="1" t="str">
        <f t="shared" si="29"/>
        <v>NO</v>
      </c>
    </row>
    <row r="368" spans="1:21" x14ac:dyDescent="0.3">
      <c r="A368" s="1" t="s">
        <v>553</v>
      </c>
      <c r="B368" s="1" t="s">
        <v>83</v>
      </c>
      <c r="C368" s="1" t="s">
        <v>84</v>
      </c>
      <c r="D368" s="1" t="s">
        <v>85</v>
      </c>
      <c r="E368" s="1" t="s">
        <v>1381</v>
      </c>
      <c r="F368" s="1" t="s">
        <v>1001</v>
      </c>
      <c r="G368" s="1" t="s">
        <v>1023</v>
      </c>
      <c r="H368" s="1">
        <v>2</v>
      </c>
      <c r="I368" s="1">
        <v>4</v>
      </c>
      <c r="J368" s="1" t="s">
        <v>2575</v>
      </c>
      <c r="K368" s="2">
        <v>70.75</v>
      </c>
      <c r="L368" s="6">
        <v>19</v>
      </c>
      <c r="M368" s="2">
        <f t="shared" si="25"/>
        <v>141.5</v>
      </c>
      <c r="N368" s="2">
        <f t="shared" si="26"/>
        <v>26.885000000000002</v>
      </c>
      <c r="O368" s="2">
        <f t="shared" si="27"/>
        <v>114.61499999999999</v>
      </c>
      <c r="P368" s="1">
        <v>191</v>
      </c>
      <c r="Q368" s="2">
        <v>49.52</v>
      </c>
      <c r="R368" s="2">
        <f t="shared" si="28"/>
        <v>15.574999999999989</v>
      </c>
      <c r="S368" s="1" t="s">
        <v>1011</v>
      </c>
      <c r="T368" s="1" t="s">
        <v>1004</v>
      </c>
      <c r="U368" s="1" t="str">
        <f t="shared" si="29"/>
        <v>NO</v>
      </c>
    </row>
    <row r="369" spans="1:21" x14ac:dyDescent="0.3">
      <c r="A369" s="1" t="s">
        <v>554</v>
      </c>
      <c r="B369" s="1" t="s">
        <v>77</v>
      </c>
      <c r="C369" s="1" t="s">
        <v>78</v>
      </c>
      <c r="D369" s="1" t="s">
        <v>47</v>
      </c>
      <c r="E369" s="1" t="s">
        <v>1382</v>
      </c>
      <c r="F369" s="1" t="s">
        <v>1001</v>
      </c>
      <c r="G369" s="1" t="s">
        <v>1023</v>
      </c>
      <c r="H369" s="1">
        <v>4</v>
      </c>
      <c r="I369" s="1">
        <v>7</v>
      </c>
      <c r="J369" s="1" t="s">
        <v>2751</v>
      </c>
      <c r="K369" s="2">
        <v>382.53</v>
      </c>
      <c r="L369" s="6">
        <v>23</v>
      </c>
      <c r="M369" s="2">
        <f t="shared" si="25"/>
        <v>1530.12</v>
      </c>
      <c r="N369" s="2">
        <f t="shared" si="26"/>
        <v>351.92759999999993</v>
      </c>
      <c r="O369" s="2">
        <f t="shared" si="27"/>
        <v>1178.1923999999999</v>
      </c>
      <c r="P369" s="1">
        <v>121</v>
      </c>
      <c r="Q369" s="2">
        <v>267.77</v>
      </c>
      <c r="R369" s="2">
        <f t="shared" si="28"/>
        <v>107.11239999999998</v>
      </c>
      <c r="S369" s="1" t="s">
        <v>1016</v>
      </c>
      <c r="T369" s="1" t="s">
        <v>1004</v>
      </c>
      <c r="U369" s="1" t="str">
        <f t="shared" si="29"/>
        <v>YES</v>
      </c>
    </row>
    <row r="370" spans="1:21" x14ac:dyDescent="0.3">
      <c r="A370" s="1" t="s">
        <v>555</v>
      </c>
      <c r="B370" s="1" t="s">
        <v>299</v>
      </c>
      <c r="C370" s="1" t="s">
        <v>300</v>
      </c>
      <c r="D370" s="1" t="s">
        <v>39</v>
      </c>
      <c r="E370" s="1" t="s">
        <v>1383</v>
      </c>
      <c r="F370" s="1" t="s">
        <v>1015</v>
      </c>
      <c r="G370" s="1" t="s">
        <v>1010</v>
      </c>
      <c r="H370" s="1">
        <v>15</v>
      </c>
      <c r="I370" s="1">
        <v>5</v>
      </c>
      <c r="J370" s="1" t="s">
        <v>2752</v>
      </c>
      <c r="K370" s="2">
        <v>113.38</v>
      </c>
      <c r="L370" s="6">
        <v>17</v>
      </c>
      <c r="M370" s="2">
        <f t="shared" si="25"/>
        <v>1700.6999999999998</v>
      </c>
      <c r="N370" s="2">
        <f t="shared" si="26"/>
        <v>289.11899999999997</v>
      </c>
      <c r="O370" s="2">
        <f t="shared" si="27"/>
        <v>1411.5809999999999</v>
      </c>
      <c r="P370" s="1">
        <v>100</v>
      </c>
      <c r="Q370" s="2">
        <v>79.37</v>
      </c>
      <c r="R370" s="2">
        <f t="shared" si="28"/>
        <v>221.03099999999972</v>
      </c>
      <c r="S370" s="1" t="s">
        <v>1016</v>
      </c>
      <c r="T370" s="1" t="s">
        <v>1007</v>
      </c>
      <c r="U370" s="1" t="str">
        <f t="shared" si="29"/>
        <v>YES</v>
      </c>
    </row>
    <row r="371" spans="1:21" x14ac:dyDescent="0.3">
      <c r="A371" s="1" t="s">
        <v>556</v>
      </c>
      <c r="B371" s="1" t="s">
        <v>57</v>
      </c>
      <c r="C371" s="1" t="s">
        <v>58</v>
      </c>
      <c r="D371" s="1" t="s">
        <v>59</v>
      </c>
      <c r="E371" s="1" t="s">
        <v>1384</v>
      </c>
      <c r="F371" s="1" t="s">
        <v>1020</v>
      </c>
      <c r="G371" s="1" t="s">
        <v>1002</v>
      </c>
      <c r="H371" s="1">
        <v>11</v>
      </c>
      <c r="I371" s="1">
        <v>2</v>
      </c>
      <c r="J371" s="1" t="s">
        <v>2605</v>
      </c>
      <c r="K371" s="2">
        <v>49.95</v>
      </c>
      <c r="L371" s="6">
        <v>25</v>
      </c>
      <c r="M371" s="2">
        <f t="shared" si="25"/>
        <v>549.45000000000005</v>
      </c>
      <c r="N371" s="2">
        <f t="shared" si="26"/>
        <v>137.36250000000001</v>
      </c>
      <c r="O371" s="2">
        <f t="shared" si="27"/>
        <v>412.08750000000003</v>
      </c>
      <c r="P371" s="1">
        <v>242</v>
      </c>
      <c r="Q371" s="2">
        <v>34.96</v>
      </c>
      <c r="R371" s="2">
        <f t="shared" si="28"/>
        <v>27.527500000000032</v>
      </c>
      <c r="S371" s="1" t="s">
        <v>1011</v>
      </c>
      <c r="T371" s="1" t="s">
        <v>1007</v>
      </c>
      <c r="U371" s="1" t="str">
        <f t="shared" si="29"/>
        <v>NO</v>
      </c>
    </row>
    <row r="372" spans="1:21" x14ac:dyDescent="0.3">
      <c r="A372" s="1" t="s">
        <v>557</v>
      </c>
      <c r="B372" s="1" t="s">
        <v>37</v>
      </c>
      <c r="C372" s="1" t="s">
        <v>38</v>
      </c>
      <c r="D372" s="1" t="s">
        <v>39</v>
      </c>
      <c r="E372" s="1" t="s">
        <v>1385</v>
      </c>
      <c r="F372" s="1" t="s">
        <v>1009</v>
      </c>
      <c r="G372" s="1" t="s">
        <v>1010</v>
      </c>
      <c r="H372" s="1">
        <v>3</v>
      </c>
      <c r="I372" s="1">
        <v>6</v>
      </c>
      <c r="J372" s="1" t="s">
        <v>2753</v>
      </c>
      <c r="K372" s="2">
        <v>44.63</v>
      </c>
      <c r="L372" s="6">
        <v>6</v>
      </c>
      <c r="M372" s="2">
        <f t="shared" si="25"/>
        <v>133.89000000000001</v>
      </c>
      <c r="N372" s="2">
        <f t="shared" si="26"/>
        <v>8.0334000000000021</v>
      </c>
      <c r="O372" s="2">
        <f t="shared" si="27"/>
        <v>125.85660000000001</v>
      </c>
      <c r="P372" s="1">
        <v>63</v>
      </c>
      <c r="Q372" s="2">
        <v>31.24</v>
      </c>
      <c r="R372" s="2">
        <f t="shared" si="28"/>
        <v>32.136600000000016</v>
      </c>
      <c r="S372" s="1" t="s">
        <v>1003</v>
      </c>
      <c r="T372" s="1" t="s">
        <v>1007</v>
      </c>
      <c r="U372" s="1" t="str">
        <f t="shared" si="29"/>
        <v>NO</v>
      </c>
    </row>
    <row r="373" spans="1:21" x14ac:dyDescent="0.3">
      <c r="A373" s="1" t="s">
        <v>558</v>
      </c>
      <c r="B373" s="1" t="s">
        <v>52</v>
      </c>
      <c r="C373" s="1" t="s">
        <v>53</v>
      </c>
      <c r="D373" s="1" t="s">
        <v>47</v>
      </c>
      <c r="E373" s="1" t="s">
        <v>1386</v>
      </c>
      <c r="F373" s="1" t="s">
        <v>1020</v>
      </c>
      <c r="G373" s="1" t="s">
        <v>1023</v>
      </c>
      <c r="H373" s="1">
        <v>11</v>
      </c>
      <c r="I373" s="1">
        <v>2</v>
      </c>
      <c r="J373" s="1" t="s">
        <v>2598</v>
      </c>
      <c r="K373" s="2">
        <v>489.37</v>
      </c>
      <c r="L373" s="6">
        <v>10</v>
      </c>
      <c r="M373" s="2">
        <f t="shared" si="25"/>
        <v>5383.07</v>
      </c>
      <c r="N373" s="2">
        <f t="shared" si="26"/>
        <v>538.30700000000002</v>
      </c>
      <c r="O373" s="2">
        <f t="shared" si="27"/>
        <v>4844.7629999999999</v>
      </c>
      <c r="P373" s="1">
        <v>119</v>
      </c>
      <c r="Q373" s="2">
        <v>342.56</v>
      </c>
      <c r="R373" s="2">
        <f t="shared" si="28"/>
        <v>1076.6030000000001</v>
      </c>
      <c r="S373" s="1" t="s">
        <v>1003</v>
      </c>
      <c r="T373" s="1" t="s">
        <v>1007</v>
      </c>
      <c r="U373" s="1" t="str">
        <f t="shared" si="29"/>
        <v>NO</v>
      </c>
    </row>
    <row r="374" spans="1:21" x14ac:dyDescent="0.3">
      <c r="A374" s="1" t="s">
        <v>559</v>
      </c>
      <c r="B374" s="1" t="s">
        <v>45</v>
      </c>
      <c r="C374" s="1" t="s">
        <v>46</v>
      </c>
      <c r="D374" s="1" t="s">
        <v>47</v>
      </c>
      <c r="E374" s="1" t="s">
        <v>1387</v>
      </c>
      <c r="F374" s="1" t="s">
        <v>1020</v>
      </c>
      <c r="G374" s="1" t="s">
        <v>1002</v>
      </c>
      <c r="H374" s="1">
        <v>5</v>
      </c>
      <c r="I374" s="1">
        <v>3</v>
      </c>
      <c r="J374" s="1" t="s">
        <v>2754</v>
      </c>
      <c r="K374" s="2">
        <v>412</v>
      </c>
      <c r="L374" s="6">
        <v>4</v>
      </c>
      <c r="M374" s="2">
        <f t="shared" si="25"/>
        <v>2060</v>
      </c>
      <c r="N374" s="2">
        <f t="shared" si="26"/>
        <v>82.4</v>
      </c>
      <c r="O374" s="2">
        <f t="shared" si="27"/>
        <v>1977.6</v>
      </c>
      <c r="P374" s="1">
        <v>175</v>
      </c>
      <c r="Q374" s="2">
        <v>288.39999999999998</v>
      </c>
      <c r="R374" s="2">
        <f t="shared" si="28"/>
        <v>535.59999999999991</v>
      </c>
      <c r="S374" s="1" t="s">
        <v>1003</v>
      </c>
      <c r="T374" s="1" t="s">
        <v>1007</v>
      </c>
      <c r="U374" s="1" t="str">
        <f t="shared" si="29"/>
        <v>NO</v>
      </c>
    </row>
    <row r="375" spans="1:21" x14ac:dyDescent="0.3">
      <c r="A375" s="1" t="s">
        <v>560</v>
      </c>
      <c r="B375" s="1" t="s">
        <v>172</v>
      </c>
      <c r="C375" s="1" t="s">
        <v>173</v>
      </c>
      <c r="D375" s="1" t="s">
        <v>132</v>
      </c>
      <c r="E375" s="1" t="s">
        <v>1388</v>
      </c>
      <c r="F375" s="1" t="s">
        <v>1027</v>
      </c>
      <c r="G375" s="1" t="s">
        <v>1002</v>
      </c>
      <c r="H375" s="1">
        <v>2</v>
      </c>
      <c r="I375" s="1">
        <v>2</v>
      </c>
      <c r="J375" s="1" t="s">
        <v>2585</v>
      </c>
      <c r="K375" s="2">
        <v>391.13</v>
      </c>
      <c r="L375" s="6">
        <v>20</v>
      </c>
      <c r="M375" s="2">
        <f t="shared" si="25"/>
        <v>782.26</v>
      </c>
      <c r="N375" s="2">
        <f t="shared" si="26"/>
        <v>156.452</v>
      </c>
      <c r="O375" s="2">
        <f t="shared" si="27"/>
        <v>625.80799999999999</v>
      </c>
      <c r="P375" s="1">
        <v>239</v>
      </c>
      <c r="Q375" s="2">
        <v>273.79000000000002</v>
      </c>
      <c r="R375" s="2">
        <f t="shared" si="28"/>
        <v>78.227999999999952</v>
      </c>
      <c r="S375" s="1" t="s">
        <v>1011</v>
      </c>
      <c r="T375" s="1" t="s">
        <v>1004</v>
      </c>
      <c r="U375" s="1" t="str">
        <f t="shared" si="29"/>
        <v>NO</v>
      </c>
    </row>
    <row r="376" spans="1:21" x14ac:dyDescent="0.3">
      <c r="A376" s="1" t="s">
        <v>561</v>
      </c>
      <c r="B376" s="1" t="s">
        <v>126</v>
      </c>
      <c r="C376" s="1" t="s">
        <v>127</v>
      </c>
      <c r="D376" s="1" t="s">
        <v>85</v>
      </c>
      <c r="E376" s="1" t="s">
        <v>1389</v>
      </c>
      <c r="F376" s="1" t="s">
        <v>1027</v>
      </c>
      <c r="G376" s="1" t="s">
        <v>1023</v>
      </c>
      <c r="H376" s="1">
        <v>4</v>
      </c>
      <c r="I376" s="1">
        <v>1</v>
      </c>
      <c r="J376" s="1" t="s">
        <v>2594</v>
      </c>
      <c r="K376" s="2">
        <v>310.43</v>
      </c>
      <c r="L376" s="6">
        <v>7</v>
      </c>
      <c r="M376" s="2">
        <f t="shared" si="25"/>
        <v>1241.72</v>
      </c>
      <c r="N376" s="2">
        <f t="shared" si="26"/>
        <v>86.920400000000015</v>
      </c>
      <c r="O376" s="2">
        <f t="shared" si="27"/>
        <v>1154.7996000000001</v>
      </c>
      <c r="P376" s="1">
        <v>153</v>
      </c>
      <c r="Q376" s="2">
        <v>217.3</v>
      </c>
      <c r="R376" s="2">
        <f t="shared" si="28"/>
        <v>285.59960000000001</v>
      </c>
      <c r="S376" s="1" t="s">
        <v>1016</v>
      </c>
      <c r="T376" s="1" t="s">
        <v>1004</v>
      </c>
      <c r="U376" s="1" t="str">
        <f t="shared" si="29"/>
        <v>YES</v>
      </c>
    </row>
    <row r="377" spans="1:21" x14ac:dyDescent="0.3">
      <c r="A377" s="1" t="s">
        <v>562</v>
      </c>
      <c r="B377" s="1" t="s">
        <v>197</v>
      </c>
      <c r="C377" s="1" t="s">
        <v>198</v>
      </c>
      <c r="D377" s="1" t="s">
        <v>104</v>
      </c>
      <c r="E377" s="1" t="s">
        <v>1390</v>
      </c>
      <c r="F377" s="1" t="s">
        <v>1020</v>
      </c>
      <c r="G377" s="1" t="s">
        <v>1010</v>
      </c>
      <c r="H377" s="1">
        <v>9</v>
      </c>
      <c r="I377" s="1">
        <v>1</v>
      </c>
      <c r="J377" s="1" t="s">
        <v>2581</v>
      </c>
      <c r="K377" s="2">
        <v>402.35</v>
      </c>
      <c r="L377" s="6">
        <v>21</v>
      </c>
      <c r="M377" s="2">
        <f t="shared" si="25"/>
        <v>3621.15</v>
      </c>
      <c r="N377" s="2">
        <f t="shared" si="26"/>
        <v>760.44150000000013</v>
      </c>
      <c r="O377" s="2">
        <f t="shared" si="27"/>
        <v>2860.7084999999997</v>
      </c>
      <c r="P377" s="1">
        <v>113</v>
      </c>
      <c r="Q377" s="2">
        <v>281.64</v>
      </c>
      <c r="R377" s="2">
        <f t="shared" si="28"/>
        <v>325.94849999999997</v>
      </c>
      <c r="S377" s="1" t="s">
        <v>1011</v>
      </c>
      <c r="T377" s="1" t="s">
        <v>1007</v>
      </c>
      <c r="U377" s="1" t="str">
        <f t="shared" si="29"/>
        <v>NO</v>
      </c>
    </row>
    <row r="378" spans="1:21" x14ac:dyDescent="0.3">
      <c r="A378" s="1" t="s">
        <v>563</v>
      </c>
      <c r="B378" s="1" t="s">
        <v>123</v>
      </c>
      <c r="C378" s="1" t="s">
        <v>124</v>
      </c>
      <c r="D378" s="1" t="s">
        <v>47</v>
      </c>
      <c r="E378" s="1" t="s">
        <v>1391</v>
      </c>
      <c r="F378" s="1" t="s">
        <v>1027</v>
      </c>
      <c r="G378" s="1" t="s">
        <v>1023</v>
      </c>
      <c r="H378" s="1">
        <v>4</v>
      </c>
      <c r="I378" s="1">
        <v>4</v>
      </c>
      <c r="J378" s="1" t="s">
        <v>2755</v>
      </c>
      <c r="K378" s="2">
        <v>102.25</v>
      </c>
      <c r="L378" s="6">
        <v>3</v>
      </c>
      <c r="M378" s="2">
        <f t="shared" si="25"/>
        <v>409</v>
      </c>
      <c r="N378" s="2">
        <f t="shared" si="26"/>
        <v>12.27</v>
      </c>
      <c r="O378" s="2">
        <f t="shared" si="27"/>
        <v>396.73</v>
      </c>
      <c r="P378" s="1">
        <v>230</v>
      </c>
      <c r="Q378" s="2">
        <v>71.569999999999993</v>
      </c>
      <c r="R378" s="2">
        <f t="shared" si="28"/>
        <v>110.45000000000005</v>
      </c>
      <c r="S378" s="1" t="s">
        <v>1003</v>
      </c>
      <c r="T378" s="1" t="s">
        <v>1004</v>
      </c>
      <c r="U378" s="1" t="str">
        <f t="shared" si="29"/>
        <v>NO</v>
      </c>
    </row>
    <row r="379" spans="1:21" x14ac:dyDescent="0.3">
      <c r="A379" s="1" t="s">
        <v>564</v>
      </c>
      <c r="B379" s="1" t="s">
        <v>189</v>
      </c>
      <c r="C379" s="1" t="s">
        <v>190</v>
      </c>
      <c r="D379" s="1" t="s">
        <v>59</v>
      </c>
      <c r="E379" s="1" t="s">
        <v>1392</v>
      </c>
      <c r="F379" s="1" t="s">
        <v>1015</v>
      </c>
      <c r="G379" s="1" t="s">
        <v>1023</v>
      </c>
      <c r="H379" s="1">
        <v>2</v>
      </c>
      <c r="I379" s="1">
        <v>1</v>
      </c>
      <c r="J379" s="1" t="s">
        <v>2756</v>
      </c>
      <c r="K379" s="2">
        <v>267.3</v>
      </c>
      <c r="L379" s="6">
        <v>15</v>
      </c>
      <c r="M379" s="2">
        <f t="shared" si="25"/>
        <v>534.6</v>
      </c>
      <c r="N379" s="2">
        <f t="shared" si="26"/>
        <v>80.19</v>
      </c>
      <c r="O379" s="2">
        <f t="shared" si="27"/>
        <v>454.41</v>
      </c>
      <c r="P379" s="1">
        <v>158</v>
      </c>
      <c r="Q379" s="2">
        <v>187.11</v>
      </c>
      <c r="R379" s="2">
        <f t="shared" si="28"/>
        <v>80.19</v>
      </c>
      <c r="S379" s="1" t="s">
        <v>1011</v>
      </c>
      <c r="T379" s="1" t="s">
        <v>1007</v>
      </c>
      <c r="U379" s="1" t="str">
        <f t="shared" si="29"/>
        <v>NO</v>
      </c>
    </row>
    <row r="380" spans="1:21" x14ac:dyDescent="0.3">
      <c r="A380" s="1" t="s">
        <v>565</v>
      </c>
      <c r="B380" s="1" t="s">
        <v>26</v>
      </c>
      <c r="C380" s="1" t="s">
        <v>27</v>
      </c>
      <c r="D380" s="1" t="s">
        <v>28</v>
      </c>
      <c r="E380" s="1" t="s">
        <v>1393</v>
      </c>
      <c r="F380" s="1" t="s">
        <v>1006</v>
      </c>
      <c r="G380" s="1" t="s">
        <v>1023</v>
      </c>
      <c r="H380" s="1">
        <v>10</v>
      </c>
      <c r="I380" s="1">
        <v>7</v>
      </c>
      <c r="J380" s="1" t="s">
        <v>2757</v>
      </c>
      <c r="K380" s="2">
        <v>421.95</v>
      </c>
      <c r="L380" s="6">
        <v>10</v>
      </c>
      <c r="M380" s="2">
        <f t="shared" si="25"/>
        <v>4219.5</v>
      </c>
      <c r="N380" s="2">
        <f t="shared" si="26"/>
        <v>421.95</v>
      </c>
      <c r="O380" s="2">
        <f t="shared" si="27"/>
        <v>3797.55</v>
      </c>
      <c r="P380" s="1">
        <v>159</v>
      </c>
      <c r="Q380" s="2">
        <v>295.36</v>
      </c>
      <c r="R380" s="2">
        <f t="shared" si="28"/>
        <v>843.94999999999982</v>
      </c>
      <c r="S380" s="1" t="s">
        <v>1016</v>
      </c>
      <c r="T380" s="1" t="s">
        <v>1007</v>
      </c>
      <c r="U380" s="1" t="str">
        <f t="shared" si="29"/>
        <v>YES</v>
      </c>
    </row>
    <row r="381" spans="1:21" x14ac:dyDescent="0.3">
      <c r="A381" s="1" t="s">
        <v>566</v>
      </c>
      <c r="B381" s="1" t="s">
        <v>172</v>
      </c>
      <c r="C381" s="1" t="s">
        <v>173</v>
      </c>
      <c r="D381" s="1" t="s">
        <v>132</v>
      </c>
      <c r="E381" s="1" t="s">
        <v>1394</v>
      </c>
      <c r="F381" s="1" t="s">
        <v>1027</v>
      </c>
      <c r="G381" s="1" t="s">
        <v>1010</v>
      </c>
      <c r="H381" s="1">
        <v>6</v>
      </c>
      <c r="I381" s="1">
        <v>7</v>
      </c>
      <c r="J381" s="1" t="s">
        <v>2546</v>
      </c>
      <c r="K381" s="2">
        <v>202.01</v>
      </c>
      <c r="L381" s="6">
        <v>1</v>
      </c>
      <c r="M381" s="2">
        <f t="shared" si="25"/>
        <v>1212.06</v>
      </c>
      <c r="N381" s="2">
        <f t="shared" si="26"/>
        <v>12.1206</v>
      </c>
      <c r="O381" s="2">
        <f t="shared" si="27"/>
        <v>1199.9394</v>
      </c>
      <c r="P381" s="1">
        <v>103</v>
      </c>
      <c r="Q381" s="2">
        <v>141.41</v>
      </c>
      <c r="R381" s="2">
        <f t="shared" si="28"/>
        <v>351.47939999999994</v>
      </c>
      <c r="S381" s="1" t="s">
        <v>1003</v>
      </c>
      <c r="T381" s="1" t="s">
        <v>1007</v>
      </c>
      <c r="U381" s="1" t="str">
        <f t="shared" si="29"/>
        <v>NO</v>
      </c>
    </row>
    <row r="382" spans="1:21" x14ac:dyDescent="0.3">
      <c r="A382" s="1" t="s">
        <v>567</v>
      </c>
      <c r="B382" s="1" t="s">
        <v>126</v>
      </c>
      <c r="C382" s="1" t="s">
        <v>127</v>
      </c>
      <c r="D382" s="1" t="s">
        <v>85</v>
      </c>
      <c r="E382" s="1" t="s">
        <v>1395</v>
      </c>
      <c r="F382" s="1" t="s">
        <v>1006</v>
      </c>
      <c r="G382" s="1" t="s">
        <v>1002</v>
      </c>
      <c r="H382" s="1">
        <v>4</v>
      </c>
      <c r="I382" s="1">
        <v>1</v>
      </c>
      <c r="J382" s="1" t="s">
        <v>2555</v>
      </c>
      <c r="K382" s="2">
        <v>192.34</v>
      </c>
      <c r="L382" s="6">
        <v>23</v>
      </c>
      <c r="M382" s="2">
        <f t="shared" si="25"/>
        <v>769.36</v>
      </c>
      <c r="N382" s="2">
        <f t="shared" si="26"/>
        <v>176.9528</v>
      </c>
      <c r="O382" s="2">
        <f t="shared" si="27"/>
        <v>592.40719999999999</v>
      </c>
      <c r="P382" s="1">
        <v>154</v>
      </c>
      <c r="Q382" s="2">
        <v>134.63999999999999</v>
      </c>
      <c r="R382" s="2">
        <f t="shared" si="28"/>
        <v>53.847200000000043</v>
      </c>
      <c r="S382" s="1" t="s">
        <v>1011</v>
      </c>
      <c r="T382" s="1" t="s">
        <v>1007</v>
      </c>
      <c r="U382" s="1" t="str">
        <f t="shared" si="29"/>
        <v>NO</v>
      </c>
    </row>
    <row r="383" spans="1:21" x14ac:dyDescent="0.3">
      <c r="A383" s="1" t="s">
        <v>568</v>
      </c>
      <c r="B383" s="1" t="s">
        <v>111</v>
      </c>
      <c r="C383" s="1" t="s">
        <v>112</v>
      </c>
      <c r="D383" s="1" t="s">
        <v>97</v>
      </c>
      <c r="E383" s="1" t="s">
        <v>1396</v>
      </c>
      <c r="F383" s="1" t="s">
        <v>1009</v>
      </c>
      <c r="G383" s="1" t="s">
        <v>1023</v>
      </c>
      <c r="H383" s="1">
        <v>5</v>
      </c>
      <c r="I383" s="1">
        <v>2</v>
      </c>
      <c r="J383" s="1" t="s">
        <v>2657</v>
      </c>
      <c r="K383" s="2">
        <v>387</v>
      </c>
      <c r="L383" s="6">
        <v>23</v>
      </c>
      <c r="M383" s="2">
        <f t="shared" si="25"/>
        <v>1935</v>
      </c>
      <c r="N383" s="2">
        <f t="shared" si="26"/>
        <v>445.05</v>
      </c>
      <c r="O383" s="2">
        <f t="shared" si="27"/>
        <v>1489.95</v>
      </c>
      <c r="P383" s="1">
        <v>83</v>
      </c>
      <c r="Q383" s="2">
        <v>270.89999999999998</v>
      </c>
      <c r="R383" s="2">
        <f t="shared" si="28"/>
        <v>135.45000000000005</v>
      </c>
      <c r="S383" s="1" t="s">
        <v>1003</v>
      </c>
      <c r="T383" s="1" t="s">
        <v>1004</v>
      </c>
      <c r="U383" s="1" t="str">
        <f t="shared" si="29"/>
        <v>NO</v>
      </c>
    </row>
    <row r="384" spans="1:21" x14ac:dyDescent="0.3">
      <c r="A384" s="1" t="s">
        <v>569</v>
      </c>
      <c r="B384" s="1" t="s">
        <v>63</v>
      </c>
      <c r="C384" s="1" t="s">
        <v>64</v>
      </c>
      <c r="D384" s="1" t="s">
        <v>28</v>
      </c>
      <c r="E384" s="1" t="s">
        <v>1397</v>
      </c>
      <c r="F384" s="1" t="s">
        <v>1001</v>
      </c>
      <c r="G384" s="1" t="s">
        <v>1002</v>
      </c>
      <c r="H384" s="1">
        <v>5</v>
      </c>
      <c r="I384" s="1">
        <v>6</v>
      </c>
      <c r="J384" s="1" t="s">
        <v>2631</v>
      </c>
      <c r="K384" s="2">
        <v>411.88</v>
      </c>
      <c r="L384" s="6">
        <v>14</v>
      </c>
      <c r="M384" s="2">
        <f t="shared" si="25"/>
        <v>2059.4</v>
      </c>
      <c r="N384" s="2">
        <f t="shared" si="26"/>
        <v>288.31600000000003</v>
      </c>
      <c r="O384" s="2">
        <f t="shared" si="27"/>
        <v>1771.0840000000001</v>
      </c>
      <c r="P384" s="1">
        <v>252</v>
      </c>
      <c r="Q384" s="2">
        <v>288.32</v>
      </c>
      <c r="R384" s="2">
        <f t="shared" si="28"/>
        <v>329.48400000000015</v>
      </c>
      <c r="S384" s="1" t="s">
        <v>1011</v>
      </c>
      <c r="T384" s="1" t="s">
        <v>1004</v>
      </c>
      <c r="U384" s="1" t="str">
        <f t="shared" si="29"/>
        <v>NO</v>
      </c>
    </row>
    <row r="385" spans="1:21" x14ac:dyDescent="0.3">
      <c r="A385" s="1" t="s">
        <v>570</v>
      </c>
      <c r="B385" s="1" t="s">
        <v>111</v>
      </c>
      <c r="C385" s="1" t="s">
        <v>112</v>
      </c>
      <c r="D385" s="1" t="s">
        <v>97</v>
      </c>
      <c r="E385" s="1" t="s">
        <v>1398</v>
      </c>
      <c r="F385" s="1" t="s">
        <v>1001</v>
      </c>
      <c r="G385" s="1" t="s">
        <v>1010</v>
      </c>
      <c r="H385" s="1">
        <v>4</v>
      </c>
      <c r="I385" s="1">
        <v>2</v>
      </c>
      <c r="J385" s="1" t="s">
        <v>2758</v>
      </c>
      <c r="K385" s="2">
        <v>269.20999999999998</v>
      </c>
      <c r="L385" s="6">
        <v>24</v>
      </c>
      <c r="M385" s="2">
        <f t="shared" si="25"/>
        <v>1076.8399999999999</v>
      </c>
      <c r="N385" s="2">
        <f t="shared" si="26"/>
        <v>258.44159999999994</v>
      </c>
      <c r="O385" s="2">
        <f t="shared" si="27"/>
        <v>818.39840000000004</v>
      </c>
      <c r="P385" s="1">
        <v>244</v>
      </c>
      <c r="Q385" s="2">
        <v>188.45</v>
      </c>
      <c r="R385" s="2">
        <f t="shared" si="28"/>
        <v>64.598400000000083</v>
      </c>
      <c r="S385" s="1" t="s">
        <v>1003</v>
      </c>
      <c r="T385" s="1" t="s">
        <v>1004</v>
      </c>
      <c r="U385" s="1" t="str">
        <f t="shared" si="29"/>
        <v>NO</v>
      </c>
    </row>
    <row r="386" spans="1:21" x14ac:dyDescent="0.3">
      <c r="A386" s="1" t="s">
        <v>571</v>
      </c>
      <c r="B386" s="1" t="s">
        <v>197</v>
      </c>
      <c r="C386" s="1" t="s">
        <v>198</v>
      </c>
      <c r="D386" s="1" t="s">
        <v>104</v>
      </c>
      <c r="E386" s="1" t="s">
        <v>1399</v>
      </c>
      <c r="F386" s="1" t="s">
        <v>1027</v>
      </c>
      <c r="G386" s="1" t="s">
        <v>1023</v>
      </c>
      <c r="H386" s="1">
        <v>13</v>
      </c>
      <c r="I386" s="1">
        <v>4</v>
      </c>
      <c r="J386" s="1" t="s">
        <v>2759</v>
      </c>
      <c r="K386" s="2">
        <v>236.67</v>
      </c>
      <c r="L386" s="6">
        <v>21</v>
      </c>
      <c r="M386" s="2">
        <f t="shared" ref="M386:M449" si="30">H386*K386</f>
        <v>3076.71</v>
      </c>
      <c r="N386" s="2">
        <f t="shared" ref="N386:N449" si="31">M386*L386/100</f>
        <v>646.10910000000001</v>
      </c>
      <c r="O386" s="2">
        <f t="shared" ref="O386:O449" si="32">M386-N386</f>
        <v>2430.6008999999999</v>
      </c>
      <c r="P386" s="1">
        <v>149</v>
      </c>
      <c r="Q386" s="2">
        <v>165.67</v>
      </c>
      <c r="R386" s="2">
        <f t="shared" ref="R386:R449" si="33">O386-(H386*Q386)</f>
        <v>276.89089999999987</v>
      </c>
      <c r="S386" s="1" t="s">
        <v>1003</v>
      </c>
      <c r="T386" s="1" t="s">
        <v>1004</v>
      </c>
      <c r="U386" s="1" t="str">
        <f t="shared" ref="U386:U449" si="34">IF(S386="Delivered","YES","NO")</f>
        <v>NO</v>
      </c>
    </row>
    <row r="387" spans="1:21" x14ac:dyDescent="0.3">
      <c r="A387" s="1" t="s">
        <v>572</v>
      </c>
      <c r="B387" s="1" t="s">
        <v>45</v>
      </c>
      <c r="C387" s="1" t="s">
        <v>46</v>
      </c>
      <c r="D387" s="1" t="s">
        <v>47</v>
      </c>
      <c r="E387" s="1" t="s">
        <v>1400</v>
      </c>
      <c r="F387" s="1" t="s">
        <v>1001</v>
      </c>
      <c r="G387" s="1" t="s">
        <v>1023</v>
      </c>
      <c r="H387" s="1">
        <v>3</v>
      </c>
      <c r="I387" s="1">
        <v>1</v>
      </c>
      <c r="J387" s="1" t="s">
        <v>2617</v>
      </c>
      <c r="K387" s="2">
        <v>225.22</v>
      </c>
      <c r="L387" s="6">
        <v>20</v>
      </c>
      <c r="M387" s="2">
        <f t="shared" si="30"/>
        <v>675.66</v>
      </c>
      <c r="N387" s="2">
        <f t="shared" si="31"/>
        <v>135.13199999999998</v>
      </c>
      <c r="O387" s="2">
        <f t="shared" si="32"/>
        <v>540.52800000000002</v>
      </c>
      <c r="P387" s="1">
        <v>127</v>
      </c>
      <c r="Q387" s="2">
        <v>157.65</v>
      </c>
      <c r="R387" s="2">
        <f t="shared" si="33"/>
        <v>67.577999999999975</v>
      </c>
      <c r="S387" s="1" t="s">
        <v>1016</v>
      </c>
      <c r="T387" s="1" t="s">
        <v>1007</v>
      </c>
      <c r="U387" s="1" t="str">
        <f t="shared" si="34"/>
        <v>YES</v>
      </c>
    </row>
    <row r="388" spans="1:21" x14ac:dyDescent="0.3">
      <c r="A388" s="1" t="s">
        <v>573</v>
      </c>
      <c r="B388" s="1" t="s">
        <v>45</v>
      </c>
      <c r="C388" s="1" t="s">
        <v>46</v>
      </c>
      <c r="D388" s="1" t="s">
        <v>47</v>
      </c>
      <c r="E388" s="1" t="s">
        <v>1401</v>
      </c>
      <c r="F388" s="1" t="s">
        <v>1006</v>
      </c>
      <c r="G388" s="1" t="s">
        <v>1023</v>
      </c>
      <c r="H388" s="1">
        <v>9</v>
      </c>
      <c r="I388" s="1">
        <v>3</v>
      </c>
      <c r="J388" s="1" t="s">
        <v>2760</v>
      </c>
      <c r="K388" s="2">
        <v>343.25</v>
      </c>
      <c r="L388" s="6">
        <v>18</v>
      </c>
      <c r="M388" s="2">
        <f t="shared" si="30"/>
        <v>3089.25</v>
      </c>
      <c r="N388" s="2">
        <f t="shared" si="31"/>
        <v>556.06500000000005</v>
      </c>
      <c r="O388" s="2">
        <f t="shared" si="32"/>
        <v>2533.1849999999999</v>
      </c>
      <c r="P388" s="1">
        <v>238</v>
      </c>
      <c r="Q388" s="2">
        <v>240.27</v>
      </c>
      <c r="R388" s="2">
        <f t="shared" si="33"/>
        <v>370.75499999999965</v>
      </c>
      <c r="S388" s="1" t="s">
        <v>1003</v>
      </c>
      <c r="T388" s="1" t="s">
        <v>1004</v>
      </c>
      <c r="U388" s="1" t="str">
        <f t="shared" si="34"/>
        <v>NO</v>
      </c>
    </row>
    <row r="389" spans="1:21" x14ac:dyDescent="0.3">
      <c r="A389" s="1" t="s">
        <v>574</v>
      </c>
      <c r="B389" s="1" t="s">
        <v>262</v>
      </c>
      <c r="C389" s="1" t="s">
        <v>263</v>
      </c>
      <c r="D389" s="1" t="s">
        <v>104</v>
      </c>
      <c r="E389" s="1" t="s">
        <v>1402</v>
      </c>
      <c r="F389" s="1" t="s">
        <v>1013</v>
      </c>
      <c r="G389" s="1" t="s">
        <v>1023</v>
      </c>
      <c r="H389" s="1">
        <v>13</v>
      </c>
      <c r="I389" s="1">
        <v>5</v>
      </c>
      <c r="J389" s="1" t="s">
        <v>2555</v>
      </c>
      <c r="K389" s="2">
        <v>236.22</v>
      </c>
      <c r="L389" s="6">
        <v>13</v>
      </c>
      <c r="M389" s="2">
        <f t="shared" si="30"/>
        <v>3070.86</v>
      </c>
      <c r="N389" s="2">
        <f t="shared" si="31"/>
        <v>399.21179999999998</v>
      </c>
      <c r="O389" s="2">
        <f t="shared" si="32"/>
        <v>2671.6482000000001</v>
      </c>
      <c r="P389" s="1">
        <v>116</v>
      </c>
      <c r="Q389" s="2">
        <v>165.35</v>
      </c>
      <c r="R389" s="2">
        <f t="shared" si="33"/>
        <v>522.09820000000036</v>
      </c>
      <c r="S389" s="1" t="s">
        <v>1016</v>
      </c>
      <c r="T389" s="1" t="s">
        <v>1007</v>
      </c>
      <c r="U389" s="1" t="str">
        <f t="shared" si="34"/>
        <v>YES</v>
      </c>
    </row>
    <row r="390" spans="1:21" x14ac:dyDescent="0.3">
      <c r="A390" s="1" t="s">
        <v>575</v>
      </c>
      <c r="B390" s="1" t="s">
        <v>237</v>
      </c>
      <c r="C390" s="1" t="s">
        <v>238</v>
      </c>
      <c r="D390" s="1" t="s">
        <v>85</v>
      </c>
      <c r="E390" s="1" t="s">
        <v>1403</v>
      </c>
      <c r="F390" s="1" t="s">
        <v>1027</v>
      </c>
      <c r="G390" s="1" t="s">
        <v>1023</v>
      </c>
      <c r="H390" s="1">
        <v>10</v>
      </c>
      <c r="I390" s="1">
        <v>4</v>
      </c>
      <c r="J390" s="1" t="s">
        <v>2761</v>
      </c>
      <c r="K390" s="2">
        <v>80.95</v>
      </c>
      <c r="L390" s="6">
        <v>5</v>
      </c>
      <c r="M390" s="2">
        <f t="shared" si="30"/>
        <v>809.5</v>
      </c>
      <c r="N390" s="2">
        <f t="shared" si="31"/>
        <v>40.475000000000001</v>
      </c>
      <c r="O390" s="2">
        <f t="shared" si="32"/>
        <v>769.02499999999998</v>
      </c>
      <c r="P390" s="1">
        <v>137</v>
      </c>
      <c r="Q390" s="2">
        <v>56.66</v>
      </c>
      <c r="R390" s="2">
        <f t="shared" si="33"/>
        <v>202.42500000000007</v>
      </c>
      <c r="S390" s="1" t="s">
        <v>1003</v>
      </c>
      <c r="T390" s="1" t="s">
        <v>1004</v>
      </c>
      <c r="U390" s="1" t="str">
        <f t="shared" si="34"/>
        <v>NO</v>
      </c>
    </row>
    <row r="391" spans="1:21" x14ac:dyDescent="0.3">
      <c r="A391" s="1" t="s">
        <v>576</v>
      </c>
      <c r="B391" s="1" t="s">
        <v>102</v>
      </c>
      <c r="C391" s="1" t="s">
        <v>103</v>
      </c>
      <c r="D391" s="1" t="s">
        <v>104</v>
      </c>
      <c r="E391" s="1" t="s">
        <v>1404</v>
      </c>
      <c r="F391" s="1" t="s">
        <v>1009</v>
      </c>
      <c r="G391" s="1" t="s">
        <v>1010</v>
      </c>
      <c r="H391" s="1">
        <v>2</v>
      </c>
      <c r="I391" s="1">
        <v>5</v>
      </c>
      <c r="J391" s="1" t="s">
        <v>2570</v>
      </c>
      <c r="K391" s="2">
        <v>164.92</v>
      </c>
      <c r="L391" s="6">
        <v>2</v>
      </c>
      <c r="M391" s="2">
        <f t="shared" si="30"/>
        <v>329.84</v>
      </c>
      <c r="N391" s="2">
        <f t="shared" si="31"/>
        <v>6.5967999999999991</v>
      </c>
      <c r="O391" s="2">
        <f t="shared" si="32"/>
        <v>323.2432</v>
      </c>
      <c r="P391" s="1">
        <v>162</v>
      </c>
      <c r="Q391" s="2">
        <v>115.44</v>
      </c>
      <c r="R391" s="2">
        <f t="shared" si="33"/>
        <v>92.363200000000006</v>
      </c>
      <c r="S391" s="1" t="s">
        <v>1011</v>
      </c>
      <c r="T391" s="1" t="s">
        <v>1007</v>
      </c>
      <c r="U391" s="1" t="str">
        <f t="shared" si="34"/>
        <v>NO</v>
      </c>
    </row>
    <row r="392" spans="1:21" x14ac:dyDescent="0.3">
      <c r="A392" s="1" t="s">
        <v>577</v>
      </c>
      <c r="B392" s="1" t="s">
        <v>83</v>
      </c>
      <c r="C392" s="1" t="s">
        <v>84</v>
      </c>
      <c r="D392" s="1" t="s">
        <v>85</v>
      </c>
      <c r="E392" s="1" t="s">
        <v>1405</v>
      </c>
      <c r="F392" s="1" t="s">
        <v>1020</v>
      </c>
      <c r="G392" s="1" t="s">
        <v>1023</v>
      </c>
      <c r="H392" s="1">
        <v>15</v>
      </c>
      <c r="I392" s="1">
        <v>7</v>
      </c>
      <c r="J392" s="1" t="s">
        <v>2762</v>
      </c>
      <c r="K392" s="2">
        <v>191.85</v>
      </c>
      <c r="L392" s="6">
        <v>8</v>
      </c>
      <c r="M392" s="2">
        <f t="shared" si="30"/>
        <v>2877.75</v>
      </c>
      <c r="N392" s="2">
        <f t="shared" si="31"/>
        <v>230.22</v>
      </c>
      <c r="O392" s="2">
        <f t="shared" si="32"/>
        <v>2647.53</v>
      </c>
      <c r="P392" s="1">
        <v>118</v>
      </c>
      <c r="Q392" s="2">
        <v>134.29</v>
      </c>
      <c r="R392" s="2">
        <f t="shared" si="33"/>
        <v>633.18000000000029</v>
      </c>
      <c r="S392" s="1" t="s">
        <v>1016</v>
      </c>
      <c r="T392" s="1" t="s">
        <v>1007</v>
      </c>
      <c r="U392" s="1" t="str">
        <f t="shared" si="34"/>
        <v>YES</v>
      </c>
    </row>
    <row r="393" spans="1:21" x14ac:dyDescent="0.3">
      <c r="A393" s="1" t="s">
        <v>578</v>
      </c>
      <c r="B393" s="1" t="s">
        <v>111</v>
      </c>
      <c r="C393" s="1" t="s">
        <v>112</v>
      </c>
      <c r="D393" s="1" t="s">
        <v>97</v>
      </c>
      <c r="E393" s="1" t="s">
        <v>1406</v>
      </c>
      <c r="F393" s="1" t="s">
        <v>1009</v>
      </c>
      <c r="G393" s="1" t="s">
        <v>1010</v>
      </c>
      <c r="H393" s="1">
        <v>10</v>
      </c>
      <c r="I393" s="1">
        <v>2</v>
      </c>
      <c r="J393" s="1" t="s">
        <v>2763</v>
      </c>
      <c r="K393" s="2">
        <v>101.75</v>
      </c>
      <c r="L393" s="6">
        <v>3</v>
      </c>
      <c r="M393" s="2">
        <f t="shared" si="30"/>
        <v>1017.5</v>
      </c>
      <c r="N393" s="2">
        <f t="shared" si="31"/>
        <v>30.524999999999999</v>
      </c>
      <c r="O393" s="2">
        <f t="shared" si="32"/>
        <v>986.97500000000002</v>
      </c>
      <c r="P393" s="1">
        <v>209</v>
      </c>
      <c r="Q393" s="2">
        <v>71.22</v>
      </c>
      <c r="R393" s="2">
        <f t="shared" si="33"/>
        <v>274.77499999999998</v>
      </c>
      <c r="S393" s="1" t="s">
        <v>1003</v>
      </c>
      <c r="T393" s="1" t="s">
        <v>1007</v>
      </c>
      <c r="U393" s="1" t="str">
        <f t="shared" si="34"/>
        <v>NO</v>
      </c>
    </row>
    <row r="394" spans="1:21" x14ac:dyDescent="0.3">
      <c r="A394" s="1" t="s">
        <v>579</v>
      </c>
      <c r="B394" s="1" t="s">
        <v>130</v>
      </c>
      <c r="C394" s="1" t="s">
        <v>131</v>
      </c>
      <c r="D394" s="1" t="s">
        <v>132</v>
      </c>
      <c r="E394" s="1" t="s">
        <v>1407</v>
      </c>
      <c r="F394" s="1" t="s">
        <v>1013</v>
      </c>
      <c r="G394" s="1" t="s">
        <v>1010</v>
      </c>
      <c r="H394" s="1">
        <v>3</v>
      </c>
      <c r="I394" s="1">
        <v>2</v>
      </c>
      <c r="J394" s="1" t="s">
        <v>2749</v>
      </c>
      <c r="K394" s="2">
        <v>309.8</v>
      </c>
      <c r="L394" s="6">
        <v>1</v>
      </c>
      <c r="M394" s="2">
        <f t="shared" si="30"/>
        <v>929.40000000000009</v>
      </c>
      <c r="N394" s="2">
        <f t="shared" si="31"/>
        <v>9.2940000000000005</v>
      </c>
      <c r="O394" s="2">
        <f t="shared" si="32"/>
        <v>920.10600000000011</v>
      </c>
      <c r="P394" s="1">
        <v>206</v>
      </c>
      <c r="Q394" s="2">
        <v>216.86</v>
      </c>
      <c r="R394" s="2">
        <f t="shared" si="33"/>
        <v>269.52600000000007</v>
      </c>
      <c r="S394" s="1" t="s">
        <v>1011</v>
      </c>
      <c r="T394" s="1" t="s">
        <v>1004</v>
      </c>
      <c r="U394" s="1" t="str">
        <f t="shared" si="34"/>
        <v>NO</v>
      </c>
    </row>
    <row r="395" spans="1:21" x14ac:dyDescent="0.3">
      <c r="A395" s="1" t="s">
        <v>580</v>
      </c>
      <c r="B395" s="1" t="s">
        <v>143</v>
      </c>
      <c r="C395" s="1" t="s">
        <v>144</v>
      </c>
      <c r="D395" s="1" t="s">
        <v>47</v>
      </c>
      <c r="E395" s="1" t="s">
        <v>1408</v>
      </c>
      <c r="F395" s="1" t="s">
        <v>1020</v>
      </c>
      <c r="G395" s="1" t="s">
        <v>1023</v>
      </c>
      <c r="H395" s="1">
        <v>11</v>
      </c>
      <c r="I395" s="1">
        <v>5</v>
      </c>
      <c r="J395" s="1" t="s">
        <v>2764</v>
      </c>
      <c r="K395" s="2">
        <v>378.48</v>
      </c>
      <c r="L395" s="6">
        <v>12</v>
      </c>
      <c r="M395" s="2">
        <f t="shared" si="30"/>
        <v>4163.2800000000007</v>
      </c>
      <c r="N395" s="2">
        <f t="shared" si="31"/>
        <v>499.59360000000009</v>
      </c>
      <c r="O395" s="2">
        <f t="shared" si="32"/>
        <v>3663.6864000000005</v>
      </c>
      <c r="P395" s="1">
        <v>254</v>
      </c>
      <c r="Q395" s="2">
        <v>264.94</v>
      </c>
      <c r="R395" s="2">
        <f t="shared" si="33"/>
        <v>749.34640000000036</v>
      </c>
      <c r="S395" s="1" t="s">
        <v>1016</v>
      </c>
      <c r="T395" s="1" t="s">
        <v>1007</v>
      </c>
      <c r="U395" s="1" t="str">
        <f t="shared" si="34"/>
        <v>YES</v>
      </c>
    </row>
    <row r="396" spans="1:21" x14ac:dyDescent="0.3">
      <c r="A396" s="1" t="s">
        <v>581</v>
      </c>
      <c r="B396" s="1" t="s">
        <v>118</v>
      </c>
      <c r="C396" s="1" t="s">
        <v>119</v>
      </c>
      <c r="D396" s="1" t="s">
        <v>97</v>
      </c>
      <c r="E396" s="1" t="s">
        <v>1409</v>
      </c>
      <c r="F396" s="1" t="s">
        <v>1020</v>
      </c>
      <c r="G396" s="1" t="s">
        <v>1023</v>
      </c>
      <c r="H396" s="1">
        <v>5</v>
      </c>
      <c r="I396" s="1">
        <v>4</v>
      </c>
      <c r="J396" s="1" t="s">
        <v>2689</v>
      </c>
      <c r="K396" s="2">
        <v>369.83</v>
      </c>
      <c r="L396" s="6">
        <v>7</v>
      </c>
      <c r="M396" s="2">
        <f t="shared" si="30"/>
        <v>1849.1499999999999</v>
      </c>
      <c r="N396" s="2">
        <f t="shared" si="31"/>
        <v>129.44049999999999</v>
      </c>
      <c r="O396" s="2">
        <f t="shared" si="32"/>
        <v>1719.7094999999999</v>
      </c>
      <c r="P396" s="1">
        <v>152</v>
      </c>
      <c r="Q396" s="2">
        <v>258.88</v>
      </c>
      <c r="R396" s="2">
        <f t="shared" si="33"/>
        <v>425.30949999999984</v>
      </c>
      <c r="S396" s="1" t="s">
        <v>1011</v>
      </c>
      <c r="T396" s="1" t="s">
        <v>1007</v>
      </c>
      <c r="U396" s="1" t="str">
        <f t="shared" si="34"/>
        <v>NO</v>
      </c>
    </row>
    <row r="397" spans="1:21" x14ac:dyDescent="0.3">
      <c r="A397" s="1" t="s">
        <v>582</v>
      </c>
      <c r="B397" s="1" t="s">
        <v>130</v>
      </c>
      <c r="C397" s="1" t="s">
        <v>131</v>
      </c>
      <c r="D397" s="1" t="s">
        <v>132</v>
      </c>
      <c r="E397" s="1" t="s">
        <v>1410</v>
      </c>
      <c r="F397" s="1" t="s">
        <v>1027</v>
      </c>
      <c r="G397" s="1" t="s">
        <v>1002</v>
      </c>
      <c r="H397" s="1">
        <v>4</v>
      </c>
      <c r="I397" s="1">
        <v>2</v>
      </c>
      <c r="J397" s="1" t="s">
        <v>2726</v>
      </c>
      <c r="K397" s="2">
        <v>353.78</v>
      </c>
      <c r="L397" s="6">
        <v>2</v>
      </c>
      <c r="M397" s="2">
        <f t="shared" si="30"/>
        <v>1415.12</v>
      </c>
      <c r="N397" s="2">
        <f t="shared" si="31"/>
        <v>28.302399999999999</v>
      </c>
      <c r="O397" s="2">
        <f t="shared" si="32"/>
        <v>1386.8175999999999</v>
      </c>
      <c r="P397" s="1">
        <v>249</v>
      </c>
      <c r="Q397" s="2">
        <v>247.65</v>
      </c>
      <c r="R397" s="2">
        <f t="shared" si="33"/>
        <v>396.21759999999983</v>
      </c>
      <c r="S397" s="1" t="s">
        <v>1003</v>
      </c>
      <c r="T397" s="1" t="s">
        <v>1007</v>
      </c>
      <c r="U397" s="1" t="str">
        <f t="shared" si="34"/>
        <v>NO</v>
      </c>
    </row>
    <row r="398" spans="1:21" x14ac:dyDescent="0.3">
      <c r="A398" s="1" t="s">
        <v>583</v>
      </c>
      <c r="B398" s="1" t="s">
        <v>83</v>
      </c>
      <c r="C398" s="1" t="s">
        <v>84</v>
      </c>
      <c r="D398" s="1" t="s">
        <v>85</v>
      </c>
      <c r="E398" s="1" t="s">
        <v>1411</v>
      </c>
      <c r="F398" s="1" t="s">
        <v>1013</v>
      </c>
      <c r="G398" s="1" t="s">
        <v>1023</v>
      </c>
      <c r="H398" s="1">
        <v>7</v>
      </c>
      <c r="I398" s="1">
        <v>4</v>
      </c>
      <c r="J398" s="1" t="s">
        <v>2599</v>
      </c>
      <c r="K398" s="2">
        <v>217.46</v>
      </c>
      <c r="L398" s="6">
        <v>23</v>
      </c>
      <c r="M398" s="2">
        <f t="shared" si="30"/>
        <v>1522.22</v>
      </c>
      <c r="N398" s="2">
        <f t="shared" si="31"/>
        <v>350.11059999999998</v>
      </c>
      <c r="O398" s="2">
        <f t="shared" si="32"/>
        <v>1172.1094000000001</v>
      </c>
      <c r="P398" s="1">
        <v>230</v>
      </c>
      <c r="Q398" s="2">
        <v>152.22</v>
      </c>
      <c r="R398" s="2">
        <f t="shared" si="33"/>
        <v>106.56940000000009</v>
      </c>
      <c r="S398" s="1" t="s">
        <v>1016</v>
      </c>
      <c r="T398" s="1" t="s">
        <v>1004</v>
      </c>
      <c r="U398" s="1" t="str">
        <f t="shared" si="34"/>
        <v>YES</v>
      </c>
    </row>
    <row r="399" spans="1:21" x14ac:dyDescent="0.3">
      <c r="A399" s="1" t="s">
        <v>584</v>
      </c>
      <c r="B399" s="1" t="s">
        <v>123</v>
      </c>
      <c r="C399" s="1" t="s">
        <v>124</v>
      </c>
      <c r="D399" s="1" t="s">
        <v>47</v>
      </c>
      <c r="E399" s="1" t="s">
        <v>1412</v>
      </c>
      <c r="F399" s="1" t="s">
        <v>1001</v>
      </c>
      <c r="G399" s="1" t="s">
        <v>1010</v>
      </c>
      <c r="H399" s="1">
        <v>7</v>
      </c>
      <c r="I399" s="1">
        <v>3</v>
      </c>
      <c r="J399" s="1" t="s">
        <v>2765</v>
      </c>
      <c r="K399" s="2">
        <v>113.09</v>
      </c>
      <c r="L399" s="6">
        <v>5</v>
      </c>
      <c r="M399" s="2">
        <f t="shared" si="30"/>
        <v>791.63</v>
      </c>
      <c r="N399" s="2">
        <f t="shared" si="31"/>
        <v>39.581499999999998</v>
      </c>
      <c r="O399" s="2">
        <f t="shared" si="32"/>
        <v>752.04849999999999</v>
      </c>
      <c r="P399" s="1">
        <v>72</v>
      </c>
      <c r="Q399" s="2">
        <v>79.16</v>
      </c>
      <c r="R399" s="2">
        <f t="shared" si="33"/>
        <v>197.92849999999999</v>
      </c>
      <c r="S399" s="1" t="s">
        <v>1011</v>
      </c>
      <c r="T399" s="1" t="s">
        <v>1004</v>
      </c>
      <c r="U399" s="1" t="str">
        <f t="shared" si="34"/>
        <v>NO</v>
      </c>
    </row>
    <row r="400" spans="1:21" x14ac:dyDescent="0.3">
      <c r="A400" s="1" t="s">
        <v>585</v>
      </c>
      <c r="B400" s="1" t="s">
        <v>37</v>
      </c>
      <c r="C400" s="1" t="s">
        <v>38</v>
      </c>
      <c r="D400" s="1" t="s">
        <v>39</v>
      </c>
      <c r="E400" s="1" t="s">
        <v>1413</v>
      </c>
      <c r="F400" s="1" t="s">
        <v>1009</v>
      </c>
      <c r="G400" s="1" t="s">
        <v>1002</v>
      </c>
      <c r="H400" s="1">
        <v>14</v>
      </c>
      <c r="I400" s="1">
        <v>5</v>
      </c>
      <c r="J400" s="1" t="s">
        <v>2522</v>
      </c>
      <c r="K400" s="2">
        <v>128.41</v>
      </c>
      <c r="L400" s="6">
        <v>15</v>
      </c>
      <c r="M400" s="2">
        <f t="shared" si="30"/>
        <v>1797.74</v>
      </c>
      <c r="N400" s="2">
        <f t="shared" si="31"/>
        <v>269.661</v>
      </c>
      <c r="O400" s="2">
        <f t="shared" si="32"/>
        <v>1528.079</v>
      </c>
      <c r="P400" s="1">
        <v>259</v>
      </c>
      <c r="Q400" s="2">
        <v>89.89</v>
      </c>
      <c r="R400" s="2">
        <f t="shared" si="33"/>
        <v>269.61899999999991</v>
      </c>
      <c r="S400" s="1" t="s">
        <v>1016</v>
      </c>
      <c r="T400" s="1" t="s">
        <v>1007</v>
      </c>
      <c r="U400" s="1" t="str">
        <f t="shared" si="34"/>
        <v>YES</v>
      </c>
    </row>
    <row r="401" spans="1:21" x14ac:dyDescent="0.3">
      <c r="A401" s="1" t="s">
        <v>586</v>
      </c>
      <c r="B401" s="1" t="s">
        <v>95</v>
      </c>
      <c r="C401" s="1" t="s">
        <v>96</v>
      </c>
      <c r="D401" s="1" t="s">
        <v>97</v>
      </c>
      <c r="E401" s="1" t="s">
        <v>1414</v>
      </c>
      <c r="F401" s="1" t="s">
        <v>1006</v>
      </c>
      <c r="G401" s="1" t="s">
        <v>1002</v>
      </c>
      <c r="H401" s="1">
        <v>3</v>
      </c>
      <c r="I401" s="1">
        <v>6</v>
      </c>
      <c r="J401" s="1" t="s">
        <v>2766</v>
      </c>
      <c r="K401" s="2">
        <v>343.19</v>
      </c>
      <c r="L401" s="6">
        <v>8</v>
      </c>
      <c r="M401" s="2">
        <f t="shared" si="30"/>
        <v>1029.57</v>
      </c>
      <c r="N401" s="2">
        <f t="shared" si="31"/>
        <v>82.365600000000001</v>
      </c>
      <c r="O401" s="2">
        <f t="shared" si="32"/>
        <v>947.20439999999996</v>
      </c>
      <c r="P401" s="1">
        <v>182</v>
      </c>
      <c r="Q401" s="2">
        <v>240.23</v>
      </c>
      <c r="R401" s="2">
        <f t="shared" si="33"/>
        <v>226.51440000000002</v>
      </c>
      <c r="S401" s="1" t="s">
        <v>1016</v>
      </c>
      <c r="T401" s="1" t="s">
        <v>1007</v>
      </c>
      <c r="U401" s="1" t="str">
        <f t="shared" si="34"/>
        <v>YES</v>
      </c>
    </row>
    <row r="402" spans="1:21" x14ac:dyDescent="0.3">
      <c r="A402" s="1" t="s">
        <v>587</v>
      </c>
      <c r="B402" s="1" t="s">
        <v>37</v>
      </c>
      <c r="C402" s="1" t="s">
        <v>38</v>
      </c>
      <c r="D402" s="1" t="s">
        <v>39</v>
      </c>
      <c r="E402" s="1" t="s">
        <v>1415</v>
      </c>
      <c r="F402" s="1" t="s">
        <v>1001</v>
      </c>
      <c r="G402" s="1" t="s">
        <v>1010</v>
      </c>
      <c r="H402" s="1">
        <v>8</v>
      </c>
      <c r="I402" s="1">
        <v>6</v>
      </c>
      <c r="J402" s="1" t="s">
        <v>2583</v>
      </c>
      <c r="K402" s="2">
        <v>430.85</v>
      </c>
      <c r="L402" s="6">
        <v>25</v>
      </c>
      <c r="M402" s="2">
        <f t="shared" si="30"/>
        <v>3446.8</v>
      </c>
      <c r="N402" s="2">
        <f t="shared" si="31"/>
        <v>861.7</v>
      </c>
      <c r="O402" s="2">
        <f t="shared" si="32"/>
        <v>2585.1000000000004</v>
      </c>
      <c r="P402" s="1">
        <v>174</v>
      </c>
      <c r="Q402" s="2">
        <v>301.58999999999997</v>
      </c>
      <c r="R402" s="2">
        <f t="shared" si="33"/>
        <v>172.38000000000056</v>
      </c>
      <c r="S402" s="1" t="s">
        <v>1016</v>
      </c>
      <c r="T402" s="1" t="s">
        <v>1004</v>
      </c>
      <c r="U402" s="1" t="str">
        <f t="shared" si="34"/>
        <v>YES</v>
      </c>
    </row>
    <row r="403" spans="1:21" x14ac:dyDescent="0.3">
      <c r="A403" s="1" t="s">
        <v>588</v>
      </c>
      <c r="B403" s="1" t="s">
        <v>52</v>
      </c>
      <c r="C403" s="1" t="s">
        <v>53</v>
      </c>
      <c r="D403" s="1" t="s">
        <v>47</v>
      </c>
      <c r="E403" s="1" t="s">
        <v>1416</v>
      </c>
      <c r="F403" s="1" t="s">
        <v>1015</v>
      </c>
      <c r="G403" s="1" t="s">
        <v>1010</v>
      </c>
      <c r="H403" s="1">
        <v>15</v>
      </c>
      <c r="I403" s="1">
        <v>1</v>
      </c>
      <c r="J403" s="1" t="s">
        <v>2767</v>
      </c>
      <c r="K403" s="2">
        <v>243.74</v>
      </c>
      <c r="L403" s="6">
        <v>0</v>
      </c>
      <c r="M403" s="2">
        <f t="shared" si="30"/>
        <v>3656.1000000000004</v>
      </c>
      <c r="N403" s="2">
        <f t="shared" si="31"/>
        <v>0</v>
      </c>
      <c r="O403" s="2">
        <f t="shared" si="32"/>
        <v>3656.1000000000004</v>
      </c>
      <c r="P403" s="1">
        <v>89</v>
      </c>
      <c r="Q403" s="2">
        <v>170.62</v>
      </c>
      <c r="R403" s="2">
        <f t="shared" si="33"/>
        <v>1096.8000000000002</v>
      </c>
      <c r="S403" s="1" t="s">
        <v>1016</v>
      </c>
      <c r="T403" s="1" t="s">
        <v>1004</v>
      </c>
      <c r="U403" s="1" t="str">
        <f t="shared" si="34"/>
        <v>YES</v>
      </c>
    </row>
    <row r="404" spans="1:21" x14ac:dyDescent="0.3">
      <c r="A404" s="1" t="s">
        <v>589</v>
      </c>
      <c r="B404" s="1" t="s">
        <v>126</v>
      </c>
      <c r="C404" s="1" t="s">
        <v>127</v>
      </c>
      <c r="D404" s="1" t="s">
        <v>85</v>
      </c>
      <c r="E404" s="1" t="s">
        <v>1417</v>
      </c>
      <c r="F404" s="1" t="s">
        <v>1027</v>
      </c>
      <c r="G404" s="1" t="s">
        <v>1023</v>
      </c>
      <c r="H404" s="1">
        <v>8</v>
      </c>
      <c r="I404" s="1">
        <v>3</v>
      </c>
      <c r="J404" s="1" t="s">
        <v>2768</v>
      </c>
      <c r="K404" s="2">
        <v>320.14</v>
      </c>
      <c r="L404" s="6">
        <v>13</v>
      </c>
      <c r="M404" s="2">
        <f t="shared" si="30"/>
        <v>2561.12</v>
      </c>
      <c r="N404" s="2">
        <f t="shared" si="31"/>
        <v>332.94559999999996</v>
      </c>
      <c r="O404" s="2">
        <f t="shared" si="32"/>
        <v>2228.1743999999999</v>
      </c>
      <c r="P404" s="1">
        <v>39</v>
      </c>
      <c r="Q404" s="2">
        <v>224.1</v>
      </c>
      <c r="R404" s="2">
        <f t="shared" si="33"/>
        <v>435.37439999999992</v>
      </c>
      <c r="S404" s="1" t="s">
        <v>1003</v>
      </c>
      <c r="T404" s="1" t="s">
        <v>1007</v>
      </c>
      <c r="U404" s="1" t="str">
        <f t="shared" si="34"/>
        <v>NO</v>
      </c>
    </row>
    <row r="405" spans="1:21" x14ac:dyDescent="0.3">
      <c r="A405" s="1" t="s">
        <v>590</v>
      </c>
      <c r="B405" s="1" t="s">
        <v>143</v>
      </c>
      <c r="C405" s="1" t="s">
        <v>144</v>
      </c>
      <c r="D405" s="1" t="s">
        <v>47</v>
      </c>
      <c r="E405" s="1" t="s">
        <v>1418</v>
      </c>
      <c r="F405" s="1" t="s">
        <v>1013</v>
      </c>
      <c r="G405" s="1" t="s">
        <v>1002</v>
      </c>
      <c r="H405" s="1">
        <v>3</v>
      </c>
      <c r="I405" s="1">
        <v>3</v>
      </c>
      <c r="J405" s="1" t="s">
        <v>2752</v>
      </c>
      <c r="K405" s="2">
        <v>409.06</v>
      </c>
      <c r="L405" s="6">
        <v>18</v>
      </c>
      <c r="M405" s="2">
        <f t="shared" si="30"/>
        <v>1227.18</v>
      </c>
      <c r="N405" s="2">
        <f t="shared" si="31"/>
        <v>220.89240000000001</v>
      </c>
      <c r="O405" s="2">
        <f t="shared" si="32"/>
        <v>1006.2876000000001</v>
      </c>
      <c r="P405" s="1">
        <v>253</v>
      </c>
      <c r="Q405" s="2">
        <v>286.33999999999997</v>
      </c>
      <c r="R405" s="2">
        <f t="shared" si="33"/>
        <v>147.26760000000013</v>
      </c>
      <c r="S405" s="1" t="s">
        <v>1003</v>
      </c>
      <c r="T405" s="1" t="s">
        <v>1004</v>
      </c>
      <c r="U405" s="1" t="str">
        <f t="shared" si="34"/>
        <v>NO</v>
      </c>
    </row>
    <row r="406" spans="1:21" x14ac:dyDescent="0.3">
      <c r="A406" s="1" t="s">
        <v>591</v>
      </c>
      <c r="B406" s="1" t="s">
        <v>192</v>
      </c>
      <c r="C406" s="1" t="s">
        <v>193</v>
      </c>
      <c r="D406" s="1" t="s">
        <v>85</v>
      </c>
      <c r="E406" s="1" t="s">
        <v>1419</v>
      </c>
      <c r="F406" s="1" t="s">
        <v>1006</v>
      </c>
      <c r="G406" s="1" t="s">
        <v>1023</v>
      </c>
      <c r="H406" s="1">
        <v>5</v>
      </c>
      <c r="I406" s="1">
        <v>2</v>
      </c>
      <c r="J406" s="1" t="s">
        <v>2769</v>
      </c>
      <c r="K406" s="2">
        <v>373.41</v>
      </c>
      <c r="L406" s="6">
        <v>19</v>
      </c>
      <c r="M406" s="2">
        <f t="shared" si="30"/>
        <v>1867.0500000000002</v>
      </c>
      <c r="N406" s="2">
        <f t="shared" si="31"/>
        <v>354.73950000000002</v>
      </c>
      <c r="O406" s="2">
        <f t="shared" si="32"/>
        <v>1512.3105</v>
      </c>
      <c r="P406" s="1">
        <v>73</v>
      </c>
      <c r="Q406" s="2">
        <v>261.39</v>
      </c>
      <c r="R406" s="2">
        <f t="shared" si="33"/>
        <v>205.36050000000023</v>
      </c>
      <c r="S406" s="1" t="s">
        <v>1003</v>
      </c>
      <c r="T406" s="1" t="s">
        <v>1007</v>
      </c>
      <c r="U406" s="1" t="str">
        <f t="shared" si="34"/>
        <v>NO</v>
      </c>
    </row>
    <row r="407" spans="1:21" x14ac:dyDescent="0.3">
      <c r="A407" s="1" t="s">
        <v>592</v>
      </c>
      <c r="B407" s="1" t="s">
        <v>45</v>
      </c>
      <c r="C407" s="1" t="s">
        <v>46</v>
      </c>
      <c r="D407" s="1" t="s">
        <v>47</v>
      </c>
      <c r="E407" s="1" t="s">
        <v>1420</v>
      </c>
      <c r="F407" s="1" t="s">
        <v>1009</v>
      </c>
      <c r="G407" s="1" t="s">
        <v>1002</v>
      </c>
      <c r="H407" s="1">
        <v>7</v>
      </c>
      <c r="I407" s="1">
        <v>4</v>
      </c>
      <c r="J407" s="1" t="s">
        <v>2770</v>
      </c>
      <c r="K407" s="2">
        <v>378.48</v>
      </c>
      <c r="L407" s="6">
        <v>4</v>
      </c>
      <c r="M407" s="2">
        <f t="shared" si="30"/>
        <v>2649.36</v>
      </c>
      <c r="N407" s="2">
        <f t="shared" si="31"/>
        <v>105.9744</v>
      </c>
      <c r="O407" s="2">
        <f t="shared" si="32"/>
        <v>2543.3856000000001</v>
      </c>
      <c r="P407" s="1">
        <v>81</v>
      </c>
      <c r="Q407" s="2">
        <v>264.94</v>
      </c>
      <c r="R407" s="2">
        <f t="shared" si="33"/>
        <v>688.80560000000014</v>
      </c>
      <c r="S407" s="1" t="s">
        <v>1003</v>
      </c>
      <c r="T407" s="1" t="s">
        <v>1004</v>
      </c>
      <c r="U407" s="1" t="str">
        <f t="shared" si="34"/>
        <v>NO</v>
      </c>
    </row>
    <row r="408" spans="1:21" x14ac:dyDescent="0.3">
      <c r="A408" s="1" t="s">
        <v>593</v>
      </c>
      <c r="B408" s="1" t="s">
        <v>299</v>
      </c>
      <c r="C408" s="1" t="s">
        <v>300</v>
      </c>
      <c r="D408" s="1" t="s">
        <v>39</v>
      </c>
      <c r="E408" s="1" t="s">
        <v>1421</v>
      </c>
      <c r="F408" s="1" t="s">
        <v>1020</v>
      </c>
      <c r="G408" s="1" t="s">
        <v>1023</v>
      </c>
      <c r="H408" s="1">
        <v>12</v>
      </c>
      <c r="I408" s="1">
        <v>3</v>
      </c>
      <c r="J408" s="1" t="s">
        <v>2770</v>
      </c>
      <c r="K408" s="2">
        <v>385.29</v>
      </c>
      <c r="L408" s="6">
        <v>6</v>
      </c>
      <c r="M408" s="2">
        <f t="shared" si="30"/>
        <v>4623.4800000000005</v>
      </c>
      <c r="N408" s="2">
        <f t="shared" si="31"/>
        <v>277.40880000000004</v>
      </c>
      <c r="O408" s="2">
        <f t="shared" si="32"/>
        <v>4346.0712000000003</v>
      </c>
      <c r="P408" s="1">
        <v>41</v>
      </c>
      <c r="Q408" s="2">
        <v>269.7</v>
      </c>
      <c r="R408" s="2">
        <f t="shared" si="33"/>
        <v>1109.6712000000007</v>
      </c>
      <c r="S408" s="1" t="s">
        <v>1011</v>
      </c>
      <c r="T408" s="1" t="s">
        <v>1004</v>
      </c>
      <c r="U408" s="1" t="str">
        <f t="shared" si="34"/>
        <v>NO</v>
      </c>
    </row>
    <row r="409" spans="1:21" x14ac:dyDescent="0.3">
      <c r="A409" s="1" t="s">
        <v>594</v>
      </c>
      <c r="B409" s="1" t="s">
        <v>72</v>
      </c>
      <c r="C409" s="1" t="s">
        <v>73</v>
      </c>
      <c r="D409" s="1" t="s">
        <v>47</v>
      </c>
      <c r="E409" s="1" t="s">
        <v>1422</v>
      </c>
      <c r="F409" s="1" t="s">
        <v>1027</v>
      </c>
      <c r="G409" s="1" t="s">
        <v>1010</v>
      </c>
      <c r="H409" s="1">
        <v>10</v>
      </c>
      <c r="I409" s="1">
        <v>6</v>
      </c>
      <c r="J409" s="1" t="s">
        <v>2757</v>
      </c>
      <c r="K409" s="2">
        <v>492.64</v>
      </c>
      <c r="L409" s="6">
        <v>6</v>
      </c>
      <c r="M409" s="2">
        <f t="shared" si="30"/>
        <v>4926.3999999999996</v>
      </c>
      <c r="N409" s="2">
        <f t="shared" si="31"/>
        <v>295.584</v>
      </c>
      <c r="O409" s="2">
        <f t="shared" si="32"/>
        <v>4630.8159999999998</v>
      </c>
      <c r="P409" s="1">
        <v>99</v>
      </c>
      <c r="Q409" s="2">
        <v>344.85</v>
      </c>
      <c r="R409" s="2">
        <f t="shared" si="33"/>
        <v>1182.3159999999998</v>
      </c>
      <c r="S409" s="1" t="s">
        <v>1003</v>
      </c>
      <c r="T409" s="1" t="s">
        <v>1007</v>
      </c>
      <c r="U409" s="1" t="str">
        <f t="shared" si="34"/>
        <v>NO</v>
      </c>
    </row>
    <row r="410" spans="1:21" x14ac:dyDescent="0.3">
      <c r="A410" s="1" t="s">
        <v>595</v>
      </c>
      <c r="B410" s="1" t="s">
        <v>130</v>
      </c>
      <c r="C410" s="1" t="s">
        <v>131</v>
      </c>
      <c r="D410" s="1" t="s">
        <v>132</v>
      </c>
      <c r="E410" s="1" t="s">
        <v>1423</v>
      </c>
      <c r="F410" s="1" t="s">
        <v>1013</v>
      </c>
      <c r="G410" s="1" t="s">
        <v>1002</v>
      </c>
      <c r="H410" s="1">
        <v>9</v>
      </c>
      <c r="I410" s="1">
        <v>5</v>
      </c>
      <c r="J410" s="1" t="s">
        <v>2771</v>
      </c>
      <c r="K410" s="2">
        <v>368.05</v>
      </c>
      <c r="L410" s="6">
        <v>8</v>
      </c>
      <c r="M410" s="2">
        <f t="shared" si="30"/>
        <v>3312.4500000000003</v>
      </c>
      <c r="N410" s="2">
        <f t="shared" si="31"/>
        <v>264.99600000000004</v>
      </c>
      <c r="O410" s="2">
        <f t="shared" si="32"/>
        <v>3047.4540000000002</v>
      </c>
      <c r="P410" s="1">
        <v>250</v>
      </c>
      <c r="Q410" s="2">
        <v>257.63</v>
      </c>
      <c r="R410" s="2">
        <f t="shared" si="33"/>
        <v>728.78400000000011</v>
      </c>
      <c r="S410" s="1" t="s">
        <v>1003</v>
      </c>
      <c r="T410" s="1" t="s">
        <v>1004</v>
      </c>
      <c r="U410" s="1" t="str">
        <f t="shared" si="34"/>
        <v>NO</v>
      </c>
    </row>
    <row r="411" spans="1:21" x14ac:dyDescent="0.3">
      <c r="A411" s="1" t="s">
        <v>596</v>
      </c>
      <c r="B411" s="1" t="s">
        <v>69</v>
      </c>
      <c r="C411" s="1" t="s">
        <v>70</v>
      </c>
      <c r="D411" s="1" t="s">
        <v>59</v>
      </c>
      <c r="E411" s="1" t="s">
        <v>1424</v>
      </c>
      <c r="F411" s="1" t="s">
        <v>1009</v>
      </c>
      <c r="G411" s="1" t="s">
        <v>1002</v>
      </c>
      <c r="H411" s="1">
        <v>5</v>
      </c>
      <c r="I411" s="1">
        <v>2</v>
      </c>
      <c r="J411" s="1" t="s">
        <v>2530</v>
      </c>
      <c r="K411" s="2">
        <v>283.73</v>
      </c>
      <c r="L411" s="6">
        <v>12</v>
      </c>
      <c r="M411" s="2">
        <f t="shared" si="30"/>
        <v>1418.65</v>
      </c>
      <c r="N411" s="2">
        <f t="shared" si="31"/>
        <v>170.23800000000003</v>
      </c>
      <c r="O411" s="2">
        <f t="shared" si="32"/>
        <v>1248.412</v>
      </c>
      <c r="P411" s="1">
        <v>54</v>
      </c>
      <c r="Q411" s="2">
        <v>198.61</v>
      </c>
      <c r="R411" s="2">
        <f t="shared" si="33"/>
        <v>255.36199999999997</v>
      </c>
      <c r="S411" s="1" t="s">
        <v>1011</v>
      </c>
      <c r="T411" s="1" t="s">
        <v>1007</v>
      </c>
      <c r="U411" s="1" t="str">
        <f t="shared" si="34"/>
        <v>NO</v>
      </c>
    </row>
    <row r="412" spans="1:21" x14ac:dyDescent="0.3">
      <c r="A412" s="1" t="s">
        <v>597</v>
      </c>
      <c r="B412" s="1" t="s">
        <v>262</v>
      </c>
      <c r="C412" s="1" t="s">
        <v>263</v>
      </c>
      <c r="D412" s="1" t="s">
        <v>104</v>
      </c>
      <c r="E412" s="1" t="s">
        <v>1425</v>
      </c>
      <c r="F412" s="1" t="s">
        <v>1020</v>
      </c>
      <c r="G412" s="1" t="s">
        <v>1023</v>
      </c>
      <c r="H412" s="1">
        <v>9</v>
      </c>
      <c r="I412" s="1">
        <v>7</v>
      </c>
      <c r="J412" s="1" t="s">
        <v>2518</v>
      </c>
      <c r="K412" s="2">
        <v>108.58</v>
      </c>
      <c r="L412" s="6">
        <v>16</v>
      </c>
      <c r="M412" s="2">
        <f t="shared" si="30"/>
        <v>977.22</v>
      </c>
      <c r="N412" s="2">
        <f t="shared" si="31"/>
        <v>156.3552</v>
      </c>
      <c r="O412" s="2">
        <f t="shared" si="32"/>
        <v>820.86480000000006</v>
      </c>
      <c r="P412" s="1">
        <v>36</v>
      </c>
      <c r="Q412" s="2">
        <v>76.010000000000005</v>
      </c>
      <c r="R412" s="2">
        <f t="shared" si="33"/>
        <v>136.77480000000003</v>
      </c>
      <c r="S412" s="1" t="s">
        <v>1011</v>
      </c>
      <c r="T412" s="1" t="s">
        <v>1004</v>
      </c>
      <c r="U412" s="1" t="str">
        <f t="shared" si="34"/>
        <v>NO</v>
      </c>
    </row>
    <row r="413" spans="1:21" x14ac:dyDescent="0.3">
      <c r="A413" s="1" t="s">
        <v>598</v>
      </c>
      <c r="B413" s="1" t="s">
        <v>172</v>
      </c>
      <c r="C413" s="1" t="s">
        <v>173</v>
      </c>
      <c r="D413" s="1" t="s">
        <v>132</v>
      </c>
      <c r="E413" s="1" t="s">
        <v>1426</v>
      </c>
      <c r="F413" s="1" t="s">
        <v>1027</v>
      </c>
      <c r="G413" s="1" t="s">
        <v>1010</v>
      </c>
      <c r="H413" s="1">
        <v>6</v>
      </c>
      <c r="I413" s="1">
        <v>6</v>
      </c>
      <c r="J413" s="1" t="s">
        <v>2569</v>
      </c>
      <c r="K413" s="2">
        <v>367.14</v>
      </c>
      <c r="L413" s="6">
        <v>19</v>
      </c>
      <c r="M413" s="2">
        <f t="shared" si="30"/>
        <v>2202.84</v>
      </c>
      <c r="N413" s="2">
        <f t="shared" si="31"/>
        <v>418.53960000000006</v>
      </c>
      <c r="O413" s="2">
        <f t="shared" si="32"/>
        <v>1784.3004000000001</v>
      </c>
      <c r="P413" s="1">
        <v>287</v>
      </c>
      <c r="Q413" s="2">
        <v>257</v>
      </c>
      <c r="R413" s="2">
        <f t="shared" si="33"/>
        <v>242.30040000000008</v>
      </c>
      <c r="S413" s="1" t="s">
        <v>1016</v>
      </c>
      <c r="T413" s="1" t="s">
        <v>1007</v>
      </c>
      <c r="U413" s="1" t="str">
        <f t="shared" si="34"/>
        <v>YES</v>
      </c>
    </row>
    <row r="414" spans="1:21" x14ac:dyDescent="0.3">
      <c r="A414" s="1" t="s">
        <v>599</v>
      </c>
      <c r="B414" s="1" t="s">
        <v>37</v>
      </c>
      <c r="C414" s="1" t="s">
        <v>38</v>
      </c>
      <c r="D414" s="1" t="s">
        <v>39</v>
      </c>
      <c r="E414" s="1" t="s">
        <v>1427</v>
      </c>
      <c r="F414" s="1" t="s">
        <v>1020</v>
      </c>
      <c r="G414" s="1" t="s">
        <v>1010</v>
      </c>
      <c r="H414" s="1">
        <v>12</v>
      </c>
      <c r="I414" s="1">
        <v>4</v>
      </c>
      <c r="J414" s="1" t="s">
        <v>2772</v>
      </c>
      <c r="K414" s="2">
        <v>115.18</v>
      </c>
      <c r="L414" s="6">
        <v>8</v>
      </c>
      <c r="M414" s="2">
        <f t="shared" si="30"/>
        <v>1382.16</v>
      </c>
      <c r="N414" s="2">
        <f t="shared" si="31"/>
        <v>110.5728</v>
      </c>
      <c r="O414" s="2">
        <f t="shared" si="32"/>
        <v>1271.5872000000002</v>
      </c>
      <c r="P414" s="1">
        <v>223</v>
      </c>
      <c r="Q414" s="2">
        <v>80.63</v>
      </c>
      <c r="R414" s="2">
        <f t="shared" si="33"/>
        <v>304.02720000000022</v>
      </c>
      <c r="S414" s="1" t="s">
        <v>1016</v>
      </c>
      <c r="T414" s="1" t="s">
        <v>1007</v>
      </c>
      <c r="U414" s="1" t="str">
        <f t="shared" si="34"/>
        <v>YES</v>
      </c>
    </row>
    <row r="415" spans="1:21" x14ac:dyDescent="0.3">
      <c r="A415" s="1" t="s">
        <v>600</v>
      </c>
      <c r="B415" s="1" t="s">
        <v>45</v>
      </c>
      <c r="C415" s="1" t="s">
        <v>46</v>
      </c>
      <c r="D415" s="1" t="s">
        <v>47</v>
      </c>
      <c r="E415" s="1" t="s">
        <v>1428</v>
      </c>
      <c r="F415" s="1" t="s">
        <v>1015</v>
      </c>
      <c r="G415" s="1" t="s">
        <v>1023</v>
      </c>
      <c r="H415" s="1">
        <v>12</v>
      </c>
      <c r="I415" s="1">
        <v>2</v>
      </c>
      <c r="J415" s="1" t="s">
        <v>2773</v>
      </c>
      <c r="K415" s="2">
        <v>491.79</v>
      </c>
      <c r="L415" s="6">
        <v>1</v>
      </c>
      <c r="M415" s="2">
        <f t="shared" si="30"/>
        <v>5901.4800000000005</v>
      </c>
      <c r="N415" s="2">
        <f t="shared" si="31"/>
        <v>59.014800000000008</v>
      </c>
      <c r="O415" s="2">
        <f t="shared" si="32"/>
        <v>5842.4652000000006</v>
      </c>
      <c r="P415" s="1">
        <v>57</v>
      </c>
      <c r="Q415" s="2">
        <v>344.25</v>
      </c>
      <c r="R415" s="2">
        <f t="shared" si="33"/>
        <v>1711.4652000000006</v>
      </c>
      <c r="S415" s="1" t="s">
        <v>1016</v>
      </c>
      <c r="T415" s="1" t="s">
        <v>1004</v>
      </c>
      <c r="U415" s="1" t="str">
        <f t="shared" si="34"/>
        <v>YES</v>
      </c>
    </row>
    <row r="416" spans="1:21" x14ac:dyDescent="0.3">
      <c r="A416" s="1" t="s">
        <v>601</v>
      </c>
      <c r="B416" s="1" t="s">
        <v>95</v>
      </c>
      <c r="C416" s="1" t="s">
        <v>96</v>
      </c>
      <c r="D416" s="1" t="s">
        <v>97</v>
      </c>
      <c r="E416" s="1" t="s">
        <v>1429</v>
      </c>
      <c r="F416" s="1" t="s">
        <v>1013</v>
      </c>
      <c r="G416" s="1" t="s">
        <v>1010</v>
      </c>
      <c r="H416" s="1">
        <v>3</v>
      </c>
      <c r="I416" s="1">
        <v>2</v>
      </c>
      <c r="J416" s="1" t="s">
        <v>2774</v>
      </c>
      <c r="K416" s="2">
        <v>299.36</v>
      </c>
      <c r="L416" s="6">
        <v>10</v>
      </c>
      <c r="M416" s="2">
        <f t="shared" si="30"/>
        <v>898.08</v>
      </c>
      <c r="N416" s="2">
        <f t="shared" si="31"/>
        <v>89.808000000000007</v>
      </c>
      <c r="O416" s="2">
        <f t="shared" si="32"/>
        <v>808.27200000000005</v>
      </c>
      <c r="P416" s="1">
        <v>272</v>
      </c>
      <c r="Q416" s="2">
        <v>209.55</v>
      </c>
      <c r="R416" s="2">
        <f t="shared" si="33"/>
        <v>179.62199999999996</v>
      </c>
      <c r="S416" s="1" t="s">
        <v>1011</v>
      </c>
      <c r="T416" s="1" t="s">
        <v>1004</v>
      </c>
      <c r="U416" s="1" t="str">
        <f t="shared" si="34"/>
        <v>NO</v>
      </c>
    </row>
    <row r="417" spans="1:21" x14ac:dyDescent="0.3">
      <c r="A417" s="1" t="s">
        <v>602</v>
      </c>
      <c r="B417" s="1" t="s">
        <v>176</v>
      </c>
      <c r="C417" s="1" t="s">
        <v>177</v>
      </c>
      <c r="D417" s="1" t="s">
        <v>39</v>
      </c>
      <c r="E417" s="1" t="s">
        <v>1430</v>
      </c>
      <c r="F417" s="1" t="s">
        <v>1027</v>
      </c>
      <c r="G417" s="1" t="s">
        <v>1002</v>
      </c>
      <c r="H417" s="1">
        <v>14</v>
      </c>
      <c r="I417" s="1">
        <v>6</v>
      </c>
      <c r="J417" s="1" t="s">
        <v>2750</v>
      </c>
      <c r="K417" s="2">
        <v>394.99</v>
      </c>
      <c r="L417" s="6">
        <v>6</v>
      </c>
      <c r="M417" s="2">
        <f t="shared" si="30"/>
        <v>5529.8600000000006</v>
      </c>
      <c r="N417" s="2">
        <f t="shared" si="31"/>
        <v>331.79160000000002</v>
      </c>
      <c r="O417" s="2">
        <f t="shared" si="32"/>
        <v>5198.0684000000001</v>
      </c>
      <c r="P417" s="1">
        <v>165</v>
      </c>
      <c r="Q417" s="2">
        <v>276.49</v>
      </c>
      <c r="R417" s="2">
        <f t="shared" si="33"/>
        <v>1327.2084</v>
      </c>
      <c r="S417" s="1" t="s">
        <v>1011</v>
      </c>
      <c r="T417" s="1" t="s">
        <v>1004</v>
      </c>
      <c r="U417" s="1" t="str">
        <f t="shared" si="34"/>
        <v>NO</v>
      </c>
    </row>
    <row r="418" spans="1:21" x14ac:dyDescent="0.3">
      <c r="A418" s="1" t="s">
        <v>603</v>
      </c>
      <c r="B418" s="1" t="s">
        <v>52</v>
      </c>
      <c r="C418" s="1" t="s">
        <v>53</v>
      </c>
      <c r="D418" s="1" t="s">
        <v>47</v>
      </c>
      <c r="E418" s="1" t="s">
        <v>1431</v>
      </c>
      <c r="F418" s="1" t="s">
        <v>1006</v>
      </c>
      <c r="G418" s="1" t="s">
        <v>1023</v>
      </c>
      <c r="H418" s="1">
        <v>14</v>
      </c>
      <c r="I418" s="1">
        <v>2</v>
      </c>
      <c r="J418" s="1" t="s">
        <v>2583</v>
      </c>
      <c r="K418" s="2">
        <v>366.39</v>
      </c>
      <c r="L418" s="6">
        <v>5</v>
      </c>
      <c r="M418" s="2">
        <f t="shared" si="30"/>
        <v>5129.46</v>
      </c>
      <c r="N418" s="2">
        <f t="shared" si="31"/>
        <v>256.47300000000001</v>
      </c>
      <c r="O418" s="2">
        <f t="shared" si="32"/>
        <v>4872.9870000000001</v>
      </c>
      <c r="P418" s="1">
        <v>154</v>
      </c>
      <c r="Q418" s="2">
        <v>256.47000000000003</v>
      </c>
      <c r="R418" s="2">
        <f t="shared" si="33"/>
        <v>1282.4069999999997</v>
      </c>
      <c r="S418" s="1" t="s">
        <v>1011</v>
      </c>
      <c r="T418" s="1" t="s">
        <v>1007</v>
      </c>
      <c r="U418" s="1" t="str">
        <f t="shared" si="34"/>
        <v>NO</v>
      </c>
    </row>
    <row r="419" spans="1:21" x14ac:dyDescent="0.3">
      <c r="A419" s="1" t="s">
        <v>604</v>
      </c>
      <c r="B419" s="1" t="s">
        <v>237</v>
      </c>
      <c r="C419" s="1" t="s">
        <v>238</v>
      </c>
      <c r="D419" s="1" t="s">
        <v>85</v>
      </c>
      <c r="E419" s="1" t="s">
        <v>1432</v>
      </c>
      <c r="F419" s="1" t="s">
        <v>1020</v>
      </c>
      <c r="G419" s="1" t="s">
        <v>1010</v>
      </c>
      <c r="H419" s="1">
        <v>8</v>
      </c>
      <c r="I419" s="1">
        <v>2</v>
      </c>
      <c r="J419" s="1" t="s">
        <v>2725</v>
      </c>
      <c r="K419" s="2">
        <v>436.02</v>
      </c>
      <c r="L419" s="6">
        <v>16</v>
      </c>
      <c r="M419" s="2">
        <f t="shared" si="30"/>
        <v>3488.16</v>
      </c>
      <c r="N419" s="2">
        <f t="shared" si="31"/>
        <v>558.10559999999998</v>
      </c>
      <c r="O419" s="2">
        <f t="shared" si="32"/>
        <v>2930.0544</v>
      </c>
      <c r="P419" s="1">
        <v>105</v>
      </c>
      <c r="Q419" s="2">
        <v>305.20999999999998</v>
      </c>
      <c r="R419" s="2">
        <f t="shared" si="33"/>
        <v>488.37440000000015</v>
      </c>
      <c r="S419" s="1" t="s">
        <v>1003</v>
      </c>
      <c r="T419" s="1" t="s">
        <v>1007</v>
      </c>
      <c r="U419" s="1" t="str">
        <f t="shared" si="34"/>
        <v>NO</v>
      </c>
    </row>
    <row r="420" spans="1:21" x14ac:dyDescent="0.3">
      <c r="A420" s="1" t="s">
        <v>605</v>
      </c>
      <c r="B420" s="1" t="s">
        <v>237</v>
      </c>
      <c r="C420" s="1" t="s">
        <v>238</v>
      </c>
      <c r="D420" s="1" t="s">
        <v>85</v>
      </c>
      <c r="E420" s="1" t="s">
        <v>1433</v>
      </c>
      <c r="F420" s="1" t="s">
        <v>1001</v>
      </c>
      <c r="G420" s="1" t="s">
        <v>1002</v>
      </c>
      <c r="H420" s="1">
        <v>13</v>
      </c>
      <c r="I420" s="1">
        <v>6</v>
      </c>
      <c r="J420" s="1" t="s">
        <v>2663</v>
      </c>
      <c r="K420" s="2">
        <v>80.86</v>
      </c>
      <c r="L420" s="6">
        <v>2</v>
      </c>
      <c r="M420" s="2">
        <f t="shared" si="30"/>
        <v>1051.18</v>
      </c>
      <c r="N420" s="2">
        <f t="shared" si="31"/>
        <v>21.023600000000002</v>
      </c>
      <c r="O420" s="2">
        <f t="shared" si="32"/>
        <v>1030.1564000000001</v>
      </c>
      <c r="P420" s="1">
        <v>104</v>
      </c>
      <c r="Q420" s="2">
        <v>56.6</v>
      </c>
      <c r="R420" s="2">
        <f t="shared" si="33"/>
        <v>294.35640000000001</v>
      </c>
      <c r="S420" s="1" t="s">
        <v>1003</v>
      </c>
      <c r="T420" s="1" t="s">
        <v>1007</v>
      </c>
      <c r="U420" s="1" t="str">
        <f t="shared" si="34"/>
        <v>NO</v>
      </c>
    </row>
    <row r="421" spans="1:21" x14ac:dyDescent="0.3">
      <c r="A421" s="1" t="s">
        <v>606</v>
      </c>
      <c r="B421" s="1" t="s">
        <v>102</v>
      </c>
      <c r="C421" s="1" t="s">
        <v>103</v>
      </c>
      <c r="D421" s="1" t="s">
        <v>104</v>
      </c>
      <c r="E421" s="1" t="s">
        <v>1434</v>
      </c>
      <c r="F421" s="1" t="s">
        <v>1027</v>
      </c>
      <c r="G421" s="1" t="s">
        <v>1010</v>
      </c>
      <c r="H421" s="1">
        <v>2</v>
      </c>
      <c r="I421" s="1">
        <v>4</v>
      </c>
      <c r="J421" s="1" t="s">
        <v>2646</v>
      </c>
      <c r="K421" s="2">
        <v>440.86</v>
      </c>
      <c r="L421" s="6">
        <v>20</v>
      </c>
      <c r="M421" s="2">
        <f t="shared" si="30"/>
        <v>881.72</v>
      </c>
      <c r="N421" s="2">
        <f t="shared" si="31"/>
        <v>176.34400000000002</v>
      </c>
      <c r="O421" s="2">
        <f t="shared" si="32"/>
        <v>705.37599999999998</v>
      </c>
      <c r="P421" s="1">
        <v>98</v>
      </c>
      <c r="Q421" s="2">
        <v>308.60000000000002</v>
      </c>
      <c r="R421" s="2">
        <f t="shared" si="33"/>
        <v>88.175999999999931</v>
      </c>
      <c r="S421" s="1" t="s">
        <v>1003</v>
      </c>
      <c r="T421" s="1" t="s">
        <v>1004</v>
      </c>
      <c r="U421" s="1" t="str">
        <f t="shared" si="34"/>
        <v>NO</v>
      </c>
    </row>
    <row r="422" spans="1:21" x14ac:dyDescent="0.3">
      <c r="A422" s="1" t="s">
        <v>607</v>
      </c>
      <c r="B422" s="1" t="s">
        <v>189</v>
      </c>
      <c r="C422" s="1" t="s">
        <v>190</v>
      </c>
      <c r="D422" s="1" t="s">
        <v>59</v>
      </c>
      <c r="E422" s="1" t="s">
        <v>1435</v>
      </c>
      <c r="F422" s="1" t="s">
        <v>1009</v>
      </c>
      <c r="G422" s="1" t="s">
        <v>1023</v>
      </c>
      <c r="H422" s="1">
        <v>6</v>
      </c>
      <c r="I422" s="1">
        <v>4</v>
      </c>
      <c r="J422" s="1" t="s">
        <v>2596</v>
      </c>
      <c r="K422" s="2">
        <v>183.3</v>
      </c>
      <c r="L422" s="6">
        <v>22</v>
      </c>
      <c r="M422" s="2">
        <f t="shared" si="30"/>
        <v>1099.8000000000002</v>
      </c>
      <c r="N422" s="2">
        <f t="shared" si="31"/>
        <v>241.95600000000005</v>
      </c>
      <c r="O422" s="2">
        <f t="shared" si="32"/>
        <v>857.84400000000016</v>
      </c>
      <c r="P422" s="1">
        <v>163</v>
      </c>
      <c r="Q422" s="2">
        <v>128.31</v>
      </c>
      <c r="R422" s="2">
        <f t="shared" si="33"/>
        <v>87.984000000000151</v>
      </c>
      <c r="S422" s="1" t="s">
        <v>1003</v>
      </c>
      <c r="T422" s="1" t="s">
        <v>1004</v>
      </c>
      <c r="U422" s="1" t="str">
        <f t="shared" si="34"/>
        <v>NO</v>
      </c>
    </row>
    <row r="423" spans="1:21" x14ac:dyDescent="0.3">
      <c r="A423" s="1" t="s">
        <v>608</v>
      </c>
      <c r="B423" s="1" t="s">
        <v>172</v>
      </c>
      <c r="C423" s="1" t="s">
        <v>173</v>
      </c>
      <c r="D423" s="1" t="s">
        <v>132</v>
      </c>
      <c r="E423" s="1" t="s">
        <v>1436</v>
      </c>
      <c r="F423" s="1" t="s">
        <v>1027</v>
      </c>
      <c r="G423" s="1" t="s">
        <v>1002</v>
      </c>
      <c r="H423" s="1">
        <v>8</v>
      </c>
      <c r="I423" s="1">
        <v>3</v>
      </c>
      <c r="J423" s="1" t="s">
        <v>2775</v>
      </c>
      <c r="K423" s="2">
        <v>75.459999999999994</v>
      </c>
      <c r="L423" s="6">
        <v>15</v>
      </c>
      <c r="M423" s="2">
        <f t="shared" si="30"/>
        <v>603.67999999999995</v>
      </c>
      <c r="N423" s="2">
        <f t="shared" si="31"/>
        <v>90.551999999999992</v>
      </c>
      <c r="O423" s="2">
        <f t="shared" si="32"/>
        <v>513.12799999999993</v>
      </c>
      <c r="P423" s="1">
        <v>224</v>
      </c>
      <c r="Q423" s="2">
        <v>52.82</v>
      </c>
      <c r="R423" s="2">
        <f t="shared" si="33"/>
        <v>90.567999999999927</v>
      </c>
      <c r="S423" s="1" t="s">
        <v>1003</v>
      </c>
      <c r="T423" s="1" t="s">
        <v>1007</v>
      </c>
      <c r="U423" s="1" t="str">
        <f t="shared" si="34"/>
        <v>NO</v>
      </c>
    </row>
    <row r="424" spans="1:21" x14ac:dyDescent="0.3">
      <c r="A424" s="1" t="s">
        <v>609</v>
      </c>
      <c r="B424" s="1" t="s">
        <v>37</v>
      </c>
      <c r="C424" s="1" t="s">
        <v>38</v>
      </c>
      <c r="D424" s="1" t="s">
        <v>39</v>
      </c>
      <c r="E424" s="1" t="s">
        <v>1437</v>
      </c>
      <c r="F424" s="1" t="s">
        <v>1009</v>
      </c>
      <c r="G424" s="1" t="s">
        <v>1002</v>
      </c>
      <c r="H424" s="1">
        <v>2</v>
      </c>
      <c r="I424" s="1">
        <v>4</v>
      </c>
      <c r="J424" s="1" t="s">
        <v>2551</v>
      </c>
      <c r="K424" s="2">
        <v>186.38</v>
      </c>
      <c r="L424" s="6">
        <v>13</v>
      </c>
      <c r="M424" s="2">
        <f t="shared" si="30"/>
        <v>372.76</v>
      </c>
      <c r="N424" s="2">
        <f t="shared" si="31"/>
        <v>48.458800000000004</v>
      </c>
      <c r="O424" s="2">
        <f t="shared" si="32"/>
        <v>324.30119999999999</v>
      </c>
      <c r="P424" s="1">
        <v>124</v>
      </c>
      <c r="Q424" s="2">
        <v>130.47</v>
      </c>
      <c r="R424" s="2">
        <f t="shared" si="33"/>
        <v>63.361199999999997</v>
      </c>
      <c r="S424" s="1" t="s">
        <v>1003</v>
      </c>
      <c r="T424" s="1" t="s">
        <v>1007</v>
      </c>
      <c r="U424" s="1" t="str">
        <f t="shared" si="34"/>
        <v>NO</v>
      </c>
    </row>
    <row r="425" spans="1:21" x14ac:dyDescent="0.3">
      <c r="A425" s="1" t="s">
        <v>610</v>
      </c>
      <c r="B425" s="1" t="s">
        <v>37</v>
      </c>
      <c r="C425" s="1" t="s">
        <v>38</v>
      </c>
      <c r="D425" s="1" t="s">
        <v>39</v>
      </c>
      <c r="E425" s="1" t="s">
        <v>1438</v>
      </c>
      <c r="F425" s="1" t="s">
        <v>1020</v>
      </c>
      <c r="G425" s="1" t="s">
        <v>1010</v>
      </c>
      <c r="H425" s="1">
        <v>8</v>
      </c>
      <c r="I425" s="1">
        <v>1</v>
      </c>
      <c r="J425" s="1" t="s">
        <v>2776</v>
      </c>
      <c r="K425" s="2">
        <v>107.14</v>
      </c>
      <c r="L425" s="6">
        <v>13</v>
      </c>
      <c r="M425" s="2">
        <f t="shared" si="30"/>
        <v>857.12</v>
      </c>
      <c r="N425" s="2">
        <f t="shared" si="31"/>
        <v>111.42559999999999</v>
      </c>
      <c r="O425" s="2">
        <f t="shared" si="32"/>
        <v>745.69439999999997</v>
      </c>
      <c r="P425" s="1">
        <v>237</v>
      </c>
      <c r="Q425" s="2">
        <v>75</v>
      </c>
      <c r="R425" s="2">
        <f t="shared" si="33"/>
        <v>145.69439999999997</v>
      </c>
      <c r="S425" s="1" t="s">
        <v>1011</v>
      </c>
      <c r="T425" s="1" t="s">
        <v>1004</v>
      </c>
      <c r="U425" s="1" t="str">
        <f t="shared" si="34"/>
        <v>NO</v>
      </c>
    </row>
    <row r="426" spans="1:21" x14ac:dyDescent="0.3">
      <c r="A426" s="1" t="s">
        <v>611</v>
      </c>
      <c r="B426" s="1" t="s">
        <v>299</v>
      </c>
      <c r="C426" s="1" t="s">
        <v>300</v>
      </c>
      <c r="D426" s="1" t="s">
        <v>39</v>
      </c>
      <c r="E426" s="1" t="s">
        <v>1439</v>
      </c>
      <c r="F426" s="1" t="s">
        <v>1001</v>
      </c>
      <c r="G426" s="1" t="s">
        <v>1002</v>
      </c>
      <c r="H426" s="1">
        <v>3</v>
      </c>
      <c r="I426" s="1">
        <v>3</v>
      </c>
      <c r="J426" s="1" t="s">
        <v>2777</v>
      </c>
      <c r="K426" s="2">
        <v>126.57</v>
      </c>
      <c r="L426" s="6">
        <v>14</v>
      </c>
      <c r="M426" s="2">
        <f t="shared" si="30"/>
        <v>379.71</v>
      </c>
      <c r="N426" s="2">
        <f t="shared" si="31"/>
        <v>53.159399999999998</v>
      </c>
      <c r="O426" s="2">
        <f t="shared" si="32"/>
        <v>326.55059999999997</v>
      </c>
      <c r="P426" s="1">
        <v>151</v>
      </c>
      <c r="Q426" s="2">
        <v>88.6</v>
      </c>
      <c r="R426" s="2">
        <f t="shared" si="33"/>
        <v>60.75060000000002</v>
      </c>
      <c r="S426" s="1" t="s">
        <v>1011</v>
      </c>
      <c r="T426" s="1" t="s">
        <v>1007</v>
      </c>
      <c r="U426" s="1" t="str">
        <f t="shared" si="34"/>
        <v>NO</v>
      </c>
    </row>
    <row r="427" spans="1:21" x14ac:dyDescent="0.3">
      <c r="A427" s="1" t="s">
        <v>612</v>
      </c>
      <c r="B427" s="1" t="s">
        <v>102</v>
      </c>
      <c r="C427" s="1" t="s">
        <v>103</v>
      </c>
      <c r="D427" s="1" t="s">
        <v>104</v>
      </c>
      <c r="E427" s="1" t="s">
        <v>1440</v>
      </c>
      <c r="F427" s="1" t="s">
        <v>1015</v>
      </c>
      <c r="G427" s="1" t="s">
        <v>1023</v>
      </c>
      <c r="H427" s="1">
        <v>7</v>
      </c>
      <c r="I427" s="1">
        <v>3</v>
      </c>
      <c r="J427" s="1" t="s">
        <v>2778</v>
      </c>
      <c r="K427" s="2">
        <v>293.63</v>
      </c>
      <c r="L427" s="6">
        <v>7</v>
      </c>
      <c r="M427" s="2">
        <f t="shared" si="30"/>
        <v>2055.41</v>
      </c>
      <c r="N427" s="2">
        <f t="shared" si="31"/>
        <v>143.87869999999998</v>
      </c>
      <c r="O427" s="2">
        <f t="shared" si="32"/>
        <v>1911.5312999999999</v>
      </c>
      <c r="P427" s="1">
        <v>209</v>
      </c>
      <c r="Q427" s="2">
        <v>205.54</v>
      </c>
      <c r="R427" s="2">
        <f t="shared" si="33"/>
        <v>472.7512999999999</v>
      </c>
      <c r="S427" s="1" t="s">
        <v>1011</v>
      </c>
      <c r="T427" s="1" t="s">
        <v>1004</v>
      </c>
      <c r="U427" s="1" t="str">
        <f t="shared" si="34"/>
        <v>NO</v>
      </c>
    </row>
    <row r="428" spans="1:21" x14ac:dyDescent="0.3">
      <c r="A428" s="1" t="s">
        <v>613</v>
      </c>
      <c r="B428" s="1" t="s">
        <v>197</v>
      </c>
      <c r="C428" s="1" t="s">
        <v>198</v>
      </c>
      <c r="D428" s="1" t="s">
        <v>104</v>
      </c>
      <c r="E428" s="1" t="s">
        <v>1441</v>
      </c>
      <c r="F428" s="1" t="s">
        <v>1001</v>
      </c>
      <c r="G428" s="1" t="s">
        <v>1002</v>
      </c>
      <c r="H428" s="1">
        <v>3</v>
      </c>
      <c r="I428" s="1">
        <v>5</v>
      </c>
      <c r="J428" s="1" t="s">
        <v>2557</v>
      </c>
      <c r="K428" s="2">
        <v>442.56</v>
      </c>
      <c r="L428" s="6">
        <v>10</v>
      </c>
      <c r="M428" s="2">
        <f t="shared" si="30"/>
        <v>1327.68</v>
      </c>
      <c r="N428" s="2">
        <f t="shared" si="31"/>
        <v>132.768</v>
      </c>
      <c r="O428" s="2">
        <f t="shared" si="32"/>
        <v>1194.912</v>
      </c>
      <c r="P428" s="1">
        <v>217</v>
      </c>
      <c r="Q428" s="2">
        <v>309.79000000000002</v>
      </c>
      <c r="R428" s="2">
        <f t="shared" si="33"/>
        <v>265.54199999999992</v>
      </c>
      <c r="S428" s="1" t="s">
        <v>1003</v>
      </c>
      <c r="T428" s="1" t="s">
        <v>1004</v>
      </c>
      <c r="U428" s="1" t="str">
        <f t="shared" si="34"/>
        <v>NO</v>
      </c>
    </row>
    <row r="429" spans="1:21" x14ac:dyDescent="0.3">
      <c r="A429" s="1" t="s">
        <v>614</v>
      </c>
      <c r="B429" s="1" t="s">
        <v>102</v>
      </c>
      <c r="C429" s="1" t="s">
        <v>103</v>
      </c>
      <c r="D429" s="1" t="s">
        <v>104</v>
      </c>
      <c r="E429" s="1" t="s">
        <v>1442</v>
      </c>
      <c r="F429" s="1" t="s">
        <v>1006</v>
      </c>
      <c r="G429" s="1" t="s">
        <v>1002</v>
      </c>
      <c r="H429" s="1">
        <v>6</v>
      </c>
      <c r="I429" s="1">
        <v>7</v>
      </c>
      <c r="J429" s="1" t="s">
        <v>2689</v>
      </c>
      <c r="K429" s="2">
        <v>335.62</v>
      </c>
      <c r="L429" s="6">
        <v>15</v>
      </c>
      <c r="M429" s="2">
        <f t="shared" si="30"/>
        <v>2013.72</v>
      </c>
      <c r="N429" s="2">
        <f t="shared" si="31"/>
        <v>302.05799999999999</v>
      </c>
      <c r="O429" s="2">
        <f t="shared" si="32"/>
        <v>1711.662</v>
      </c>
      <c r="P429" s="1">
        <v>198</v>
      </c>
      <c r="Q429" s="2">
        <v>234.93</v>
      </c>
      <c r="R429" s="2">
        <f t="shared" si="33"/>
        <v>302.08200000000011</v>
      </c>
      <c r="S429" s="1" t="s">
        <v>1011</v>
      </c>
      <c r="T429" s="1" t="s">
        <v>1004</v>
      </c>
      <c r="U429" s="1" t="str">
        <f t="shared" si="34"/>
        <v>NO</v>
      </c>
    </row>
    <row r="430" spans="1:21" x14ac:dyDescent="0.3">
      <c r="A430" s="1" t="s">
        <v>615</v>
      </c>
      <c r="B430" s="1" t="s">
        <v>107</v>
      </c>
      <c r="C430" s="1" t="s">
        <v>108</v>
      </c>
      <c r="D430" s="1" t="s">
        <v>39</v>
      </c>
      <c r="E430" s="1" t="s">
        <v>1443</v>
      </c>
      <c r="F430" s="1" t="s">
        <v>1001</v>
      </c>
      <c r="G430" s="1" t="s">
        <v>1010</v>
      </c>
      <c r="H430" s="1">
        <v>14</v>
      </c>
      <c r="I430" s="1">
        <v>4</v>
      </c>
      <c r="J430" s="1" t="s">
        <v>2752</v>
      </c>
      <c r="K430" s="2">
        <v>252.34</v>
      </c>
      <c r="L430" s="6">
        <v>12</v>
      </c>
      <c r="M430" s="2">
        <f t="shared" si="30"/>
        <v>3532.76</v>
      </c>
      <c r="N430" s="2">
        <f t="shared" si="31"/>
        <v>423.93120000000005</v>
      </c>
      <c r="O430" s="2">
        <f t="shared" si="32"/>
        <v>3108.8288000000002</v>
      </c>
      <c r="P430" s="1">
        <v>282</v>
      </c>
      <c r="Q430" s="2">
        <v>176.64</v>
      </c>
      <c r="R430" s="2">
        <f t="shared" si="33"/>
        <v>635.86880000000019</v>
      </c>
      <c r="S430" s="1" t="s">
        <v>1003</v>
      </c>
      <c r="T430" s="1" t="s">
        <v>1007</v>
      </c>
      <c r="U430" s="1" t="str">
        <f t="shared" si="34"/>
        <v>NO</v>
      </c>
    </row>
    <row r="431" spans="1:21" x14ac:dyDescent="0.3">
      <c r="A431" s="1" t="s">
        <v>616</v>
      </c>
      <c r="B431" s="1" t="s">
        <v>83</v>
      </c>
      <c r="C431" s="1" t="s">
        <v>84</v>
      </c>
      <c r="D431" s="1" t="s">
        <v>85</v>
      </c>
      <c r="E431" s="1" t="s">
        <v>1444</v>
      </c>
      <c r="F431" s="1" t="s">
        <v>1027</v>
      </c>
      <c r="G431" s="1" t="s">
        <v>1023</v>
      </c>
      <c r="H431" s="1">
        <v>11</v>
      </c>
      <c r="I431" s="1">
        <v>1</v>
      </c>
      <c r="J431" s="1" t="s">
        <v>2779</v>
      </c>
      <c r="K431" s="2">
        <v>399.68</v>
      </c>
      <c r="L431" s="6">
        <v>9</v>
      </c>
      <c r="M431" s="2">
        <f t="shared" si="30"/>
        <v>4396.4800000000005</v>
      </c>
      <c r="N431" s="2">
        <f t="shared" si="31"/>
        <v>395.68320000000006</v>
      </c>
      <c r="O431" s="2">
        <f t="shared" si="32"/>
        <v>4000.7968000000005</v>
      </c>
      <c r="P431" s="1">
        <v>134</v>
      </c>
      <c r="Q431" s="2">
        <v>279.77999999999997</v>
      </c>
      <c r="R431" s="2">
        <f t="shared" si="33"/>
        <v>923.2168000000006</v>
      </c>
      <c r="S431" s="1" t="s">
        <v>1003</v>
      </c>
      <c r="T431" s="1" t="s">
        <v>1004</v>
      </c>
      <c r="U431" s="1" t="str">
        <f t="shared" si="34"/>
        <v>NO</v>
      </c>
    </row>
    <row r="432" spans="1:21" x14ac:dyDescent="0.3">
      <c r="A432" s="1" t="s">
        <v>617</v>
      </c>
      <c r="B432" s="1" t="s">
        <v>192</v>
      </c>
      <c r="C432" s="1" t="s">
        <v>193</v>
      </c>
      <c r="D432" s="1" t="s">
        <v>85</v>
      </c>
      <c r="E432" s="1" t="s">
        <v>1445</v>
      </c>
      <c r="F432" s="1" t="s">
        <v>1009</v>
      </c>
      <c r="G432" s="1" t="s">
        <v>1023</v>
      </c>
      <c r="H432" s="1">
        <v>3</v>
      </c>
      <c r="I432" s="1">
        <v>6</v>
      </c>
      <c r="J432" s="1" t="s">
        <v>2780</v>
      </c>
      <c r="K432" s="2">
        <v>257.41000000000003</v>
      </c>
      <c r="L432" s="6">
        <v>10</v>
      </c>
      <c r="M432" s="2">
        <f t="shared" si="30"/>
        <v>772.23</v>
      </c>
      <c r="N432" s="2">
        <f t="shared" si="31"/>
        <v>77.222999999999999</v>
      </c>
      <c r="O432" s="2">
        <f t="shared" si="32"/>
        <v>695.00700000000006</v>
      </c>
      <c r="P432" s="1">
        <v>230</v>
      </c>
      <c r="Q432" s="2">
        <v>180.19</v>
      </c>
      <c r="R432" s="2">
        <f t="shared" si="33"/>
        <v>154.43700000000013</v>
      </c>
      <c r="S432" s="1" t="s">
        <v>1016</v>
      </c>
      <c r="T432" s="1" t="s">
        <v>1007</v>
      </c>
      <c r="U432" s="1" t="str">
        <f t="shared" si="34"/>
        <v>YES</v>
      </c>
    </row>
    <row r="433" spans="1:21" x14ac:dyDescent="0.3">
      <c r="A433" s="1" t="s">
        <v>618</v>
      </c>
      <c r="B433" s="1" t="s">
        <v>107</v>
      </c>
      <c r="C433" s="1" t="s">
        <v>108</v>
      </c>
      <c r="D433" s="1" t="s">
        <v>39</v>
      </c>
      <c r="E433" s="1" t="s">
        <v>1446</v>
      </c>
      <c r="F433" s="1" t="s">
        <v>1027</v>
      </c>
      <c r="G433" s="1" t="s">
        <v>1023</v>
      </c>
      <c r="H433" s="1">
        <v>10</v>
      </c>
      <c r="I433" s="1">
        <v>5</v>
      </c>
      <c r="J433" s="1" t="s">
        <v>2605</v>
      </c>
      <c r="K433" s="2">
        <v>401.73</v>
      </c>
      <c r="L433" s="6">
        <v>11</v>
      </c>
      <c r="M433" s="2">
        <f t="shared" si="30"/>
        <v>4017.3</v>
      </c>
      <c r="N433" s="2">
        <f t="shared" si="31"/>
        <v>441.90300000000002</v>
      </c>
      <c r="O433" s="2">
        <f t="shared" si="32"/>
        <v>3575.3969999999999</v>
      </c>
      <c r="P433" s="1">
        <v>170</v>
      </c>
      <c r="Q433" s="2">
        <v>281.20999999999998</v>
      </c>
      <c r="R433" s="2">
        <f t="shared" si="33"/>
        <v>763.29700000000003</v>
      </c>
      <c r="S433" s="1" t="s">
        <v>1003</v>
      </c>
      <c r="T433" s="1" t="s">
        <v>1004</v>
      </c>
      <c r="U433" s="1" t="str">
        <f t="shared" si="34"/>
        <v>NO</v>
      </c>
    </row>
    <row r="434" spans="1:21" x14ac:dyDescent="0.3">
      <c r="A434" s="1" t="s">
        <v>619</v>
      </c>
      <c r="B434" s="1" t="s">
        <v>172</v>
      </c>
      <c r="C434" s="1" t="s">
        <v>173</v>
      </c>
      <c r="D434" s="1" t="s">
        <v>132</v>
      </c>
      <c r="E434" s="1" t="s">
        <v>1447</v>
      </c>
      <c r="F434" s="1" t="s">
        <v>1027</v>
      </c>
      <c r="G434" s="1" t="s">
        <v>1023</v>
      </c>
      <c r="H434" s="1">
        <v>7</v>
      </c>
      <c r="I434" s="1">
        <v>6</v>
      </c>
      <c r="J434" s="1" t="s">
        <v>2651</v>
      </c>
      <c r="K434" s="2">
        <v>249.44</v>
      </c>
      <c r="L434" s="6">
        <v>15</v>
      </c>
      <c r="M434" s="2">
        <f t="shared" si="30"/>
        <v>1746.08</v>
      </c>
      <c r="N434" s="2">
        <f t="shared" si="31"/>
        <v>261.91199999999998</v>
      </c>
      <c r="O434" s="2">
        <f t="shared" si="32"/>
        <v>1484.1679999999999</v>
      </c>
      <c r="P434" s="1">
        <v>231</v>
      </c>
      <c r="Q434" s="2">
        <v>174.61</v>
      </c>
      <c r="R434" s="2">
        <f t="shared" si="33"/>
        <v>261.89799999999991</v>
      </c>
      <c r="S434" s="1" t="s">
        <v>1016</v>
      </c>
      <c r="T434" s="1" t="s">
        <v>1004</v>
      </c>
      <c r="U434" s="1" t="str">
        <f t="shared" si="34"/>
        <v>YES</v>
      </c>
    </row>
    <row r="435" spans="1:21" x14ac:dyDescent="0.3">
      <c r="A435" s="1" t="s">
        <v>620</v>
      </c>
      <c r="B435" s="1" t="s">
        <v>176</v>
      </c>
      <c r="C435" s="1" t="s">
        <v>177</v>
      </c>
      <c r="D435" s="1" t="s">
        <v>39</v>
      </c>
      <c r="E435" s="1" t="s">
        <v>1448</v>
      </c>
      <c r="F435" s="1" t="s">
        <v>1009</v>
      </c>
      <c r="G435" s="1" t="s">
        <v>1023</v>
      </c>
      <c r="H435" s="1">
        <v>6</v>
      </c>
      <c r="I435" s="1">
        <v>7</v>
      </c>
      <c r="J435" s="1" t="s">
        <v>2556</v>
      </c>
      <c r="K435" s="2">
        <v>482.38</v>
      </c>
      <c r="L435" s="6">
        <v>18</v>
      </c>
      <c r="M435" s="2">
        <f t="shared" si="30"/>
        <v>2894.2799999999997</v>
      </c>
      <c r="N435" s="2">
        <f t="shared" si="31"/>
        <v>520.97039999999993</v>
      </c>
      <c r="O435" s="2">
        <f t="shared" si="32"/>
        <v>2373.3095999999996</v>
      </c>
      <c r="P435" s="1">
        <v>209</v>
      </c>
      <c r="Q435" s="2">
        <v>337.67</v>
      </c>
      <c r="R435" s="2">
        <f t="shared" si="33"/>
        <v>347.28959999999961</v>
      </c>
      <c r="S435" s="1" t="s">
        <v>1003</v>
      </c>
      <c r="T435" s="1" t="s">
        <v>1007</v>
      </c>
      <c r="U435" s="1" t="str">
        <f t="shared" si="34"/>
        <v>NO</v>
      </c>
    </row>
    <row r="436" spans="1:21" x14ac:dyDescent="0.3">
      <c r="A436" s="1" t="s">
        <v>621</v>
      </c>
      <c r="B436" s="1" t="s">
        <v>262</v>
      </c>
      <c r="C436" s="1" t="s">
        <v>263</v>
      </c>
      <c r="D436" s="1" t="s">
        <v>104</v>
      </c>
      <c r="E436" s="1" t="s">
        <v>1449</v>
      </c>
      <c r="F436" s="1" t="s">
        <v>1001</v>
      </c>
      <c r="G436" s="1" t="s">
        <v>1023</v>
      </c>
      <c r="H436" s="1">
        <v>4</v>
      </c>
      <c r="I436" s="1">
        <v>4</v>
      </c>
      <c r="J436" s="1" t="s">
        <v>2520</v>
      </c>
      <c r="K436" s="2">
        <v>63.55</v>
      </c>
      <c r="L436" s="6">
        <v>2</v>
      </c>
      <c r="M436" s="2">
        <f t="shared" si="30"/>
        <v>254.2</v>
      </c>
      <c r="N436" s="2">
        <f t="shared" si="31"/>
        <v>5.0839999999999996</v>
      </c>
      <c r="O436" s="2">
        <f t="shared" si="32"/>
        <v>249.11599999999999</v>
      </c>
      <c r="P436" s="1">
        <v>98</v>
      </c>
      <c r="Q436" s="2">
        <v>44.48</v>
      </c>
      <c r="R436" s="2">
        <f t="shared" si="33"/>
        <v>71.195999999999998</v>
      </c>
      <c r="S436" s="1" t="s">
        <v>1016</v>
      </c>
      <c r="T436" s="1" t="s">
        <v>1007</v>
      </c>
      <c r="U436" s="1" t="str">
        <f t="shared" si="34"/>
        <v>YES</v>
      </c>
    </row>
    <row r="437" spans="1:21" x14ac:dyDescent="0.3">
      <c r="A437" s="1" t="s">
        <v>622</v>
      </c>
      <c r="B437" s="1" t="s">
        <v>299</v>
      </c>
      <c r="C437" s="1" t="s">
        <v>300</v>
      </c>
      <c r="D437" s="1" t="s">
        <v>39</v>
      </c>
      <c r="E437" s="1" t="s">
        <v>1450</v>
      </c>
      <c r="F437" s="1" t="s">
        <v>1009</v>
      </c>
      <c r="G437" s="1" t="s">
        <v>1023</v>
      </c>
      <c r="H437" s="1">
        <v>10</v>
      </c>
      <c r="I437" s="1">
        <v>2</v>
      </c>
      <c r="J437" s="1" t="s">
        <v>2781</v>
      </c>
      <c r="K437" s="2">
        <v>241.83</v>
      </c>
      <c r="L437" s="6">
        <v>14</v>
      </c>
      <c r="M437" s="2">
        <f t="shared" si="30"/>
        <v>2418.3000000000002</v>
      </c>
      <c r="N437" s="2">
        <f t="shared" si="31"/>
        <v>338.56200000000007</v>
      </c>
      <c r="O437" s="2">
        <f t="shared" si="32"/>
        <v>2079.7380000000003</v>
      </c>
      <c r="P437" s="1">
        <v>202</v>
      </c>
      <c r="Q437" s="2">
        <v>169.28</v>
      </c>
      <c r="R437" s="2">
        <f t="shared" si="33"/>
        <v>386.93800000000033</v>
      </c>
      <c r="S437" s="1" t="s">
        <v>1016</v>
      </c>
      <c r="T437" s="1" t="s">
        <v>1004</v>
      </c>
      <c r="U437" s="1" t="str">
        <f t="shared" si="34"/>
        <v>YES</v>
      </c>
    </row>
    <row r="438" spans="1:21" x14ac:dyDescent="0.3">
      <c r="A438" s="1" t="s">
        <v>623</v>
      </c>
      <c r="B438" s="1" t="s">
        <v>72</v>
      </c>
      <c r="C438" s="1" t="s">
        <v>73</v>
      </c>
      <c r="D438" s="1" t="s">
        <v>47</v>
      </c>
      <c r="E438" s="1" t="s">
        <v>1451</v>
      </c>
      <c r="F438" s="1" t="s">
        <v>1015</v>
      </c>
      <c r="G438" s="1" t="s">
        <v>1023</v>
      </c>
      <c r="H438" s="1">
        <v>5</v>
      </c>
      <c r="I438" s="1">
        <v>4</v>
      </c>
      <c r="J438" s="1" t="s">
        <v>2782</v>
      </c>
      <c r="K438" s="2">
        <v>98.19</v>
      </c>
      <c r="L438" s="6">
        <v>13</v>
      </c>
      <c r="M438" s="2">
        <f t="shared" si="30"/>
        <v>490.95</v>
      </c>
      <c r="N438" s="2">
        <f t="shared" si="31"/>
        <v>63.823499999999996</v>
      </c>
      <c r="O438" s="2">
        <f t="shared" si="32"/>
        <v>427.12649999999996</v>
      </c>
      <c r="P438" s="1">
        <v>97</v>
      </c>
      <c r="Q438" s="2">
        <v>68.73</v>
      </c>
      <c r="R438" s="2">
        <f t="shared" si="33"/>
        <v>83.47649999999993</v>
      </c>
      <c r="S438" s="1" t="s">
        <v>1016</v>
      </c>
      <c r="T438" s="1" t="s">
        <v>1004</v>
      </c>
      <c r="U438" s="1" t="str">
        <f t="shared" si="34"/>
        <v>YES</v>
      </c>
    </row>
    <row r="439" spans="1:21" x14ac:dyDescent="0.3">
      <c r="A439" s="1" t="s">
        <v>624</v>
      </c>
      <c r="B439" s="1" t="s">
        <v>172</v>
      </c>
      <c r="C439" s="1" t="s">
        <v>173</v>
      </c>
      <c r="D439" s="1" t="s">
        <v>132</v>
      </c>
      <c r="E439" s="1" t="s">
        <v>1452</v>
      </c>
      <c r="F439" s="1" t="s">
        <v>1006</v>
      </c>
      <c r="G439" s="1" t="s">
        <v>1010</v>
      </c>
      <c r="H439" s="1">
        <v>14</v>
      </c>
      <c r="I439" s="1">
        <v>3</v>
      </c>
      <c r="J439" s="1" t="s">
        <v>2745</v>
      </c>
      <c r="K439" s="2">
        <v>348.48</v>
      </c>
      <c r="L439" s="6">
        <v>21</v>
      </c>
      <c r="M439" s="2">
        <f t="shared" si="30"/>
        <v>4878.72</v>
      </c>
      <c r="N439" s="2">
        <f t="shared" si="31"/>
        <v>1024.5312000000001</v>
      </c>
      <c r="O439" s="2">
        <f t="shared" si="32"/>
        <v>3854.1887999999999</v>
      </c>
      <c r="P439" s="1">
        <v>99</v>
      </c>
      <c r="Q439" s="2">
        <v>243.94</v>
      </c>
      <c r="R439" s="2">
        <f t="shared" si="33"/>
        <v>439.02880000000005</v>
      </c>
      <c r="S439" s="1" t="s">
        <v>1003</v>
      </c>
      <c r="T439" s="1" t="s">
        <v>1007</v>
      </c>
      <c r="U439" s="1" t="str">
        <f t="shared" si="34"/>
        <v>NO</v>
      </c>
    </row>
    <row r="440" spans="1:21" x14ac:dyDescent="0.3">
      <c r="A440" s="1" t="s">
        <v>625</v>
      </c>
      <c r="B440" s="1" t="s">
        <v>37</v>
      </c>
      <c r="C440" s="1" t="s">
        <v>38</v>
      </c>
      <c r="D440" s="1" t="s">
        <v>39</v>
      </c>
      <c r="E440" s="1" t="s">
        <v>1453</v>
      </c>
      <c r="F440" s="1" t="s">
        <v>1001</v>
      </c>
      <c r="G440" s="1" t="s">
        <v>1010</v>
      </c>
      <c r="H440" s="1">
        <v>15</v>
      </c>
      <c r="I440" s="1">
        <v>2</v>
      </c>
      <c r="J440" s="1" t="s">
        <v>2528</v>
      </c>
      <c r="K440" s="2">
        <v>50.44</v>
      </c>
      <c r="L440" s="6">
        <v>24</v>
      </c>
      <c r="M440" s="2">
        <f t="shared" si="30"/>
        <v>756.59999999999991</v>
      </c>
      <c r="N440" s="2">
        <f t="shared" si="31"/>
        <v>181.58399999999997</v>
      </c>
      <c r="O440" s="2">
        <f t="shared" si="32"/>
        <v>575.01599999999996</v>
      </c>
      <c r="P440" s="1">
        <v>255</v>
      </c>
      <c r="Q440" s="2">
        <v>35.31</v>
      </c>
      <c r="R440" s="2">
        <f t="shared" si="33"/>
        <v>45.365999999999872</v>
      </c>
      <c r="S440" s="1" t="s">
        <v>1016</v>
      </c>
      <c r="T440" s="1" t="s">
        <v>1004</v>
      </c>
      <c r="U440" s="1" t="str">
        <f t="shared" si="34"/>
        <v>YES</v>
      </c>
    </row>
    <row r="441" spans="1:21" x14ac:dyDescent="0.3">
      <c r="A441" s="1" t="s">
        <v>626</v>
      </c>
      <c r="B441" s="1" t="s">
        <v>52</v>
      </c>
      <c r="C441" s="1" t="s">
        <v>53</v>
      </c>
      <c r="D441" s="1" t="s">
        <v>47</v>
      </c>
      <c r="E441" s="1" t="s">
        <v>1454</v>
      </c>
      <c r="F441" s="1" t="s">
        <v>1015</v>
      </c>
      <c r="G441" s="1" t="s">
        <v>1023</v>
      </c>
      <c r="H441" s="1">
        <v>11</v>
      </c>
      <c r="I441" s="1">
        <v>3</v>
      </c>
      <c r="J441" s="1" t="s">
        <v>2783</v>
      </c>
      <c r="K441" s="2">
        <v>210.41</v>
      </c>
      <c r="L441" s="6">
        <v>14</v>
      </c>
      <c r="M441" s="2">
        <f t="shared" si="30"/>
        <v>2314.5099999999998</v>
      </c>
      <c r="N441" s="2">
        <f t="shared" si="31"/>
        <v>324.03139999999996</v>
      </c>
      <c r="O441" s="2">
        <f t="shared" si="32"/>
        <v>1990.4785999999999</v>
      </c>
      <c r="P441" s="1">
        <v>204</v>
      </c>
      <c r="Q441" s="2">
        <v>147.29</v>
      </c>
      <c r="R441" s="2">
        <f t="shared" si="33"/>
        <v>370.28860000000009</v>
      </c>
      <c r="S441" s="1" t="s">
        <v>1003</v>
      </c>
      <c r="T441" s="1" t="s">
        <v>1004</v>
      </c>
      <c r="U441" s="1" t="str">
        <f t="shared" si="34"/>
        <v>NO</v>
      </c>
    </row>
    <row r="442" spans="1:21" x14ac:dyDescent="0.3">
      <c r="A442" s="1" t="s">
        <v>627</v>
      </c>
      <c r="B442" s="1" t="s">
        <v>172</v>
      </c>
      <c r="C442" s="1" t="s">
        <v>173</v>
      </c>
      <c r="D442" s="1" t="s">
        <v>132</v>
      </c>
      <c r="E442" s="1" t="s">
        <v>1455</v>
      </c>
      <c r="F442" s="1" t="s">
        <v>1009</v>
      </c>
      <c r="G442" s="1" t="s">
        <v>1002</v>
      </c>
      <c r="H442" s="1">
        <v>14</v>
      </c>
      <c r="I442" s="1">
        <v>2</v>
      </c>
      <c r="J442" s="1" t="s">
        <v>2784</v>
      </c>
      <c r="K442" s="2">
        <v>148.65</v>
      </c>
      <c r="L442" s="6">
        <v>8</v>
      </c>
      <c r="M442" s="2">
        <f t="shared" si="30"/>
        <v>2081.1</v>
      </c>
      <c r="N442" s="2">
        <f t="shared" si="31"/>
        <v>166.488</v>
      </c>
      <c r="O442" s="2">
        <f t="shared" si="32"/>
        <v>1914.6119999999999</v>
      </c>
      <c r="P442" s="1">
        <v>241</v>
      </c>
      <c r="Q442" s="2">
        <v>104.05</v>
      </c>
      <c r="R442" s="2">
        <f t="shared" si="33"/>
        <v>457.91199999999981</v>
      </c>
      <c r="S442" s="1" t="s">
        <v>1003</v>
      </c>
      <c r="T442" s="1" t="s">
        <v>1004</v>
      </c>
      <c r="U442" s="1" t="str">
        <f t="shared" si="34"/>
        <v>NO</v>
      </c>
    </row>
    <row r="443" spans="1:21" x14ac:dyDescent="0.3">
      <c r="A443" s="1" t="s">
        <v>628</v>
      </c>
      <c r="B443" s="1" t="s">
        <v>72</v>
      </c>
      <c r="C443" s="1" t="s">
        <v>73</v>
      </c>
      <c r="D443" s="1" t="s">
        <v>47</v>
      </c>
      <c r="E443" s="1" t="s">
        <v>1456</v>
      </c>
      <c r="F443" s="1" t="s">
        <v>1006</v>
      </c>
      <c r="G443" s="1" t="s">
        <v>1002</v>
      </c>
      <c r="H443" s="1">
        <v>4</v>
      </c>
      <c r="I443" s="1">
        <v>5</v>
      </c>
      <c r="J443" s="1" t="s">
        <v>2726</v>
      </c>
      <c r="K443" s="2">
        <v>370.75</v>
      </c>
      <c r="L443" s="6">
        <v>24</v>
      </c>
      <c r="M443" s="2">
        <f t="shared" si="30"/>
        <v>1483</v>
      </c>
      <c r="N443" s="2">
        <f t="shared" si="31"/>
        <v>355.92</v>
      </c>
      <c r="O443" s="2">
        <f t="shared" si="32"/>
        <v>1127.08</v>
      </c>
      <c r="P443" s="1">
        <v>268</v>
      </c>
      <c r="Q443" s="2">
        <v>259.52</v>
      </c>
      <c r="R443" s="2">
        <f t="shared" si="33"/>
        <v>89</v>
      </c>
      <c r="S443" s="1" t="s">
        <v>1011</v>
      </c>
      <c r="T443" s="1" t="s">
        <v>1007</v>
      </c>
      <c r="U443" s="1" t="str">
        <f t="shared" si="34"/>
        <v>NO</v>
      </c>
    </row>
    <row r="444" spans="1:21" x14ac:dyDescent="0.3">
      <c r="A444" s="1" t="s">
        <v>629</v>
      </c>
      <c r="B444" s="1" t="s">
        <v>111</v>
      </c>
      <c r="C444" s="1" t="s">
        <v>112</v>
      </c>
      <c r="D444" s="1" t="s">
        <v>97</v>
      </c>
      <c r="E444" s="1" t="s">
        <v>1457</v>
      </c>
      <c r="F444" s="1" t="s">
        <v>1027</v>
      </c>
      <c r="G444" s="1" t="s">
        <v>1023</v>
      </c>
      <c r="H444" s="1">
        <v>2</v>
      </c>
      <c r="I444" s="1">
        <v>6</v>
      </c>
      <c r="J444" s="1" t="s">
        <v>2567</v>
      </c>
      <c r="K444" s="2">
        <v>95.52</v>
      </c>
      <c r="L444" s="6">
        <v>3</v>
      </c>
      <c r="M444" s="2">
        <f t="shared" si="30"/>
        <v>191.04</v>
      </c>
      <c r="N444" s="2">
        <f t="shared" si="31"/>
        <v>5.7312000000000003</v>
      </c>
      <c r="O444" s="2">
        <f t="shared" si="32"/>
        <v>185.30879999999999</v>
      </c>
      <c r="P444" s="1">
        <v>57</v>
      </c>
      <c r="Q444" s="2">
        <v>66.86</v>
      </c>
      <c r="R444" s="2">
        <f t="shared" si="33"/>
        <v>51.588799999999992</v>
      </c>
      <c r="S444" s="1" t="s">
        <v>1016</v>
      </c>
      <c r="T444" s="1" t="s">
        <v>1004</v>
      </c>
      <c r="U444" s="1" t="str">
        <f t="shared" si="34"/>
        <v>YES</v>
      </c>
    </row>
    <row r="445" spans="1:21" x14ac:dyDescent="0.3">
      <c r="A445" s="1" t="s">
        <v>630</v>
      </c>
      <c r="B445" s="1" t="s">
        <v>237</v>
      </c>
      <c r="C445" s="1" t="s">
        <v>238</v>
      </c>
      <c r="D445" s="1" t="s">
        <v>85</v>
      </c>
      <c r="E445" s="1" t="s">
        <v>1458</v>
      </c>
      <c r="F445" s="1" t="s">
        <v>1013</v>
      </c>
      <c r="G445" s="1" t="s">
        <v>1002</v>
      </c>
      <c r="H445" s="1">
        <v>8</v>
      </c>
      <c r="I445" s="1">
        <v>3</v>
      </c>
      <c r="J445" s="1" t="s">
        <v>2785</v>
      </c>
      <c r="K445" s="2">
        <v>256.26</v>
      </c>
      <c r="L445" s="6">
        <v>7</v>
      </c>
      <c r="M445" s="2">
        <f t="shared" si="30"/>
        <v>2050.08</v>
      </c>
      <c r="N445" s="2">
        <f t="shared" si="31"/>
        <v>143.50559999999999</v>
      </c>
      <c r="O445" s="2">
        <f t="shared" si="32"/>
        <v>1906.5744</v>
      </c>
      <c r="P445" s="1">
        <v>192</v>
      </c>
      <c r="Q445" s="2">
        <v>179.38</v>
      </c>
      <c r="R445" s="2">
        <f t="shared" si="33"/>
        <v>471.53440000000001</v>
      </c>
      <c r="S445" s="1" t="s">
        <v>1016</v>
      </c>
      <c r="T445" s="1" t="s">
        <v>1004</v>
      </c>
      <c r="U445" s="1" t="str">
        <f t="shared" si="34"/>
        <v>YES</v>
      </c>
    </row>
    <row r="446" spans="1:21" x14ac:dyDescent="0.3">
      <c r="A446" s="1" t="s">
        <v>631</v>
      </c>
      <c r="B446" s="1" t="s">
        <v>107</v>
      </c>
      <c r="C446" s="1" t="s">
        <v>108</v>
      </c>
      <c r="D446" s="1" t="s">
        <v>39</v>
      </c>
      <c r="E446" s="1" t="s">
        <v>1459</v>
      </c>
      <c r="F446" s="1" t="s">
        <v>1027</v>
      </c>
      <c r="G446" s="1" t="s">
        <v>1010</v>
      </c>
      <c r="H446" s="1">
        <v>13</v>
      </c>
      <c r="I446" s="1">
        <v>3</v>
      </c>
      <c r="J446" s="1" t="s">
        <v>2519</v>
      </c>
      <c r="K446" s="2">
        <v>331.79</v>
      </c>
      <c r="L446" s="6">
        <v>12</v>
      </c>
      <c r="M446" s="2">
        <f t="shared" si="30"/>
        <v>4313.2700000000004</v>
      </c>
      <c r="N446" s="2">
        <f t="shared" si="31"/>
        <v>517.5924</v>
      </c>
      <c r="O446" s="2">
        <f t="shared" si="32"/>
        <v>3795.6776000000004</v>
      </c>
      <c r="P446" s="1">
        <v>123</v>
      </c>
      <c r="Q446" s="2">
        <v>232.25</v>
      </c>
      <c r="R446" s="2">
        <f t="shared" si="33"/>
        <v>776.42760000000044</v>
      </c>
      <c r="S446" s="1" t="s">
        <v>1003</v>
      </c>
      <c r="T446" s="1" t="s">
        <v>1007</v>
      </c>
      <c r="U446" s="1" t="str">
        <f t="shared" si="34"/>
        <v>NO</v>
      </c>
    </row>
    <row r="447" spans="1:21" x14ac:dyDescent="0.3">
      <c r="A447" s="1" t="s">
        <v>632</v>
      </c>
      <c r="B447" s="1" t="s">
        <v>118</v>
      </c>
      <c r="C447" s="1" t="s">
        <v>119</v>
      </c>
      <c r="D447" s="1" t="s">
        <v>97</v>
      </c>
      <c r="E447" s="1" t="s">
        <v>1460</v>
      </c>
      <c r="F447" s="1" t="s">
        <v>1015</v>
      </c>
      <c r="G447" s="1" t="s">
        <v>1002</v>
      </c>
      <c r="H447" s="1">
        <v>9</v>
      </c>
      <c r="I447" s="1">
        <v>6</v>
      </c>
      <c r="J447" s="1" t="s">
        <v>2776</v>
      </c>
      <c r="K447" s="2">
        <v>345.5</v>
      </c>
      <c r="L447" s="6">
        <v>17</v>
      </c>
      <c r="M447" s="2">
        <f t="shared" si="30"/>
        <v>3109.5</v>
      </c>
      <c r="N447" s="2">
        <f t="shared" si="31"/>
        <v>528.61500000000001</v>
      </c>
      <c r="O447" s="2">
        <f t="shared" si="32"/>
        <v>2580.8850000000002</v>
      </c>
      <c r="P447" s="1">
        <v>112</v>
      </c>
      <c r="Q447" s="2">
        <v>241.85</v>
      </c>
      <c r="R447" s="2">
        <f t="shared" si="33"/>
        <v>404.23500000000013</v>
      </c>
      <c r="S447" s="1" t="s">
        <v>1011</v>
      </c>
      <c r="T447" s="1" t="s">
        <v>1004</v>
      </c>
      <c r="U447" s="1" t="str">
        <f t="shared" si="34"/>
        <v>NO</v>
      </c>
    </row>
    <row r="448" spans="1:21" x14ac:dyDescent="0.3">
      <c r="A448" s="1" t="s">
        <v>633</v>
      </c>
      <c r="B448" s="1" t="s">
        <v>262</v>
      </c>
      <c r="C448" s="1" t="s">
        <v>263</v>
      </c>
      <c r="D448" s="1" t="s">
        <v>104</v>
      </c>
      <c r="E448" s="1" t="s">
        <v>1461</v>
      </c>
      <c r="F448" s="1" t="s">
        <v>1006</v>
      </c>
      <c r="G448" s="1" t="s">
        <v>1023</v>
      </c>
      <c r="H448" s="1">
        <v>4</v>
      </c>
      <c r="I448" s="1">
        <v>5</v>
      </c>
      <c r="J448" s="1" t="s">
        <v>2786</v>
      </c>
      <c r="K448" s="2">
        <v>144.44999999999999</v>
      </c>
      <c r="L448" s="6">
        <v>14</v>
      </c>
      <c r="M448" s="2">
        <f t="shared" si="30"/>
        <v>577.79999999999995</v>
      </c>
      <c r="N448" s="2">
        <f t="shared" si="31"/>
        <v>80.891999999999996</v>
      </c>
      <c r="O448" s="2">
        <f t="shared" si="32"/>
        <v>496.90799999999996</v>
      </c>
      <c r="P448" s="1">
        <v>250</v>
      </c>
      <c r="Q448" s="2">
        <v>101.11</v>
      </c>
      <c r="R448" s="2">
        <f t="shared" si="33"/>
        <v>92.467999999999961</v>
      </c>
      <c r="S448" s="1" t="s">
        <v>1016</v>
      </c>
      <c r="T448" s="1" t="s">
        <v>1007</v>
      </c>
      <c r="U448" s="1" t="str">
        <f t="shared" si="34"/>
        <v>YES</v>
      </c>
    </row>
    <row r="449" spans="1:21" x14ac:dyDescent="0.3">
      <c r="A449" s="1" t="s">
        <v>634</v>
      </c>
      <c r="B449" s="1" t="s">
        <v>83</v>
      </c>
      <c r="C449" s="1" t="s">
        <v>84</v>
      </c>
      <c r="D449" s="1" t="s">
        <v>85</v>
      </c>
      <c r="E449" s="1" t="s">
        <v>1462</v>
      </c>
      <c r="F449" s="1" t="s">
        <v>1015</v>
      </c>
      <c r="G449" s="1" t="s">
        <v>1023</v>
      </c>
      <c r="H449" s="1">
        <v>3</v>
      </c>
      <c r="I449" s="1">
        <v>7</v>
      </c>
      <c r="J449" s="1" t="s">
        <v>2661</v>
      </c>
      <c r="K449" s="2">
        <v>312.76</v>
      </c>
      <c r="L449" s="6">
        <v>17</v>
      </c>
      <c r="M449" s="2">
        <f t="shared" si="30"/>
        <v>938.28</v>
      </c>
      <c r="N449" s="2">
        <f t="shared" si="31"/>
        <v>159.5076</v>
      </c>
      <c r="O449" s="2">
        <f t="shared" si="32"/>
        <v>778.77239999999995</v>
      </c>
      <c r="P449" s="1">
        <v>192</v>
      </c>
      <c r="Q449" s="2">
        <v>218.93</v>
      </c>
      <c r="R449" s="2">
        <f t="shared" si="33"/>
        <v>121.98239999999998</v>
      </c>
      <c r="S449" s="1" t="s">
        <v>1003</v>
      </c>
      <c r="T449" s="1" t="s">
        <v>1007</v>
      </c>
      <c r="U449" s="1" t="str">
        <f t="shared" si="34"/>
        <v>NO</v>
      </c>
    </row>
    <row r="450" spans="1:21" x14ac:dyDescent="0.3">
      <c r="A450" s="1" t="s">
        <v>635</v>
      </c>
      <c r="B450" s="1" t="s">
        <v>197</v>
      </c>
      <c r="C450" s="1" t="s">
        <v>198</v>
      </c>
      <c r="D450" s="1" t="s">
        <v>104</v>
      </c>
      <c r="E450" s="1" t="s">
        <v>1463</v>
      </c>
      <c r="F450" s="1" t="s">
        <v>1027</v>
      </c>
      <c r="G450" s="1" t="s">
        <v>1010</v>
      </c>
      <c r="H450" s="1">
        <v>3</v>
      </c>
      <c r="I450" s="1">
        <v>5</v>
      </c>
      <c r="J450" s="1" t="s">
        <v>2548</v>
      </c>
      <c r="K450" s="2">
        <v>298.14</v>
      </c>
      <c r="L450" s="6">
        <v>22</v>
      </c>
      <c r="M450" s="2">
        <f t="shared" ref="M450:M513" si="35">H450*K450</f>
        <v>894.42</v>
      </c>
      <c r="N450" s="2">
        <f t="shared" ref="N450:N513" si="36">M450*L450/100</f>
        <v>196.77239999999998</v>
      </c>
      <c r="O450" s="2">
        <f t="shared" ref="O450:O513" si="37">M450-N450</f>
        <v>697.64760000000001</v>
      </c>
      <c r="P450" s="1">
        <v>238</v>
      </c>
      <c r="Q450" s="2">
        <v>208.7</v>
      </c>
      <c r="R450" s="2">
        <f t="shared" ref="R450:R513" si="38">O450-(H450*Q450)</f>
        <v>71.547600000000102</v>
      </c>
      <c r="S450" s="1" t="s">
        <v>1003</v>
      </c>
      <c r="T450" s="1" t="s">
        <v>1007</v>
      </c>
      <c r="U450" s="1" t="str">
        <f t="shared" ref="U450:U513" si="39">IF(S450="Delivered","YES","NO")</f>
        <v>NO</v>
      </c>
    </row>
    <row r="451" spans="1:21" x14ac:dyDescent="0.3">
      <c r="A451" s="1" t="s">
        <v>636</v>
      </c>
      <c r="B451" s="1" t="s">
        <v>26</v>
      </c>
      <c r="C451" s="1" t="s">
        <v>27</v>
      </c>
      <c r="D451" s="1" t="s">
        <v>28</v>
      </c>
      <c r="E451" s="1" t="s">
        <v>1464</v>
      </c>
      <c r="F451" s="1" t="s">
        <v>1027</v>
      </c>
      <c r="G451" s="1" t="s">
        <v>1010</v>
      </c>
      <c r="H451" s="1">
        <v>12</v>
      </c>
      <c r="I451" s="1">
        <v>6</v>
      </c>
      <c r="J451" s="1" t="s">
        <v>2621</v>
      </c>
      <c r="K451" s="2">
        <v>376.72</v>
      </c>
      <c r="L451" s="6">
        <v>5</v>
      </c>
      <c r="M451" s="2">
        <f t="shared" si="35"/>
        <v>4520.6400000000003</v>
      </c>
      <c r="N451" s="2">
        <f t="shared" si="36"/>
        <v>226.03200000000001</v>
      </c>
      <c r="O451" s="2">
        <f t="shared" si="37"/>
        <v>4294.6080000000002</v>
      </c>
      <c r="P451" s="1">
        <v>83</v>
      </c>
      <c r="Q451" s="2">
        <v>263.7</v>
      </c>
      <c r="R451" s="2">
        <f t="shared" si="38"/>
        <v>1130.2080000000005</v>
      </c>
      <c r="S451" s="1" t="s">
        <v>1011</v>
      </c>
      <c r="T451" s="1" t="s">
        <v>1004</v>
      </c>
      <c r="U451" s="1" t="str">
        <f t="shared" si="39"/>
        <v>NO</v>
      </c>
    </row>
    <row r="452" spans="1:21" x14ac:dyDescent="0.3">
      <c r="A452" s="1" t="s">
        <v>637</v>
      </c>
      <c r="B452" s="1" t="s">
        <v>262</v>
      </c>
      <c r="C452" s="1" t="s">
        <v>263</v>
      </c>
      <c r="D452" s="1" t="s">
        <v>104</v>
      </c>
      <c r="E452" s="1" t="s">
        <v>1465</v>
      </c>
      <c r="F452" s="1" t="s">
        <v>1013</v>
      </c>
      <c r="G452" s="1" t="s">
        <v>1023</v>
      </c>
      <c r="H452" s="1">
        <v>14</v>
      </c>
      <c r="I452" s="1">
        <v>7</v>
      </c>
      <c r="J452" s="1" t="s">
        <v>2659</v>
      </c>
      <c r="K452" s="2">
        <v>83.68</v>
      </c>
      <c r="L452" s="6">
        <v>25</v>
      </c>
      <c r="M452" s="2">
        <f t="shared" si="35"/>
        <v>1171.52</v>
      </c>
      <c r="N452" s="2">
        <f t="shared" si="36"/>
        <v>292.88</v>
      </c>
      <c r="O452" s="2">
        <f t="shared" si="37"/>
        <v>878.64</v>
      </c>
      <c r="P452" s="1">
        <v>238</v>
      </c>
      <c r="Q452" s="2">
        <v>58.58</v>
      </c>
      <c r="R452" s="2">
        <f t="shared" si="38"/>
        <v>58.519999999999982</v>
      </c>
      <c r="S452" s="1" t="s">
        <v>1016</v>
      </c>
      <c r="T452" s="1" t="s">
        <v>1004</v>
      </c>
      <c r="U452" s="1" t="str">
        <f t="shared" si="39"/>
        <v>YES</v>
      </c>
    </row>
    <row r="453" spans="1:21" x14ac:dyDescent="0.3">
      <c r="A453" s="1" t="s">
        <v>638</v>
      </c>
      <c r="B453" s="1" t="s">
        <v>192</v>
      </c>
      <c r="C453" s="1" t="s">
        <v>193</v>
      </c>
      <c r="D453" s="1" t="s">
        <v>85</v>
      </c>
      <c r="E453" s="1" t="s">
        <v>1466</v>
      </c>
      <c r="F453" s="1" t="s">
        <v>1001</v>
      </c>
      <c r="G453" s="1" t="s">
        <v>1010</v>
      </c>
      <c r="H453" s="1">
        <v>13</v>
      </c>
      <c r="I453" s="1">
        <v>3</v>
      </c>
      <c r="J453" s="1" t="s">
        <v>2550</v>
      </c>
      <c r="K453" s="2">
        <v>217.68</v>
      </c>
      <c r="L453" s="6">
        <v>22</v>
      </c>
      <c r="M453" s="2">
        <f t="shared" si="35"/>
        <v>2829.84</v>
      </c>
      <c r="N453" s="2">
        <f t="shared" si="36"/>
        <v>622.56479999999999</v>
      </c>
      <c r="O453" s="2">
        <f t="shared" si="37"/>
        <v>2207.2752</v>
      </c>
      <c r="P453" s="1">
        <v>148</v>
      </c>
      <c r="Q453" s="2">
        <v>152.38</v>
      </c>
      <c r="R453" s="2">
        <f t="shared" si="38"/>
        <v>226.33519999999999</v>
      </c>
      <c r="S453" s="1" t="s">
        <v>1016</v>
      </c>
      <c r="T453" s="1" t="s">
        <v>1004</v>
      </c>
      <c r="U453" s="1" t="str">
        <f t="shared" si="39"/>
        <v>YES</v>
      </c>
    </row>
    <row r="454" spans="1:21" x14ac:dyDescent="0.3">
      <c r="A454" s="1" t="s">
        <v>639</v>
      </c>
      <c r="B454" s="1" t="s">
        <v>57</v>
      </c>
      <c r="C454" s="1" t="s">
        <v>58</v>
      </c>
      <c r="D454" s="1" t="s">
        <v>59</v>
      </c>
      <c r="E454" s="1" t="s">
        <v>1467</v>
      </c>
      <c r="F454" s="1" t="s">
        <v>1027</v>
      </c>
      <c r="G454" s="1" t="s">
        <v>1010</v>
      </c>
      <c r="H454" s="1">
        <v>5</v>
      </c>
      <c r="I454" s="1">
        <v>4</v>
      </c>
      <c r="J454" s="1" t="s">
        <v>2668</v>
      </c>
      <c r="K454" s="2">
        <v>71.239999999999995</v>
      </c>
      <c r="L454" s="6">
        <v>21</v>
      </c>
      <c r="M454" s="2">
        <f t="shared" si="35"/>
        <v>356.2</v>
      </c>
      <c r="N454" s="2">
        <f t="shared" si="36"/>
        <v>74.801999999999992</v>
      </c>
      <c r="O454" s="2">
        <f t="shared" si="37"/>
        <v>281.39800000000002</v>
      </c>
      <c r="P454" s="1">
        <v>123</v>
      </c>
      <c r="Q454" s="2">
        <v>49.87</v>
      </c>
      <c r="R454" s="2">
        <f t="shared" si="38"/>
        <v>32.04800000000003</v>
      </c>
      <c r="S454" s="1" t="s">
        <v>1011</v>
      </c>
      <c r="T454" s="1" t="s">
        <v>1007</v>
      </c>
      <c r="U454" s="1" t="str">
        <f t="shared" si="39"/>
        <v>NO</v>
      </c>
    </row>
    <row r="455" spans="1:21" x14ac:dyDescent="0.3">
      <c r="A455" s="1" t="s">
        <v>640</v>
      </c>
      <c r="B455" s="1" t="s">
        <v>63</v>
      </c>
      <c r="C455" s="1" t="s">
        <v>64</v>
      </c>
      <c r="D455" s="1" t="s">
        <v>28</v>
      </c>
      <c r="E455" s="1" t="s">
        <v>1468</v>
      </c>
      <c r="F455" s="1" t="s">
        <v>1001</v>
      </c>
      <c r="G455" s="1" t="s">
        <v>1002</v>
      </c>
      <c r="H455" s="1">
        <v>13</v>
      </c>
      <c r="I455" s="1">
        <v>3</v>
      </c>
      <c r="J455" s="1" t="s">
        <v>2745</v>
      </c>
      <c r="K455" s="2">
        <v>497.51</v>
      </c>
      <c r="L455" s="6">
        <v>7</v>
      </c>
      <c r="M455" s="2">
        <f t="shared" si="35"/>
        <v>6467.63</v>
      </c>
      <c r="N455" s="2">
        <f t="shared" si="36"/>
        <v>452.73410000000001</v>
      </c>
      <c r="O455" s="2">
        <f t="shared" si="37"/>
        <v>6014.8959000000004</v>
      </c>
      <c r="P455" s="1">
        <v>70</v>
      </c>
      <c r="Q455" s="2">
        <v>348.26</v>
      </c>
      <c r="R455" s="2">
        <f t="shared" si="38"/>
        <v>1487.5159000000003</v>
      </c>
      <c r="S455" s="1" t="s">
        <v>1003</v>
      </c>
      <c r="T455" s="1" t="s">
        <v>1004</v>
      </c>
      <c r="U455" s="1" t="str">
        <f t="shared" si="39"/>
        <v>NO</v>
      </c>
    </row>
    <row r="456" spans="1:21" x14ac:dyDescent="0.3">
      <c r="A456" s="1" t="s">
        <v>641</v>
      </c>
      <c r="B456" s="1" t="s">
        <v>143</v>
      </c>
      <c r="C456" s="1" t="s">
        <v>144</v>
      </c>
      <c r="D456" s="1" t="s">
        <v>47</v>
      </c>
      <c r="E456" s="1" t="s">
        <v>1469</v>
      </c>
      <c r="F456" s="1" t="s">
        <v>1020</v>
      </c>
      <c r="G456" s="1" t="s">
        <v>1023</v>
      </c>
      <c r="H456" s="1">
        <v>12</v>
      </c>
      <c r="I456" s="1">
        <v>2</v>
      </c>
      <c r="J456" s="1" t="s">
        <v>2603</v>
      </c>
      <c r="K456" s="2">
        <v>359.34</v>
      </c>
      <c r="L456" s="6">
        <v>12</v>
      </c>
      <c r="M456" s="2">
        <f t="shared" si="35"/>
        <v>4312.08</v>
      </c>
      <c r="N456" s="2">
        <f t="shared" si="36"/>
        <v>517.44960000000003</v>
      </c>
      <c r="O456" s="2">
        <f t="shared" si="37"/>
        <v>3794.6304</v>
      </c>
      <c r="P456" s="1">
        <v>105</v>
      </c>
      <c r="Q456" s="2">
        <v>251.54</v>
      </c>
      <c r="R456" s="2">
        <f t="shared" si="38"/>
        <v>776.15039999999999</v>
      </c>
      <c r="S456" s="1" t="s">
        <v>1016</v>
      </c>
      <c r="T456" s="1" t="s">
        <v>1004</v>
      </c>
      <c r="U456" s="1" t="str">
        <f t="shared" si="39"/>
        <v>YES</v>
      </c>
    </row>
    <row r="457" spans="1:21" x14ac:dyDescent="0.3">
      <c r="A457" s="1" t="s">
        <v>642</v>
      </c>
      <c r="B457" s="1" t="s">
        <v>192</v>
      </c>
      <c r="C457" s="1" t="s">
        <v>193</v>
      </c>
      <c r="D457" s="1" t="s">
        <v>85</v>
      </c>
      <c r="E457" s="1" t="s">
        <v>1470</v>
      </c>
      <c r="F457" s="1" t="s">
        <v>1009</v>
      </c>
      <c r="G457" s="1" t="s">
        <v>1023</v>
      </c>
      <c r="H457" s="1">
        <v>5</v>
      </c>
      <c r="I457" s="1">
        <v>2</v>
      </c>
      <c r="J457" s="1" t="s">
        <v>2787</v>
      </c>
      <c r="K457" s="2">
        <v>63.4</v>
      </c>
      <c r="L457" s="6">
        <v>5</v>
      </c>
      <c r="M457" s="2">
        <f t="shared" si="35"/>
        <v>317</v>
      </c>
      <c r="N457" s="2">
        <f t="shared" si="36"/>
        <v>15.85</v>
      </c>
      <c r="O457" s="2">
        <f t="shared" si="37"/>
        <v>301.14999999999998</v>
      </c>
      <c r="P457" s="1">
        <v>209</v>
      </c>
      <c r="Q457" s="2">
        <v>44.38</v>
      </c>
      <c r="R457" s="2">
        <f t="shared" si="38"/>
        <v>79.249999999999972</v>
      </c>
      <c r="S457" s="1" t="s">
        <v>1003</v>
      </c>
      <c r="T457" s="1" t="s">
        <v>1007</v>
      </c>
      <c r="U457" s="1" t="str">
        <f t="shared" si="39"/>
        <v>NO</v>
      </c>
    </row>
    <row r="458" spans="1:21" x14ac:dyDescent="0.3">
      <c r="A458" s="1" t="s">
        <v>643</v>
      </c>
      <c r="B458" s="1" t="s">
        <v>26</v>
      </c>
      <c r="C458" s="1" t="s">
        <v>27</v>
      </c>
      <c r="D458" s="1" t="s">
        <v>28</v>
      </c>
      <c r="E458" s="1" t="s">
        <v>1471</v>
      </c>
      <c r="F458" s="1" t="s">
        <v>1009</v>
      </c>
      <c r="G458" s="1" t="s">
        <v>1002</v>
      </c>
      <c r="H458" s="1">
        <v>7</v>
      </c>
      <c r="I458" s="1">
        <v>2</v>
      </c>
      <c r="J458" s="1" t="s">
        <v>2724</v>
      </c>
      <c r="K458" s="2">
        <v>131.03</v>
      </c>
      <c r="L458" s="6">
        <v>7</v>
      </c>
      <c r="M458" s="2">
        <f t="shared" si="35"/>
        <v>917.21</v>
      </c>
      <c r="N458" s="2">
        <f t="shared" si="36"/>
        <v>64.204700000000003</v>
      </c>
      <c r="O458" s="2">
        <f t="shared" si="37"/>
        <v>853.00530000000003</v>
      </c>
      <c r="P458" s="1">
        <v>154</v>
      </c>
      <c r="Q458" s="2">
        <v>91.72</v>
      </c>
      <c r="R458" s="2">
        <f t="shared" si="38"/>
        <v>210.96530000000007</v>
      </c>
      <c r="S458" s="1" t="s">
        <v>1011</v>
      </c>
      <c r="T458" s="1" t="s">
        <v>1007</v>
      </c>
      <c r="U458" s="1" t="str">
        <f t="shared" si="39"/>
        <v>NO</v>
      </c>
    </row>
    <row r="459" spans="1:21" x14ac:dyDescent="0.3">
      <c r="A459" s="1" t="s">
        <v>644</v>
      </c>
      <c r="B459" s="1" t="s">
        <v>107</v>
      </c>
      <c r="C459" s="1" t="s">
        <v>108</v>
      </c>
      <c r="D459" s="1" t="s">
        <v>39</v>
      </c>
      <c r="E459" s="1" t="s">
        <v>1472</v>
      </c>
      <c r="F459" s="1" t="s">
        <v>1027</v>
      </c>
      <c r="G459" s="1" t="s">
        <v>1023</v>
      </c>
      <c r="H459" s="1">
        <v>15</v>
      </c>
      <c r="I459" s="1">
        <v>2</v>
      </c>
      <c r="J459" s="1" t="s">
        <v>2679</v>
      </c>
      <c r="K459" s="2">
        <v>463.35</v>
      </c>
      <c r="L459" s="6">
        <v>3</v>
      </c>
      <c r="M459" s="2">
        <f t="shared" si="35"/>
        <v>6950.25</v>
      </c>
      <c r="N459" s="2">
        <f t="shared" si="36"/>
        <v>208.50749999999999</v>
      </c>
      <c r="O459" s="2">
        <f t="shared" si="37"/>
        <v>6741.7425000000003</v>
      </c>
      <c r="P459" s="1">
        <v>173</v>
      </c>
      <c r="Q459" s="2">
        <v>324.33999999999997</v>
      </c>
      <c r="R459" s="2">
        <f t="shared" si="38"/>
        <v>1876.6425000000008</v>
      </c>
      <c r="S459" s="1" t="s">
        <v>1011</v>
      </c>
      <c r="T459" s="1" t="s">
        <v>1007</v>
      </c>
      <c r="U459" s="1" t="str">
        <f t="shared" si="39"/>
        <v>NO</v>
      </c>
    </row>
    <row r="460" spans="1:21" x14ac:dyDescent="0.3">
      <c r="A460" s="1" t="s">
        <v>645</v>
      </c>
      <c r="B460" s="1" t="s">
        <v>107</v>
      </c>
      <c r="C460" s="1" t="s">
        <v>108</v>
      </c>
      <c r="D460" s="1" t="s">
        <v>39</v>
      </c>
      <c r="E460" s="1" t="s">
        <v>1473</v>
      </c>
      <c r="F460" s="1" t="s">
        <v>1006</v>
      </c>
      <c r="G460" s="1" t="s">
        <v>1002</v>
      </c>
      <c r="H460" s="1">
        <v>7</v>
      </c>
      <c r="I460" s="1">
        <v>1</v>
      </c>
      <c r="J460" s="1" t="s">
        <v>2619</v>
      </c>
      <c r="K460" s="2">
        <v>257.07</v>
      </c>
      <c r="L460" s="6">
        <v>4</v>
      </c>
      <c r="M460" s="2">
        <f t="shared" si="35"/>
        <v>1799.49</v>
      </c>
      <c r="N460" s="2">
        <f t="shared" si="36"/>
        <v>71.979600000000005</v>
      </c>
      <c r="O460" s="2">
        <f t="shared" si="37"/>
        <v>1727.5104000000001</v>
      </c>
      <c r="P460" s="1">
        <v>221</v>
      </c>
      <c r="Q460" s="2">
        <v>179.95</v>
      </c>
      <c r="R460" s="2">
        <f t="shared" si="38"/>
        <v>467.86040000000025</v>
      </c>
      <c r="S460" s="1" t="s">
        <v>1011</v>
      </c>
      <c r="T460" s="1" t="s">
        <v>1004</v>
      </c>
      <c r="U460" s="1" t="str">
        <f t="shared" si="39"/>
        <v>NO</v>
      </c>
    </row>
    <row r="461" spans="1:21" x14ac:dyDescent="0.3">
      <c r="A461" s="1" t="s">
        <v>646</v>
      </c>
      <c r="B461" s="1" t="s">
        <v>83</v>
      </c>
      <c r="C461" s="1" t="s">
        <v>84</v>
      </c>
      <c r="D461" s="1" t="s">
        <v>85</v>
      </c>
      <c r="E461" s="1" t="s">
        <v>1474</v>
      </c>
      <c r="F461" s="1" t="s">
        <v>1009</v>
      </c>
      <c r="G461" s="1" t="s">
        <v>1010</v>
      </c>
      <c r="H461" s="1">
        <v>12</v>
      </c>
      <c r="I461" s="1">
        <v>3</v>
      </c>
      <c r="J461" s="1" t="s">
        <v>2726</v>
      </c>
      <c r="K461" s="2">
        <v>85.91</v>
      </c>
      <c r="L461" s="6">
        <v>4</v>
      </c>
      <c r="M461" s="2">
        <f t="shared" si="35"/>
        <v>1030.92</v>
      </c>
      <c r="N461" s="2">
        <f t="shared" si="36"/>
        <v>41.236800000000002</v>
      </c>
      <c r="O461" s="2">
        <f t="shared" si="37"/>
        <v>989.68320000000006</v>
      </c>
      <c r="P461" s="1">
        <v>215</v>
      </c>
      <c r="Q461" s="2">
        <v>60.14</v>
      </c>
      <c r="R461" s="2">
        <f t="shared" si="38"/>
        <v>268.00319999999999</v>
      </c>
      <c r="S461" s="1" t="s">
        <v>1003</v>
      </c>
      <c r="T461" s="1" t="s">
        <v>1004</v>
      </c>
      <c r="U461" s="1" t="str">
        <f t="shared" si="39"/>
        <v>NO</v>
      </c>
    </row>
    <row r="462" spans="1:21" x14ac:dyDescent="0.3">
      <c r="A462" s="1" t="s">
        <v>647</v>
      </c>
      <c r="B462" s="1" t="s">
        <v>77</v>
      </c>
      <c r="C462" s="1" t="s">
        <v>78</v>
      </c>
      <c r="D462" s="1" t="s">
        <v>47</v>
      </c>
      <c r="E462" s="1" t="s">
        <v>1475</v>
      </c>
      <c r="F462" s="1" t="s">
        <v>1006</v>
      </c>
      <c r="G462" s="1" t="s">
        <v>1023</v>
      </c>
      <c r="H462" s="1">
        <v>15</v>
      </c>
      <c r="I462" s="1">
        <v>1</v>
      </c>
      <c r="J462" s="1" t="s">
        <v>2788</v>
      </c>
      <c r="K462" s="2">
        <v>46.82</v>
      </c>
      <c r="L462" s="6">
        <v>23</v>
      </c>
      <c r="M462" s="2">
        <f t="shared" si="35"/>
        <v>702.3</v>
      </c>
      <c r="N462" s="2">
        <f t="shared" si="36"/>
        <v>161.529</v>
      </c>
      <c r="O462" s="2">
        <f t="shared" si="37"/>
        <v>540.77099999999996</v>
      </c>
      <c r="P462" s="1">
        <v>102</v>
      </c>
      <c r="Q462" s="2">
        <v>32.770000000000003</v>
      </c>
      <c r="R462" s="2">
        <f t="shared" si="38"/>
        <v>49.22099999999989</v>
      </c>
      <c r="S462" s="1" t="s">
        <v>1016</v>
      </c>
      <c r="T462" s="1" t="s">
        <v>1004</v>
      </c>
      <c r="U462" s="1" t="str">
        <f t="shared" si="39"/>
        <v>YES</v>
      </c>
    </row>
    <row r="463" spans="1:21" x14ac:dyDescent="0.3">
      <c r="A463" s="1" t="s">
        <v>648</v>
      </c>
      <c r="B463" s="1" t="s">
        <v>126</v>
      </c>
      <c r="C463" s="1" t="s">
        <v>127</v>
      </c>
      <c r="D463" s="1" t="s">
        <v>85</v>
      </c>
      <c r="E463" s="1" t="s">
        <v>1476</v>
      </c>
      <c r="F463" s="1" t="s">
        <v>1015</v>
      </c>
      <c r="G463" s="1" t="s">
        <v>1023</v>
      </c>
      <c r="H463" s="1">
        <v>8</v>
      </c>
      <c r="I463" s="1">
        <v>7</v>
      </c>
      <c r="J463" s="1" t="s">
        <v>2789</v>
      </c>
      <c r="K463" s="2">
        <v>165.56</v>
      </c>
      <c r="L463" s="6">
        <v>10</v>
      </c>
      <c r="M463" s="2">
        <f t="shared" si="35"/>
        <v>1324.48</v>
      </c>
      <c r="N463" s="2">
        <f t="shared" si="36"/>
        <v>132.44799999999998</v>
      </c>
      <c r="O463" s="2">
        <f t="shared" si="37"/>
        <v>1192.0320000000002</v>
      </c>
      <c r="P463" s="1">
        <v>260</v>
      </c>
      <c r="Q463" s="2">
        <v>115.89</v>
      </c>
      <c r="R463" s="2">
        <f t="shared" si="38"/>
        <v>264.91200000000015</v>
      </c>
      <c r="S463" s="1" t="s">
        <v>1011</v>
      </c>
      <c r="T463" s="1" t="s">
        <v>1004</v>
      </c>
      <c r="U463" s="1" t="str">
        <f t="shared" si="39"/>
        <v>NO</v>
      </c>
    </row>
    <row r="464" spans="1:21" x14ac:dyDescent="0.3">
      <c r="A464" s="1" t="s">
        <v>649</v>
      </c>
      <c r="B464" s="1" t="s">
        <v>63</v>
      </c>
      <c r="C464" s="1" t="s">
        <v>64</v>
      </c>
      <c r="D464" s="1" t="s">
        <v>28</v>
      </c>
      <c r="E464" s="1" t="s">
        <v>1477</v>
      </c>
      <c r="F464" s="1" t="s">
        <v>1009</v>
      </c>
      <c r="G464" s="1" t="s">
        <v>1023</v>
      </c>
      <c r="H464" s="1">
        <v>3</v>
      </c>
      <c r="I464" s="1">
        <v>1</v>
      </c>
      <c r="J464" s="1" t="s">
        <v>2656</v>
      </c>
      <c r="K464" s="2">
        <v>241.1</v>
      </c>
      <c r="L464" s="6">
        <v>20</v>
      </c>
      <c r="M464" s="2">
        <f t="shared" si="35"/>
        <v>723.3</v>
      </c>
      <c r="N464" s="2">
        <f t="shared" si="36"/>
        <v>144.66</v>
      </c>
      <c r="O464" s="2">
        <f t="shared" si="37"/>
        <v>578.64</v>
      </c>
      <c r="P464" s="1">
        <v>112</v>
      </c>
      <c r="Q464" s="2">
        <v>168.77</v>
      </c>
      <c r="R464" s="2">
        <f t="shared" si="38"/>
        <v>72.329999999999927</v>
      </c>
      <c r="S464" s="1" t="s">
        <v>1011</v>
      </c>
      <c r="T464" s="1" t="s">
        <v>1004</v>
      </c>
      <c r="U464" s="1" t="str">
        <f t="shared" si="39"/>
        <v>NO</v>
      </c>
    </row>
    <row r="465" spans="1:21" x14ac:dyDescent="0.3">
      <c r="A465" s="1" t="s">
        <v>650</v>
      </c>
      <c r="B465" s="1" t="s">
        <v>189</v>
      </c>
      <c r="C465" s="1" t="s">
        <v>190</v>
      </c>
      <c r="D465" s="1" t="s">
        <v>59</v>
      </c>
      <c r="E465" s="1" t="s">
        <v>1478</v>
      </c>
      <c r="F465" s="1" t="s">
        <v>1015</v>
      </c>
      <c r="G465" s="1" t="s">
        <v>1010</v>
      </c>
      <c r="H465" s="1">
        <v>1</v>
      </c>
      <c r="I465" s="1">
        <v>3</v>
      </c>
      <c r="J465" s="1" t="s">
        <v>2723</v>
      </c>
      <c r="K465" s="2">
        <v>485.74</v>
      </c>
      <c r="L465" s="6">
        <v>11</v>
      </c>
      <c r="M465" s="2">
        <f t="shared" si="35"/>
        <v>485.74</v>
      </c>
      <c r="N465" s="2">
        <f t="shared" si="36"/>
        <v>53.431400000000004</v>
      </c>
      <c r="O465" s="2">
        <f t="shared" si="37"/>
        <v>432.30860000000001</v>
      </c>
      <c r="P465" s="1">
        <v>178</v>
      </c>
      <c r="Q465" s="2">
        <v>340.02</v>
      </c>
      <c r="R465" s="2">
        <f t="shared" si="38"/>
        <v>92.288600000000031</v>
      </c>
      <c r="S465" s="1" t="s">
        <v>1011</v>
      </c>
      <c r="T465" s="1" t="s">
        <v>1007</v>
      </c>
      <c r="U465" s="1" t="str">
        <f t="shared" si="39"/>
        <v>NO</v>
      </c>
    </row>
    <row r="466" spans="1:21" x14ac:dyDescent="0.3">
      <c r="A466" s="1" t="s">
        <v>651</v>
      </c>
      <c r="B466" s="1" t="s">
        <v>123</v>
      </c>
      <c r="C466" s="1" t="s">
        <v>124</v>
      </c>
      <c r="D466" s="1" t="s">
        <v>47</v>
      </c>
      <c r="E466" s="1" t="s">
        <v>1479</v>
      </c>
      <c r="F466" s="1" t="s">
        <v>1001</v>
      </c>
      <c r="G466" s="1" t="s">
        <v>1023</v>
      </c>
      <c r="H466" s="1">
        <v>7</v>
      </c>
      <c r="I466" s="1">
        <v>2</v>
      </c>
      <c r="J466" s="1" t="s">
        <v>2567</v>
      </c>
      <c r="K466" s="2">
        <v>94.66</v>
      </c>
      <c r="L466" s="6">
        <v>2</v>
      </c>
      <c r="M466" s="2">
        <f t="shared" si="35"/>
        <v>662.62</v>
      </c>
      <c r="N466" s="2">
        <f t="shared" si="36"/>
        <v>13.2524</v>
      </c>
      <c r="O466" s="2">
        <f t="shared" si="37"/>
        <v>649.36760000000004</v>
      </c>
      <c r="P466" s="1">
        <v>127</v>
      </c>
      <c r="Q466" s="2">
        <v>66.260000000000005</v>
      </c>
      <c r="R466" s="2">
        <f t="shared" si="38"/>
        <v>185.54759999999999</v>
      </c>
      <c r="S466" s="1" t="s">
        <v>1011</v>
      </c>
      <c r="T466" s="1" t="s">
        <v>1007</v>
      </c>
      <c r="U466" s="1" t="str">
        <f t="shared" si="39"/>
        <v>NO</v>
      </c>
    </row>
    <row r="467" spans="1:21" x14ac:dyDescent="0.3">
      <c r="A467" s="1" t="s">
        <v>652</v>
      </c>
      <c r="B467" s="1" t="s">
        <v>143</v>
      </c>
      <c r="C467" s="1" t="s">
        <v>144</v>
      </c>
      <c r="D467" s="1" t="s">
        <v>47</v>
      </c>
      <c r="E467" s="1" t="s">
        <v>1480</v>
      </c>
      <c r="F467" s="1" t="s">
        <v>1015</v>
      </c>
      <c r="G467" s="1" t="s">
        <v>1002</v>
      </c>
      <c r="H467" s="1">
        <v>10</v>
      </c>
      <c r="I467" s="1">
        <v>2</v>
      </c>
      <c r="J467" s="1" t="s">
        <v>2790</v>
      </c>
      <c r="K467" s="2">
        <v>389.6</v>
      </c>
      <c r="L467" s="6">
        <v>8</v>
      </c>
      <c r="M467" s="2">
        <f t="shared" si="35"/>
        <v>3896</v>
      </c>
      <c r="N467" s="2">
        <f t="shared" si="36"/>
        <v>311.68</v>
      </c>
      <c r="O467" s="2">
        <f t="shared" si="37"/>
        <v>3584.32</v>
      </c>
      <c r="P467" s="1">
        <v>263</v>
      </c>
      <c r="Q467" s="2">
        <v>272.72000000000003</v>
      </c>
      <c r="R467" s="2">
        <f t="shared" si="38"/>
        <v>857.11999999999989</v>
      </c>
      <c r="S467" s="1" t="s">
        <v>1011</v>
      </c>
      <c r="T467" s="1" t="s">
        <v>1007</v>
      </c>
      <c r="U467" s="1" t="str">
        <f t="shared" si="39"/>
        <v>NO</v>
      </c>
    </row>
    <row r="468" spans="1:21" x14ac:dyDescent="0.3">
      <c r="A468" s="1" t="s">
        <v>653</v>
      </c>
      <c r="B468" s="1" t="s">
        <v>111</v>
      </c>
      <c r="C468" s="1" t="s">
        <v>112</v>
      </c>
      <c r="D468" s="1" t="s">
        <v>97</v>
      </c>
      <c r="E468" s="1" t="s">
        <v>1481</v>
      </c>
      <c r="F468" s="1" t="s">
        <v>1009</v>
      </c>
      <c r="G468" s="1" t="s">
        <v>1010</v>
      </c>
      <c r="H468" s="1">
        <v>1</v>
      </c>
      <c r="I468" s="1">
        <v>3</v>
      </c>
      <c r="J468" s="1" t="s">
        <v>2633</v>
      </c>
      <c r="K468" s="2">
        <v>419.24</v>
      </c>
      <c r="L468" s="6">
        <v>9</v>
      </c>
      <c r="M468" s="2">
        <f t="shared" si="35"/>
        <v>419.24</v>
      </c>
      <c r="N468" s="2">
        <f t="shared" si="36"/>
        <v>37.7316</v>
      </c>
      <c r="O468" s="2">
        <f t="shared" si="37"/>
        <v>381.50839999999999</v>
      </c>
      <c r="P468" s="1">
        <v>226</v>
      </c>
      <c r="Q468" s="2">
        <v>293.47000000000003</v>
      </c>
      <c r="R468" s="2">
        <f t="shared" si="38"/>
        <v>88.038399999999967</v>
      </c>
      <c r="S468" s="1" t="s">
        <v>1011</v>
      </c>
      <c r="T468" s="1" t="s">
        <v>1007</v>
      </c>
      <c r="U468" s="1" t="str">
        <f t="shared" si="39"/>
        <v>NO</v>
      </c>
    </row>
    <row r="469" spans="1:21" x14ac:dyDescent="0.3">
      <c r="A469" s="1" t="s">
        <v>654</v>
      </c>
      <c r="B469" s="1" t="s">
        <v>262</v>
      </c>
      <c r="C469" s="1" t="s">
        <v>263</v>
      </c>
      <c r="D469" s="1" t="s">
        <v>104</v>
      </c>
      <c r="E469" s="1" t="s">
        <v>1482</v>
      </c>
      <c r="F469" s="1" t="s">
        <v>1020</v>
      </c>
      <c r="G469" s="1" t="s">
        <v>1023</v>
      </c>
      <c r="H469" s="1">
        <v>5</v>
      </c>
      <c r="I469" s="1">
        <v>1</v>
      </c>
      <c r="J469" s="1" t="s">
        <v>2627</v>
      </c>
      <c r="K469" s="2">
        <v>348.84</v>
      </c>
      <c r="L469" s="6">
        <v>10</v>
      </c>
      <c r="M469" s="2">
        <f t="shared" si="35"/>
        <v>1744.1999999999998</v>
      </c>
      <c r="N469" s="2">
        <f t="shared" si="36"/>
        <v>174.42</v>
      </c>
      <c r="O469" s="2">
        <f t="shared" si="37"/>
        <v>1569.7799999999997</v>
      </c>
      <c r="P469" s="1">
        <v>149</v>
      </c>
      <c r="Q469" s="2">
        <v>244.19</v>
      </c>
      <c r="R469" s="2">
        <f t="shared" si="38"/>
        <v>348.8299999999997</v>
      </c>
      <c r="S469" s="1" t="s">
        <v>1003</v>
      </c>
      <c r="T469" s="1" t="s">
        <v>1007</v>
      </c>
      <c r="U469" s="1" t="str">
        <f t="shared" si="39"/>
        <v>NO</v>
      </c>
    </row>
    <row r="470" spans="1:21" x14ac:dyDescent="0.3">
      <c r="A470" s="1" t="s">
        <v>655</v>
      </c>
      <c r="B470" s="1" t="s">
        <v>69</v>
      </c>
      <c r="C470" s="1" t="s">
        <v>70</v>
      </c>
      <c r="D470" s="1" t="s">
        <v>59</v>
      </c>
      <c r="E470" s="1" t="s">
        <v>1483</v>
      </c>
      <c r="F470" s="1" t="s">
        <v>1013</v>
      </c>
      <c r="G470" s="1" t="s">
        <v>1023</v>
      </c>
      <c r="H470" s="1">
        <v>9</v>
      </c>
      <c r="I470" s="1">
        <v>3</v>
      </c>
      <c r="J470" s="1" t="s">
        <v>2791</v>
      </c>
      <c r="K470" s="2">
        <v>359.25</v>
      </c>
      <c r="L470" s="6">
        <v>4</v>
      </c>
      <c r="M470" s="2">
        <f t="shared" si="35"/>
        <v>3233.25</v>
      </c>
      <c r="N470" s="2">
        <f t="shared" si="36"/>
        <v>129.33000000000001</v>
      </c>
      <c r="O470" s="2">
        <f t="shared" si="37"/>
        <v>3103.92</v>
      </c>
      <c r="P470" s="1">
        <v>238</v>
      </c>
      <c r="Q470" s="2">
        <v>251.47</v>
      </c>
      <c r="R470" s="2">
        <f t="shared" si="38"/>
        <v>840.69</v>
      </c>
      <c r="S470" s="1" t="s">
        <v>1011</v>
      </c>
      <c r="T470" s="1" t="s">
        <v>1007</v>
      </c>
      <c r="U470" s="1" t="str">
        <f t="shared" si="39"/>
        <v>NO</v>
      </c>
    </row>
    <row r="471" spans="1:21" x14ac:dyDescent="0.3">
      <c r="A471" s="1" t="s">
        <v>656</v>
      </c>
      <c r="B471" s="1" t="s">
        <v>69</v>
      </c>
      <c r="C471" s="1" t="s">
        <v>70</v>
      </c>
      <c r="D471" s="1" t="s">
        <v>59</v>
      </c>
      <c r="E471" s="1" t="s">
        <v>1484</v>
      </c>
      <c r="F471" s="1" t="s">
        <v>1009</v>
      </c>
      <c r="G471" s="1" t="s">
        <v>1010</v>
      </c>
      <c r="H471" s="1">
        <v>6</v>
      </c>
      <c r="I471" s="1">
        <v>5</v>
      </c>
      <c r="J471" s="1" t="s">
        <v>2728</v>
      </c>
      <c r="K471" s="2">
        <v>212.15</v>
      </c>
      <c r="L471" s="6">
        <v>22</v>
      </c>
      <c r="M471" s="2">
        <f t="shared" si="35"/>
        <v>1272.9000000000001</v>
      </c>
      <c r="N471" s="2">
        <f t="shared" si="36"/>
        <v>280.03800000000001</v>
      </c>
      <c r="O471" s="2">
        <f t="shared" si="37"/>
        <v>992.86200000000008</v>
      </c>
      <c r="P471" s="1">
        <v>129</v>
      </c>
      <c r="Q471" s="2">
        <v>148.5</v>
      </c>
      <c r="R471" s="2">
        <f t="shared" si="38"/>
        <v>101.86200000000008</v>
      </c>
      <c r="S471" s="1" t="s">
        <v>1003</v>
      </c>
      <c r="T471" s="1" t="s">
        <v>1007</v>
      </c>
      <c r="U471" s="1" t="str">
        <f t="shared" si="39"/>
        <v>NO</v>
      </c>
    </row>
    <row r="472" spans="1:21" x14ac:dyDescent="0.3">
      <c r="A472" s="1" t="s">
        <v>657</v>
      </c>
      <c r="B472" s="1" t="s">
        <v>69</v>
      </c>
      <c r="C472" s="1" t="s">
        <v>70</v>
      </c>
      <c r="D472" s="1" t="s">
        <v>59</v>
      </c>
      <c r="E472" s="1" t="s">
        <v>1485</v>
      </c>
      <c r="F472" s="1" t="s">
        <v>1013</v>
      </c>
      <c r="G472" s="1" t="s">
        <v>1010</v>
      </c>
      <c r="H472" s="1">
        <v>8</v>
      </c>
      <c r="I472" s="1">
        <v>3</v>
      </c>
      <c r="J472" s="1" t="s">
        <v>2693</v>
      </c>
      <c r="K472" s="2">
        <v>277.22000000000003</v>
      </c>
      <c r="L472" s="6">
        <v>13</v>
      </c>
      <c r="M472" s="2">
        <f t="shared" si="35"/>
        <v>2217.7600000000002</v>
      </c>
      <c r="N472" s="2">
        <f t="shared" si="36"/>
        <v>288.30880000000002</v>
      </c>
      <c r="O472" s="2">
        <f t="shared" si="37"/>
        <v>1929.4512000000002</v>
      </c>
      <c r="P472" s="1">
        <v>91</v>
      </c>
      <c r="Q472" s="2">
        <v>194.05</v>
      </c>
      <c r="R472" s="2">
        <f t="shared" si="38"/>
        <v>377.05120000000011</v>
      </c>
      <c r="S472" s="1" t="s">
        <v>1003</v>
      </c>
      <c r="T472" s="1" t="s">
        <v>1007</v>
      </c>
      <c r="U472" s="1" t="str">
        <f t="shared" si="39"/>
        <v>NO</v>
      </c>
    </row>
    <row r="473" spans="1:21" x14ac:dyDescent="0.3">
      <c r="A473" s="1" t="s">
        <v>658</v>
      </c>
      <c r="B473" s="1" t="s">
        <v>83</v>
      </c>
      <c r="C473" s="1" t="s">
        <v>84</v>
      </c>
      <c r="D473" s="1" t="s">
        <v>85</v>
      </c>
      <c r="E473" s="1" t="s">
        <v>1486</v>
      </c>
      <c r="F473" s="1" t="s">
        <v>1027</v>
      </c>
      <c r="G473" s="1" t="s">
        <v>1010</v>
      </c>
      <c r="H473" s="1">
        <v>8</v>
      </c>
      <c r="I473" s="1">
        <v>5</v>
      </c>
      <c r="J473" s="1" t="s">
        <v>2696</v>
      </c>
      <c r="K473" s="2">
        <v>197.1</v>
      </c>
      <c r="L473" s="6">
        <v>7</v>
      </c>
      <c r="M473" s="2">
        <f t="shared" si="35"/>
        <v>1576.8</v>
      </c>
      <c r="N473" s="2">
        <f t="shared" si="36"/>
        <v>110.376</v>
      </c>
      <c r="O473" s="2">
        <f t="shared" si="37"/>
        <v>1466.424</v>
      </c>
      <c r="P473" s="1">
        <v>99</v>
      </c>
      <c r="Q473" s="2">
        <v>137.97</v>
      </c>
      <c r="R473" s="2">
        <f t="shared" si="38"/>
        <v>362.66399999999999</v>
      </c>
      <c r="S473" s="1" t="s">
        <v>1016</v>
      </c>
      <c r="T473" s="1" t="s">
        <v>1007</v>
      </c>
      <c r="U473" s="1" t="str">
        <f t="shared" si="39"/>
        <v>YES</v>
      </c>
    </row>
    <row r="474" spans="1:21" x14ac:dyDescent="0.3">
      <c r="A474" s="1" t="s">
        <v>659</v>
      </c>
      <c r="B474" s="1" t="s">
        <v>72</v>
      </c>
      <c r="C474" s="1" t="s">
        <v>73</v>
      </c>
      <c r="D474" s="1" t="s">
        <v>47</v>
      </c>
      <c r="E474" s="1" t="s">
        <v>1487</v>
      </c>
      <c r="F474" s="1" t="s">
        <v>1006</v>
      </c>
      <c r="G474" s="1" t="s">
        <v>1002</v>
      </c>
      <c r="H474" s="1">
        <v>1</v>
      </c>
      <c r="I474" s="1">
        <v>3</v>
      </c>
      <c r="J474" s="1" t="s">
        <v>2709</v>
      </c>
      <c r="K474" s="2">
        <v>407.16</v>
      </c>
      <c r="L474" s="6">
        <v>16</v>
      </c>
      <c r="M474" s="2">
        <f t="shared" si="35"/>
        <v>407.16</v>
      </c>
      <c r="N474" s="2">
        <f t="shared" si="36"/>
        <v>65.145600000000002</v>
      </c>
      <c r="O474" s="2">
        <f t="shared" si="37"/>
        <v>342.01440000000002</v>
      </c>
      <c r="P474" s="1">
        <v>95</v>
      </c>
      <c r="Q474" s="2">
        <v>285.01</v>
      </c>
      <c r="R474" s="2">
        <f t="shared" si="38"/>
        <v>57.004400000000032</v>
      </c>
      <c r="S474" s="1" t="s">
        <v>1003</v>
      </c>
      <c r="T474" s="1" t="s">
        <v>1007</v>
      </c>
      <c r="U474" s="1" t="str">
        <f t="shared" si="39"/>
        <v>NO</v>
      </c>
    </row>
    <row r="475" spans="1:21" x14ac:dyDescent="0.3">
      <c r="A475" s="1" t="s">
        <v>660</v>
      </c>
      <c r="B475" s="1" t="s">
        <v>37</v>
      </c>
      <c r="C475" s="1" t="s">
        <v>38</v>
      </c>
      <c r="D475" s="1" t="s">
        <v>39</v>
      </c>
      <c r="E475" s="1" t="s">
        <v>1488</v>
      </c>
      <c r="F475" s="1" t="s">
        <v>1009</v>
      </c>
      <c r="G475" s="1" t="s">
        <v>1010</v>
      </c>
      <c r="H475" s="1">
        <v>11</v>
      </c>
      <c r="I475" s="1">
        <v>3</v>
      </c>
      <c r="J475" s="1" t="s">
        <v>2641</v>
      </c>
      <c r="K475" s="2">
        <v>305.81</v>
      </c>
      <c r="L475" s="6">
        <v>16</v>
      </c>
      <c r="M475" s="2">
        <f t="shared" si="35"/>
        <v>3363.91</v>
      </c>
      <c r="N475" s="2">
        <f t="shared" si="36"/>
        <v>538.22559999999999</v>
      </c>
      <c r="O475" s="2">
        <f t="shared" si="37"/>
        <v>2825.6844000000001</v>
      </c>
      <c r="P475" s="1">
        <v>238</v>
      </c>
      <c r="Q475" s="2">
        <v>214.07</v>
      </c>
      <c r="R475" s="2">
        <f t="shared" si="38"/>
        <v>470.91440000000011</v>
      </c>
      <c r="S475" s="1" t="s">
        <v>1016</v>
      </c>
      <c r="T475" s="1" t="s">
        <v>1004</v>
      </c>
      <c r="U475" s="1" t="str">
        <f t="shared" si="39"/>
        <v>YES</v>
      </c>
    </row>
    <row r="476" spans="1:21" x14ac:dyDescent="0.3">
      <c r="A476" s="1" t="s">
        <v>661</v>
      </c>
      <c r="B476" s="1" t="s">
        <v>262</v>
      </c>
      <c r="C476" s="1" t="s">
        <v>263</v>
      </c>
      <c r="D476" s="1" t="s">
        <v>104</v>
      </c>
      <c r="E476" s="1" t="s">
        <v>1489</v>
      </c>
      <c r="F476" s="1" t="s">
        <v>1027</v>
      </c>
      <c r="G476" s="1" t="s">
        <v>1010</v>
      </c>
      <c r="H476" s="1">
        <v>3</v>
      </c>
      <c r="I476" s="1">
        <v>7</v>
      </c>
      <c r="J476" s="1" t="s">
        <v>2531</v>
      </c>
      <c r="K476" s="2">
        <v>389.14</v>
      </c>
      <c r="L476" s="6">
        <v>21</v>
      </c>
      <c r="M476" s="2">
        <f t="shared" si="35"/>
        <v>1167.42</v>
      </c>
      <c r="N476" s="2">
        <f t="shared" si="36"/>
        <v>245.15819999999999</v>
      </c>
      <c r="O476" s="2">
        <f t="shared" si="37"/>
        <v>922.26180000000011</v>
      </c>
      <c r="P476" s="1">
        <v>141</v>
      </c>
      <c r="Q476" s="2">
        <v>272.39999999999998</v>
      </c>
      <c r="R476" s="2">
        <f t="shared" si="38"/>
        <v>105.06180000000018</v>
      </c>
      <c r="S476" s="1" t="s">
        <v>1016</v>
      </c>
      <c r="T476" s="1" t="s">
        <v>1007</v>
      </c>
      <c r="U476" s="1" t="str">
        <f t="shared" si="39"/>
        <v>YES</v>
      </c>
    </row>
    <row r="477" spans="1:21" x14ac:dyDescent="0.3">
      <c r="A477" s="1" t="s">
        <v>662</v>
      </c>
      <c r="B477" s="1" t="s">
        <v>192</v>
      </c>
      <c r="C477" s="1" t="s">
        <v>193</v>
      </c>
      <c r="D477" s="1" t="s">
        <v>85</v>
      </c>
      <c r="E477" s="1" t="s">
        <v>1490</v>
      </c>
      <c r="F477" s="1" t="s">
        <v>1027</v>
      </c>
      <c r="G477" s="1" t="s">
        <v>1010</v>
      </c>
      <c r="H477" s="1">
        <v>2</v>
      </c>
      <c r="I477" s="1">
        <v>5</v>
      </c>
      <c r="J477" s="1" t="s">
        <v>2792</v>
      </c>
      <c r="K477" s="2">
        <v>230.95</v>
      </c>
      <c r="L477" s="6">
        <v>23</v>
      </c>
      <c r="M477" s="2">
        <f t="shared" si="35"/>
        <v>461.9</v>
      </c>
      <c r="N477" s="2">
        <f t="shared" si="36"/>
        <v>106.23699999999999</v>
      </c>
      <c r="O477" s="2">
        <f t="shared" si="37"/>
        <v>355.66300000000001</v>
      </c>
      <c r="P477" s="1">
        <v>274</v>
      </c>
      <c r="Q477" s="2">
        <v>161.66</v>
      </c>
      <c r="R477" s="2">
        <f t="shared" si="38"/>
        <v>32.343000000000018</v>
      </c>
      <c r="S477" s="1" t="s">
        <v>1016</v>
      </c>
      <c r="T477" s="1" t="s">
        <v>1007</v>
      </c>
      <c r="U477" s="1" t="str">
        <f t="shared" si="39"/>
        <v>YES</v>
      </c>
    </row>
    <row r="478" spans="1:21" x14ac:dyDescent="0.3">
      <c r="A478" s="1" t="s">
        <v>663</v>
      </c>
      <c r="B478" s="1" t="s">
        <v>123</v>
      </c>
      <c r="C478" s="1" t="s">
        <v>124</v>
      </c>
      <c r="D478" s="1" t="s">
        <v>47</v>
      </c>
      <c r="E478" s="1" t="s">
        <v>1491</v>
      </c>
      <c r="F478" s="1" t="s">
        <v>1009</v>
      </c>
      <c r="G478" s="1" t="s">
        <v>1023</v>
      </c>
      <c r="H478" s="1">
        <v>1</v>
      </c>
      <c r="I478" s="1">
        <v>6</v>
      </c>
      <c r="J478" s="1" t="s">
        <v>2752</v>
      </c>
      <c r="K478" s="2">
        <v>382.23</v>
      </c>
      <c r="L478" s="6">
        <v>11</v>
      </c>
      <c r="M478" s="2">
        <f t="shared" si="35"/>
        <v>382.23</v>
      </c>
      <c r="N478" s="2">
        <f t="shared" si="36"/>
        <v>42.045300000000005</v>
      </c>
      <c r="O478" s="2">
        <f t="shared" si="37"/>
        <v>340.18470000000002</v>
      </c>
      <c r="P478" s="1">
        <v>254</v>
      </c>
      <c r="Q478" s="2">
        <v>267.56</v>
      </c>
      <c r="R478" s="2">
        <f t="shared" si="38"/>
        <v>72.624700000000018</v>
      </c>
      <c r="S478" s="1" t="s">
        <v>1016</v>
      </c>
      <c r="T478" s="1" t="s">
        <v>1004</v>
      </c>
      <c r="U478" s="1" t="str">
        <f t="shared" si="39"/>
        <v>YES</v>
      </c>
    </row>
    <row r="479" spans="1:21" x14ac:dyDescent="0.3">
      <c r="A479" s="1" t="s">
        <v>664</v>
      </c>
      <c r="B479" s="1" t="s">
        <v>95</v>
      </c>
      <c r="C479" s="1" t="s">
        <v>96</v>
      </c>
      <c r="D479" s="1" t="s">
        <v>97</v>
      </c>
      <c r="E479" s="1" t="s">
        <v>1492</v>
      </c>
      <c r="F479" s="1" t="s">
        <v>1015</v>
      </c>
      <c r="G479" s="1" t="s">
        <v>1023</v>
      </c>
      <c r="H479" s="1">
        <v>9</v>
      </c>
      <c r="I479" s="1">
        <v>1</v>
      </c>
      <c r="J479" s="1" t="s">
        <v>2583</v>
      </c>
      <c r="K479" s="2">
        <v>115.58</v>
      </c>
      <c r="L479" s="6">
        <v>3</v>
      </c>
      <c r="M479" s="2">
        <f t="shared" si="35"/>
        <v>1040.22</v>
      </c>
      <c r="N479" s="2">
        <f t="shared" si="36"/>
        <v>31.206599999999998</v>
      </c>
      <c r="O479" s="2">
        <f t="shared" si="37"/>
        <v>1009.0134</v>
      </c>
      <c r="P479" s="1">
        <v>205</v>
      </c>
      <c r="Q479" s="2">
        <v>80.91</v>
      </c>
      <c r="R479" s="2">
        <f t="shared" si="38"/>
        <v>280.82340000000011</v>
      </c>
      <c r="S479" s="1" t="s">
        <v>1016</v>
      </c>
      <c r="T479" s="1" t="s">
        <v>1004</v>
      </c>
      <c r="U479" s="1" t="str">
        <f t="shared" si="39"/>
        <v>YES</v>
      </c>
    </row>
    <row r="480" spans="1:21" x14ac:dyDescent="0.3">
      <c r="A480" s="1" t="s">
        <v>665</v>
      </c>
      <c r="B480" s="1" t="s">
        <v>102</v>
      </c>
      <c r="C480" s="1" t="s">
        <v>103</v>
      </c>
      <c r="D480" s="1" t="s">
        <v>104</v>
      </c>
      <c r="E480" s="1" t="s">
        <v>1493</v>
      </c>
      <c r="F480" s="1" t="s">
        <v>1015</v>
      </c>
      <c r="G480" s="1" t="s">
        <v>1023</v>
      </c>
      <c r="H480" s="1">
        <v>9</v>
      </c>
      <c r="I480" s="1">
        <v>3</v>
      </c>
      <c r="J480" s="1" t="s">
        <v>2793</v>
      </c>
      <c r="K480" s="2">
        <v>46.6</v>
      </c>
      <c r="L480" s="6">
        <v>25</v>
      </c>
      <c r="M480" s="2">
        <f t="shared" si="35"/>
        <v>419.40000000000003</v>
      </c>
      <c r="N480" s="2">
        <f t="shared" si="36"/>
        <v>104.85</v>
      </c>
      <c r="O480" s="2">
        <f t="shared" si="37"/>
        <v>314.55000000000007</v>
      </c>
      <c r="P480" s="1">
        <v>56</v>
      </c>
      <c r="Q480" s="2">
        <v>32.619999999999997</v>
      </c>
      <c r="R480" s="2">
        <f t="shared" si="38"/>
        <v>20.970000000000084</v>
      </c>
      <c r="S480" s="1" t="s">
        <v>1016</v>
      </c>
      <c r="T480" s="1" t="s">
        <v>1004</v>
      </c>
      <c r="U480" s="1" t="str">
        <f t="shared" si="39"/>
        <v>YES</v>
      </c>
    </row>
    <row r="481" spans="1:21" x14ac:dyDescent="0.3">
      <c r="A481" s="1" t="s">
        <v>666</v>
      </c>
      <c r="B481" s="1" t="s">
        <v>26</v>
      </c>
      <c r="C481" s="1" t="s">
        <v>27</v>
      </c>
      <c r="D481" s="1" t="s">
        <v>28</v>
      </c>
      <c r="E481" s="1" t="s">
        <v>1494</v>
      </c>
      <c r="F481" s="1" t="s">
        <v>1020</v>
      </c>
      <c r="G481" s="1" t="s">
        <v>1023</v>
      </c>
      <c r="H481" s="1">
        <v>4</v>
      </c>
      <c r="I481" s="1">
        <v>1</v>
      </c>
      <c r="J481" s="1" t="s">
        <v>2593</v>
      </c>
      <c r="K481" s="2">
        <v>483.17</v>
      </c>
      <c r="L481" s="6">
        <v>20</v>
      </c>
      <c r="M481" s="2">
        <f t="shared" si="35"/>
        <v>1932.68</v>
      </c>
      <c r="N481" s="2">
        <f t="shared" si="36"/>
        <v>386.536</v>
      </c>
      <c r="O481" s="2">
        <f t="shared" si="37"/>
        <v>1546.144</v>
      </c>
      <c r="P481" s="1">
        <v>171</v>
      </c>
      <c r="Q481" s="2">
        <v>338.22</v>
      </c>
      <c r="R481" s="2">
        <f t="shared" si="38"/>
        <v>193.2639999999999</v>
      </c>
      <c r="S481" s="1" t="s">
        <v>1003</v>
      </c>
      <c r="T481" s="1" t="s">
        <v>1007</v>
      </c>
      <c r="U481" s="1" t="str">
        <f t="shared" si="39"/>
        <v>NO</v>
      </c>
    </row>
    <row r="482" spans="1:21" x14ac:dyDescent="0.3">
      <c r="A482" s="1" t="s">
        <v>667</v>
      </c>
      <c r="B482" s="1" t="s">
        <v>102</v>
      </c>
      <c r="C482" s="1" t="s">
        <v>103</v>
      </c>
      <c r="D482" s="1" t="s">
        <v>104</v>
      </c>
      <c r="E482" s="1" t="s">
        <v>1495</v>
      </c>
      <c r="F482" s="1" t="s">
        <v>1006</v>
      </c>
      <c r="G482" s="1" t="s">
        <v>1010</v>
      </c>
      <c r="H482" s="1">
        <v>14</v>
      </c>
      <c r="I482" s="1">
        <v>6</v>
      </c>
      <c r="J482" s="1" t="s">
        <v>2794</v>
      </c>
      <c r="K482" s="2">
        <v>271.72000000000003</v>
      </c>
      <c r="L482" s="6">
        <v>8</v>
      </c>
      <c r="M482" s="2">
        <f t="shared" si="35"/>
        <v>3804.0800000000004</v>
      </c>
      <c r="N482" s="2">
        <f t="shared" si="36"/>
        <v>304.32640000000004</v>
      </c>
      <c r="O482" s="2">
        <f t="shared" si="37"/>
        <v>3499.7536000000005</v>
      </c>
      <c r="P482" s="1">
        <v>154</v>
      </c>
      <c r="Q482" s="2">
        <v>190.2</v>
      </c>
      <c r="R482" s="2">
        <f t="shared" si="38"/>
        <v>836.95360000000073</v>
      </c>
      <c r="S482" s="1" t="s">
        <v>1011</v>
      </c>
      <c r="T482" s="1" t="s">
        <v>1004</v>
      </c>
      <c r="U482" s="1" t="str">
        <f t="shared" si="39"/>
        <v>NO</v>
      </c>
    </row>
    <row r="483" spans="1:21" x14ac:dyDescent="0.3">
      <c r="A483" s="1" t="s">
        <v>668</v>
      </c>
      <c r="B483" s="1" t="s">
        <v>299</v>
      </c>
      <c r="C483" s="1" t="s">
        <v>300</v>
      </c>
      <c r="D483" s="1" t="s">
        <v>39</v>
      </c>
      <c r="E483" s="1" t="s">
        <v>1496</v>
      </c>
      <c r="F483" s="1" t="s">
        <v>1020</v>
      </c>
      <c r="G483" s="1" t="s">
        <v>1023</v>
      </c>
      <c r="H483" s="1">
        <v>3</v>
      </c>
      <c r="I483" s="1">
        <v>6</v>
      </c>
      <c r="J483" s="1" t="s">
        <v>2795</v>
      </c>
      <c r="K483" s="2">
        <v>99.7</v>
      </c>
      <c r="L483" s="6">
        <v>7</v>
      </c>
      <c r="M483" s="2">
        <f t="shared" si="35"/>
        <v>299.10000000000002</v>
      </c>
      <c r="N483" s="2">
        <f t="shared" si="36"/>
        <v>20.937000000000001</v>
      </c>
      <c r="O483" s="2">
        <f t="shared" si="37"/>
        <v>278.16300000000001</v>
      </c>
      <c r="P483" s="1">
        <v>259</v>
      </c>
      <c r="Q483" s="2">
        <v>69.790000000000006</v>
      </c>
      <c r="R483" s="2">
        <f t="shared" si="38"/>
        <v>68.793000000000006</v>
      </c>
      <c r="S483" s="1" t="s">
        <v>1016</v>
      </c>
      <c r="T483" s="1" t="s">
        <v>1004</v>
      </c>
      <c r="U483" s="1" t="str">
        <f t="shared" si="39"/>
        <v>YES</v>
      </c>
    </row>
    <row r="484" spans="1:21" x14ac:dyDescent="0.3">
      <c r="A484" s="1" t="s">
        <v>669</v>
      </c>
      <c r="B484" s="1" t="s">
        <v>26</v>
      </c>
      <c r="C484" s="1" t="s">
        <v>27</v>
      </c>
      <c r="D484" s="1" t="s">
        <v>28</v>
      </c>
      <c r="E484" s="1" t="s">
        <v>1497</v>
      </c>
      <c r="F484" s="1" t="s">
        <v>1006</v>
      </c>
      <c r="G484" s="1" t="s">
        <v>1002</v>
      </c>
      <c r="H484" s="1">
        <v>3</v>
      </c>
      <c r="I484" s="1">
        <v>3</v>
      </c>
      <c r="J484" s="1" t="s">
        <v>2796</v>
      </c>
      <c r="K484" s="2">
        <v>141.76</v>
      </c>
      <c r="L484" s="6">
        <v>25</v>
      </c>
      <c r="M484" s="2">
        <f t="shared" si="35"/>
        <v>425.28</v>
      </c>
      <c r="N484" s="2">
        <f t="shared" si="36"/>
        <v>106.32</v>
      </c>
      <c r="O484" s="2">
        <f t="shared" si="37"/>
        <v>318.95999999999998</v>
      </c>
      <c r="P484" s="1">
        <v>66</v>
      </c>
      <c r="Q484" s="2">
        <v>99.23</v>
      </c>
      <c r="R484" s="2">
        <f t="shared" si="38"/>
        <v>21.269999999999982</v>
      </c>
      <c r="S484" s="1" t="s">
        <v>1003</v>
      </c>
      <c r="T484" s="1" t="s">
        <v>1004</v>
      </c>
      <c r="U484" s="1" t="str">
        <f t="shared" si="39"/>
        <v>NO</v>
      </c>
    </row>
    <row r="485" spans="1:21" x14ac:dyDescent="0.3">
      <c r="A485" s="1" t="s">
        <v>670</v>
      </c>
      <c r="B485" s="1" t="s">
        <v>95</v>
      </c>
      <c r="C485" s="1" t="s">
        <v>96</v>
      </c>
      <c r="D485" s="1" t="s">
        <v>97</v>
      </c>
      <c r="E485" s="1" t="s">
        <v>1498</v>
      </c>
      <c r="F485" s="1" t="s">
        <v>1009</v>
      </c>
      <c r="G485" s="1" t="s">
        <v>1010</v>
      </c>
      <c r="H485" s="1">
        <v>14</v>
      </c>
      <c r="I485" s="1">
        <v>2</v>
      </c>
      <c r="J485" s="1" t="s">
        <v>2797</v>
      </c>
      <c r="K485" s="2">
        <v>384.54</v>
      </c>
      <c r="L485" s="6">
        <v>10</v>
      </c>
      <c r="M485" s="2">
        <f t="shared" si="35"/>
        <v>5383.56</v>
      </c>
      <c r="N485" s="2">
        <f t="shared" si="36"/>
        <v>538.35600000000011</v>
      </c>
      <c r="O485" s="2">
        <f t="shared" si="37"/>
        <v>4845.2040000000006</v>
      </c>
      <c r="P485" s="1">
        <v>122</v>
      </c>
      <c r="Q485" s="2">
        <v>269.18</v>
      </c>
      <c r="R485" s="2">
        <f t="shared" si="38"/>
        <v>1076.6840000000007</v>
      </c>
      <c r="S485" s="1" t="s">
        <v>1016</v>
      </c>
      <c r="T485" s="1" t="s">
        <v>1007</v>
      </c>
      <c r="U485" s="1" t="str">
        <f t="shared" si="39"/>
        <v>YES</v>
      </c>
    </row>
    <row r="486" spans="1:21" x14ac:dyDescent="0.3">
      <c r="A486" s="1" t="s">
        <v>671</v>
      </c>
      <c r="B486" s="1" t="s">
        <v>262</v>
      </c>
      <c r="C486" s="1" t="s">
        <v>263</v>
      </c>
      <c r="D486" s="1" t="s">
        <v>104</v>
      </c>
      <c r="E486" s="1" t="s">
        <v>1499</v>
      </c>
      <c r="F486" s="1" t="s">
        <v>1013</v>
      </c>
      <c r="G486" s="1" t="s">
        <v>1002</v>
      </c>
      <c r="H486" s="1">
        <v>5</v>
      </c>
      <c r="I486" s="1">
        <v>3</v>
      </c>
      <c r="J486" s="1" t="s">
        <v>2798</v>
      </c>
      <c r="K486" s="2">
        <v>192.33</v>
      </c>
      <c r="L486" s="6">
        <v>7</v>
      </c>
      <c r="M486" s="2">
        <f t="shared" si="35"/>
        <v>961.65000000000009</v>
      </c>
      <c r="N486" s="2">
        <f t="shared" si="36"/>
        <v>67.315500000000014</v>
      </c>
      <c r="O486" s="2">
        <f t="shared" si="37"/>
        <v>894.33450000000005</v>
      </c>
      <c r="P486" s="1">
        <v>83</v>
      </c>
      <c r="Q486" s="2">
        <v>134.63</v>
      </c>
      <c r="R486" s="2">
        <f t="shared" si="38"/>
        <v>221.18450000000007</v>
      </c>
      <c r="S486" s="1" t="s">
        <v>1016</v>
      </c>
      <c r="T486" s="1" t="s">
        <v>1004</v>
      </c>
      <c r="U486" s="1" t="str">
        <f t="shared" si="39"/>
        <v>YES</v>
      </c>
    </row>
    <row r="487" spans="1:21" x14ac:dyDescent="0.3">
      <c r="A487" s="1" t="s">
        <v>672</v>
      </c>
      <c r="B487" s="1" t="s">
        <v>176</v>
      </c>
      <c r="C487" s="1" t="s">
        <v>177</v>
      </c>
      <c r="D487" s="1" t="s">
        <v>39</v>
      </c>
      <c r="E487" s="1" t="s">
        <v>1500</v>
      </c>
      <c r="F487" s="1" t="s">
        <v>1013</v>
      </c>
      <c r="G487" s="1" t="s">
        <v>1010</v>
      </c>
      <c r="H487" s="1">
        <v>11</v>
      </c>
      <c r="I487" s="1">
        <v>5</v>
      </c>
      <c r="J487" s="1" t="s">
        <v>2799</v>
      </c>
      <c r="K487" s="2">
        <v>465.54</v>
      </c>
      <c r="L487" s="6">
        <v>19</v>
      </c>
      <c r="M487" s="2">
        <f t="shared" si="35"/>
        <v>5120.9400000000005</v>
      </c>
      <c r="N487" s="2">
        <f t="shared" si="36"/>
        <v>972.97860000000014</v>
      </c>
      <c r="O487" s="2">
        <f t="shared" si="37"/>
        <v>4147.9614000000001</v>
      </c>
      <c r="P487" s="1">
        <v>170</v>
      </c>
      <c r="Q487" s="2">
        <v>325.88</v>
      </c>
      <c r="R487" s="2">
        <f t="shared" si="38"/>
        <v>563.2814000000003</v>
      </c>
      <c r="S487" s="1" t="s">
        <v>1003</v>
      </c>
      <c r="T487" s="1" t="s">
        <v>1007</v>
      </c>
      <c r="U487" s="1" t="str">
        <f t="shared" si="39"/>
        <v>NO</v>
      </c>
    </row>
    <row r="488" spans="1:21" x14ac:dyDescent="0.3">
      <c r="A488" s="1" t="s">
        <v>673</v>
      </c>
      <c r="B488" s="1" t="s">
        <v>45</v>
      </c>
      <c r="C488" s="1" t="s">
        <v>46</v>
      </c>
      <c r="D488" s="1" t="s">
        <v>47</v>
      </c>
      <c r="E488" s="1" t="s">
        <v>1501</v>
      </c>
      <c r="F488" s="1" t="s">
        <v>1006</v>
      </c>
      <c r="G488" s="1" t="s">
        <v>1010</v>
      </c>
      <c r="H488" s="1">
        <v>4</v>
      </c>
      <c r="I488" s="1">
        <v>7</v>
      </c>
      <c r="J488" s="1" t="s">
        <v>2587</v>
      </c>
      <c r="K488" s="2">
        <v>402.4</v>
      </c>
      <c r="L488" s="6">
        <v>22</v>
      </c>
      <c r="M488" s="2">
        <f t="shared" si="35"/>
        <v>1609.6</v>
      </c>
      <c r="N488" s="2">
        <f t="shared" si="36"/>
        <v>354.11199999999997</v>
      </c>
      <c r="O488" s="2">
        <f t="shared" si="37"/>
        <v>1255.4879999999998</v>
      </c>
      <c r="P488" s="1">
        <v>168</v>
      </c>
      <c r="Q488" s="2">
        <v>281.68</v>
      </c>
      <c r="R488" s="2">
        <f t="shared" si="38"/>
        <v>128.7679999999998</v>
      </c>
      <c r="S488" s="1" t="s">
        <v>1011</v>
      </c>
      <c r="T488" s="1" t="s">
        <v>1004</v>
      </c>
      <c r="U488" s="1" t="str">
        <f t="shared" si="39"/>
        <v>NO</v>
      </c>
    </row>
    <row r="489" spans="1:21" x14ac:dyDescent="0.3">
      <c r="A489" s="1" t="s">
        <v>674</v>
      </c>
      <c r="B489" s="1" t="s">
        <v>118</v>
      </c>
      <c r="C489" s="1" t="s">
        <v>119</v>
      </c>
      <c r="D489" s="1" t="s">
        <v>97</v>
      </c>
      <c r="E489" s="1" t="s">
        <v>1502</v>
      </c>
      <c r="F489" s="1" t="s">
        <v>1006</v>
      </c>
      <c r="G489" s="1" t="s">
        <v>1010</v>
      </c>
      <c r="H489" s="1">
        <v>6</v>
      </c>
      <c r="I489" s="1">
        <v>6</v>
      </c>
      <c r="J489" s="1" t="s">
        <v>2800</v>
      </c>
      <c r="K489" s="2">
        <v>485.09</v>
      </c>
      <c r="L489" s="6">
        <v>11</v>
      </c>
      <c r="M489" s="2">
        <f t="shared" si="35"/>
        <v>2910.54</v>
      </c>
      <c r="N489" s="2">
        <f t="shared" si="36"/>
        <v>320.15940000000001</v>
      </c>
      <c r="O489" s="2">
        <f t="shared" si="37"/>
        <v>2590.3806</v>
      </c>
      <c r="P489" s="1">
        <v>166</v>
      </c>
      <c r="Q489" s="2">
        <v>339.56</v>
      </c>
      <c r="R489" s="2">
        <f t="shared" si="38"/>
        <v>553.02059999999983</v>
      </c>
      <c r="S489" s="1" t="s">
        <v>1003</v>
      </c>
      <c r="T489" s="1" t="s">
        <v>1004</v>
      </c>
      <c r="U489" s="1" t="str">
        <f t="shared" si="39"/>
        <v>NO</v>
      </c>
    </row>
    <row r="490" spans="1:21" x14ac:dyDescent="0.3">
      <c r="A490" s="1" t="s">
        <v>675</v>
      </c>
      <c r="B490" s="1" t="s">
        <v>126</v>
      </c>
      <c r="C490" s="1" t="s">
        <v>127</v>
      </c>
      <c r="D490" s="1" t="s">
        <v>85</v>
      </c>
      <c r="E490" s="1" t="s">
        <v>1503</v>
      </c>
      <c r="F490" s="1" t="s">
        <v>1013</v>
      </c>
      <c r="G490" s="1" t="s">
        <v>1023</v>
      </c>
      <c r="H490" s="1">
        <v>5</v>
      </c>
      <c r="I490" s="1">
        <v>3</v>
      </c>
      <c r="J490" s="1" t="s">
        <v>2801</v>
      </c>
      <c r="K490" s="2">
        <v>409.05</v>
      </c>
      <c r="L490" s="6">
        <v>16</v>
      </c>
      <c r="M490" s="2">
        <f t="shared" si="35"/>
        <v>2045.25</v>
      </c>
      <c r="N490" s="2">
        <f t="shared" si="36"/>
        <v>327.24</v>
      </c>
      <c r="O490" s="2">
        <f t="shared" si="37"/>
        <v>1718.01</v>
      </c>
      <c r="P490" s="1">
        <v>111</v>
      </c>
      <c r="Q490" s="2">
        <v>286.33</v>
      </c>
      <c r="R490" s="2">
        <f t="shared" si="38"/>
        <v>286.36000000000013</v>
      </c>
      <c r="S490" s="1" t="s">
        <v>1003</v>
      </c>
      <c r="T490" s="1" t="s">
        <v>1004</v>
      </c>
      <c r="U490" s="1" t="str">
        <f t="shared" si="39"/>
        <v>NO</v>
      </c>
    </row>
    <row r="491" spans="1:21" x14ac:dyDescent="0.3">
      <c r="A491" s="1" t="s">
        <v>676</v>
      </c>
      <c r="B491" s="1" t="s">
        <v>299</v>
      </c>
      <c r="C491" s="1" t="s">
        <v>300</v>
      </c>
      <c r="D491" s="1" t="s">
        <v>39</v>
      </c>
      <c r="E491" s="1" t="s">
        <v>1504</v>
      </c>
      <c r="F491" s="1" t="s">
        <v>1020</v>
      </c>
      <c r="G491" s="1" t="s">
        <v>1002</v>
      </c>
      <c r="H491" s="1">
        <v>2</v>
      </c>
      <c r="I491" s="1">
        <v>4</v>
      </c>
      <c r="J491" s="1" t="s">
        <v>2658</v>
      </c>
      <c r="K491" s="2">
        <v>438.14</v>
      </c>
      <c r="L491" s="6">
        <v>11</v>
      </c>
      <c r="M491" s="2">
        <f t="shared" si="35"/>
        <v>876.28</v>
      </c>
      <c r="N491" s="2">
        <f t="shared" si="36"/>
        <v>96.390799999999999</v>
      </c>
      <c r="O491" s="2">
        <f t="shared" si="37"/>
        <v>779.88919999999996</v>
      </c>
      <c r="P491" s="1">
        <v>95</v>
      </c>
      <c r="Q491" s="2">
        <v>306.7</v>
      </c>
      <c r="R491" s="2">
        <f t="shared" si="38"/>
        <v>166.48919999999998</v>
      </c>
      <c r="S491" s="1" t="s">
        <v>1011</v>
      </c>
      <c r="T491" s="1" t="s">
        <v>1004</v>
      </c>
      <c r="U491" s="1" t="str">
        <f t="shared" si="39"/>
        <v>NO</v>
      </c>
    </row>
    <row r="492" spans="1:21" x14ac:dyDescent="0.3">
      <c r="A492" s="1" t="s">
        <v>677</v>
      </c>
      <c r="B492" s="1" t="s">
        <v>176</v>
      </c>
      <c r="C492" s="1" t="s">
        <v>177</v>
      </c>
      <c r="D492" s="1" t="s">
        <v>39</v>
      </c>
      <c r="E492" s="1" t="s">
        <v>1505</v>
      </c>
      <c r="F492" s="1" t="s">
        <v>1009</v>
      </c>
      <c r="G492" s="1" t="s">
        <v>1002</v>
      </c>
      <c r="H492" s="1">
        <v>8</v>
      </c>
      <c r="I492" s="1">
        <v>2</v>
      </c>
      <c r="J492" s="1" t="s">
        <v>2554</v>
      </c>
      <c r="K492" s="2">
        <v>374.61</v>
      </c>
      <c r="L492" s="6">
        <v>16</v>
      </c>
      <c r="M492" s="2">
        <f t="shared" si="35"/>
        <v>2996.88</v>
      </c>
      <c r="N492" s="2">
        <f t="shared" si="36"/>
        <v>479.50080000000003</v>
      </c>
      <c r="O492" s="2">
        <f t="shared" si="37"/>
        <v>2517.3792000000003</v>
      </c>
      <c r="P492" s="1">
        <v>97</v>
      </c>
      <c r="Q492" s="2">
        <v>262.23</v>
      </c>
      <c r="R492" s="2">
        <f t="shared" si="38"/>
        <v>419.53920000000016</v>
      </c>
      <c r="S492" s="1" t="s">
        <v>1016</v>
      </c>
      <c r="T492" s="1" t="s">
        <v>1007</v>
      </c>
      <c r="U492" s="1" t="str">
        <f t="shared" si="39"/>
        <v>YES</v>
      </c>
    </row>
    <row r="493" spans="1:21" x14ac:dyDescent="0.3">
      <c r="A493" s="1" t="s">
        <v>678</v>
      </c>
      <c r="B493" s="1" t="s">
        <v>123</v>
      </c>
      <c r="C493" s="1" t="s">
        <v>124</v>
      </c>
      <c r="D493" s="1" t="s">
        <v>47</v>
      </c>
      <c r="E493" s="1" t="s">
        <v>1506</v>
      </c>
      <c r="F493" s="1" t="s">
        <v>1009</v>
      </c>
      <c r="G493" s="1" t="s">
        <v>1023</v>
      </c>
      <c r="H493" s="1">
        <v>14</v>
      </c>
      <c r="I493" s="1">
        <v>4</v>
      </c>
      <c r="J493" s="1" t="s">
        <v>2802</v>
      </c>
      <c r="K493" s="2">
        <v>418.2</v>
      </c>
      <c r="L493" s="6">
        <v>0</v>
      </c>
      <c r="M493" s="2">
        <f t="shared" si="35"/>
        <v>5854.8</v>
      </c>
      <c r="N493" s="2">
        <f t="shared" si="36"/>
        <v>0</v>
      </c>
      <c r="O493" s="2">
        <f t="shared" si="37"/>
        <v>5854.8</v>
      </c>
      <c r="P493" s="1">
        <v>142</v>
      </c>
      <c r="Q493" s="2">
        <v>292.74</v>
      </c>
      <c r="R493" s="2">
        <f t="shared" si="38"/>
        <v>1756.4399999999996</v>
      </c>
      <c r="S493" s="1" t="s">
        <v>1003</v>
      </c>
      <c r="T493" s="1" t="s">
        <v>1007</v>
      </c>
      <c r="U493" s="1" t="str">
        <f t="shared" si="39"/>
        <v>NO</v>
      </c>
    </row>
    <row r="494" spans="1:21" x14ac:dyDescent="0.3">
      <c r="A494" s="1" t="s">
        <v>679</v>
      </c>
      <c r="B494" s="1" t="s">
        <v>102</v>
      </c>
      <c r="C494" s="1" t="s">
        <v>103</v>
      </c>
      <c r="D494" s="1" t="s">
        <v>104</v>
      </c>
      <c r="E494" s="1" t="s">
        <v>1507</v>
      </c>
      <c r="F494" s="1" t="s">
        <v>1020</v>
      </c>
      <c r="G494" s="1" t="s">
        <v>1010</v>
      </c>
      <c r="H494" s="1">
        <v>8</v>
      </c>
      <c r="I494" s="1">
        <v>4</v>
      </c>
      <c r="J494" s="1" t="s">
        <v>2622</v>
      </c>
      <c r="K494" s="2">
        <v>439.57</v>
      </c>
      <c r="L494" s="6">
        <v>1</v>
      </c>
      <c r="M494" s="2">
        <f t="shared" si="35"/>
        <v>3516.56</v>
      </c>
      <c r="N494" s="2">
        <f t="shared" si="36"/>
        <v>35.165599999999998</v>
      </c>
      <c r="O494" s="2">
        <f t="shared" si="37"/>
        <v>3481.3944000000001</v>
      </c>
      <c r="P494" s="1">
        <v>201</v>
      </c>
      <c r="Q494" s="2">
        <v>307.7</v>
      </c>
      <c r="R494" s="2">
        <f t="shared" si="38"/>
        <v>1019.7944000000002</v>
      </c>
      <c r="S494" s="1" t="s">
        <v>1011</v>
      </c>
      <c r="T494" s="1" t="s">
        <v>1007</v>
      </c>
      <c r="U494" s="1" t="str">
        <f t="shared" si="39"/>
        <v>NO</v>
      </c>
    </row>
    <row r="495" spans="1:21" x14ac:dyDescent="0.3">
      <c r="A495" s="1" t="s">
        <v>680</v>
      </c>
      <c r="B495" s="1" t="s">
        <v>37</v>
      </c>
      <c r="C495" s="1" t="s">
        <v>38</v>
      </c>
      <c r="D495" s="1" t="s">
        <v>39</v>
      </c>
      <c r="E495" s="1" t="s">
        <v>1508</v>
      </c>
      <c r="F495" s="1" t="s">
        <v>1001</v>
      </c>
      <c r="G495" s="1" t="s">
        <v>1023</v>
      </c>
      <c r="H495" s="1">
        <v>8</v>
      </c>
      <c r="I495" s="1">
        <v>5</v>
      </c>
      <c r="J495" s="1" t="s">
        <v>2692</v>
      </c>
      <c r="K495" s="2">
        <v>264.35000000000002</v>
      </c>
      <c r="L495" s="6">
        <v>4</v>
      </c>
      <c r="M495" s="2">
        <f t="shared" si="35"/>
        <v>2114.8000000000002</v>
      </c>
      <c r="N495" s="2">
        <f t="shared" si="36"/>
        <v>84.592000000000013</v>
      </c>
      <c r="O495" s="2">
        <f t="shared" si="37"/>
        <v>2030.2080000000001</v>
      </c>
      <c r="P495" s="1">
        <v>93</v>
      </c>
      <c r="Q495" s="2">
        <v>185.05</v>
      </c>
      <c r="R495" s="2">
        <f t="shared" si="38"/>
        <v>549.80799999999999</v>
      </c>
      <c r="S495" s="1" t="s">
        <v>1003</v>
      </c>
      <c r="T495" s="1" t="s">
        <v>1004</v>
      </c>
      <c r="U495" s="1" t="str">
        <f t="shared" si="39"/>
        <v>NO</v>
      </c>
    </row>
    <row r="496" spans="1:21" x14ac:dyDescent="0.3">
      <c r="A496" s="1" t="s">
        <v>681</v>
      </c>
      <c r="B496" s="1" t="s">
        <v>26</v>
      </c>
      <c r="C496" s="1" t="s">
        <v>27</v>
      </c>
      <c r="D496" s="1" t="s">
        <v>28</v>
      </c>
      <c r="E496" s="1" t="s">
        <v>1509</v>
      </c>
      <c r="F496" s="1" t="s">
        <v>1013</v>
      </c>
      <c r="G496" s="1" t="s">
        <v>1023</v>
      </c>
      <c r="H496" s="1">
        <v>9</v>
      </c>
      <c r="I496" s="1">
        <v>2</v>
      </c>
      <c r="J496" s="1" t="s">
        <v>2654</v>
      </c>
      <c r="K496" s="2">
        <v>486.87</v>
      </c>
      <c r="L496" s="6">
        <v>24</v>
      </c>
      <c r="M496" s="2">
        <f t="shared" si="35"/>
        <v>4381.83</v>
      </c>
      <c r="N496" s="2">
        <f t="shared" si="36"/>
        <v>1051.6392000000001</v>
      </c>
      <c r="O496" s="2">
        <f t="shared" si="37"/>
        <v>3330.1907999999999</v>
      </c>
      <c r="P496" s="1">
        <v>126</v>
      </c>
      <c r="Q496" s="2">
        <v>340.81</v>
      </c>
      <c r="R496" s="2">
        <f t="shared" si="38"/>
        <v>262.90079999999989</v>
      </c>
      <c r="S496" s="1" t="s">
        <v>1003</v>
      </c>
      <c r="T496" s="1" t="s">
        <v>1004</v>
      </c>
      <c r="U496" s="1" t="str">
        <f t="shared" si="39"/>
        <v>NO</v>
      </c>
    </row>
    <row r="497" spans="1:21" x14ac:dyDescent="0.3">
      <c r="A497" s="1" t="s">
        <v>682</v>
      </c>
      <c r="B497" s="1" t="s">
        <v>192</v>
      </c>
      <c r="C497" s="1" t="s">
        <v>193</v>
      </c>
      <c r="D497" s="1" t="s">
        <v>85</v>
      </c>
      <c r="E497" s="1" t="s">
        <v>1510</v>
      </c>
      <c r="F497" s="1" t="s">
        <v>1027</v>
      </c>
      <c r="G497" s="1" t="s">
        <v>1002</v>
      </c>
      <c r="H497" s="1">
        <v>14</v>
      </c>
      <c r="I497" s="1">
        <v>5</v>
      </c>
      <c r="J497" s="1" t="s">
        <v>2655</v>
      </c>
      <c r="K497" s="2">
        <v>48.72</v>
      </c>
      <c r="L497" s="6">
        <v>22</v>
      </c>
      <c r="M497" s="2">
        <f t="shared" si="35"/>
        <v>682.07999999999993</v>
      </c>
      <c r="N497" s="2">
        <f t="shared" si="36"/>
        <v>150.05759999999998</v>
      </c>
      <c r="O497" s="2">
        <f t="shared" si="37"/>
        <v>532.02239999999995</v>
      </c>
      <c r="P497" s="1">
        <v>88</v>
      </c>
      <c r="Q497" s="2">
        <v>34.1</v>
      </c>
      <c r="R497" s="2">
        <f t="shared" si="38"/>
        <v>54.622399999999914</v>
      </c>
      <c r="S497" s="1" t="s">
        <v>1003</v>
      </c>
      <c r="T497" s="1" t="s">
        <v>1007</v>
      </c>
      <c r="U497" s="1" t="str">
        <f t="shared" si="39"/>
        <v>NO</v>
      </c>
    </row>
    <row r="498" spans="1:21" x14ac:dyDescent="0.3">
      <c r="A498" s="1" t="s">
        <v>683</v>
      </c>
      <c r="B498" s="1" t="s">
        <v>52</v>
      </c>
      <c r="C498" s="1" t="s">
        <v>53</v>
      </c>
      <c r="D498" s="1" t="s">
        <v>47</v>
      </c>
      <c r="E498" s="1" t="s">
        <v>1511</v>
      </c>
      <c r="F498" s="1" t="s">
        <v>1001</v>
      </c>
      <c r="G498" s="1" t="s">
        <v>1002</v>
      </c>
      <c r="H498" s="1">
        <v>2</v>
      </c>
      <c r="I498" s="1">
        <v>7</v>
      </c>
      <c r="J498" s="1" t="s">
        <v>2681</v>
      </c>
      <c r="K498" s="2">
        <v>299.77</v>
      </c>
      <c r="L498" s="6">
        <v>13</v>
      </c>
      <c r="M498" s="2">
        <f t="shared" si="35"/>
        <v>599.54</v>
      </c>
      <c r="N498" s="2">
        <f t="shared" si="36"/>
        <v>77.94019999999999</v>
      </c>
      <c r="O498" s="2">
        <f t="shared" si="37"/>
        <v>521.59979999999996</v>
      </c>
      <c r="P498" s="1">
        <v>145</v>
      </c>
      <c r="Q498" s="2">
        <v>209.84</v>
      </c>
      <c r="R498" s="2">
        <f t="shared" si="38"/>
        <v>101.91979999999995</v>
      </c>
      <c r="S498" s="1" t="s">
        <v>1016</v>
      </c>
      <c r="T498" s="1" t="s">
        <v>1004</v>
      </c>
      <c r="U498" s="1" t="str">
        <f t="shared" si="39"/>
        <v>YES</v>
      </c>
    </row>
    <row r="499" spans="1:21" x14ac:dyDescent="0.3">
      <c r="A499" s="1" t="s">
        <v>684</v>
      </c>
      <c r="B499" s="1" t="s">
        <v>197</v>
      </c>
      <c r="C499" s="1" t="s">
        <v>198</v>
      </c>
      <c r="D499" s="1" t="s">
        <v>104</v>
      </c>
      <c r="E499" s="1" t="s">
        <v>1512</v>
      </c>
      <c r="F499" s="1" t="s">
        <v>1013</v>
      </c>
      <c r="G499" s="1" t="s">
        <v>1010</v>
      </c>
      <c r="H499" s="1">
        <v>6</v>
      </c>
      <c r="I499" s="1">
        <v>3</v>
      </c>
      <c r="J499" s="1" t="s">
        <v>2803</v>
      </c>
      <c r="K499" s="2">
        <v>257.56</v>
      </c>
      <c r="L499" s="6">
        <v>20</v>
      </c>
      <c r="M499" s="2">
        <f t="shared" si="35"/>
        <v>1545.3600000000001</v>
      </c>
      <c r="N499" s="2">
        <f t="shared" si="36"/>
        <v>309.07200000000006</v>
      </c>
      <c r="O499" s="2">
        <f t="shared" si="37"/>
        <v>1236.288</v>
      </c>
      <c r="P499" s="1">
        <v>202</v>
      </c>
      <c r="Q499" s="2">
        <v>180.29</v>
      </c>
      <c r="R499" s="2">
        <f t="shared" si="38"/>
        <v>154.548</v>
      </c>
      <c r="S499" s="1" t="s">
        <v>1003</v>
      </c>
      <c r="T499" s="1" t="s">
        <v>1004</v>
      </c>
      <c r="U499" s="1" t="str">
        <f t="shared" si="39"/>
        <v>NO</v>
      </c>
    </row>
    <row r="500" spans="1:21" x14ac:dyDescent="0.3">
      <c r="A500" s="1" t="s">
        <v>685</v>
      </c>
      <c r="B500" s="1" t="s">
        <v>95</v>
      </c>
      <c r="C500" s="1" t="s">
        <v>96</v>
      </c>
      <c r="D500" s="1" t="s">
        <v>97</v>
      </c>
      <c r="E500" s="1" t="s">
        <v>1513</v>
      </c>
      <c r="F500" s="1" t="s">
        <v>1006</v>
      </c>
      <c r="G500" s="1" t="s">
        <v>1023</v>
      </c>
      <c r="H500" s="1">
        <v>1</v>
      </c>
      <c r="I500" s="1">
        <v>2</v>
      </c>
      <c r="J500" s="1" t="s">
        <v>2741</v>
      </c>
      <c r="K500" s="2">
        <v>412.82</v>
      </c>
      <c r="L500" s="6">
        <v>20</v>
      </c>
      <c r="M500" s="2">
        <f t="shared" si="35"/>
        <v>412.82</v>
      </c>
      <c r="N500" s="2">
        <f t="shared" si="36"/>
        <v>82.563999999999993</v>
      </c>
      <c r="O500" s="2">
        <f t="shared" si="37"/>
        <v>330.25599999999997</v>
      </c>
      <c r="P500" s="1">
        <v>82</v>
      </c>
      <c r="Q500" s="2">
        <v>288.97000000000003</v>
      </c>
      <c r="R500" s="2">
        <f t="shared" si="38"/>
        <v>41.285999999999945</v>
      </c>
      <c r="S500" s="1" t="s">
        <v>1016</v>
      </c>
      <c r="T500" s="1" t="s">
        <v>1007</v>
      </c>
      <c r="U500" s="1" t="str">
        <f t="shared" si="39"/>
        <v>YES</v>
      </c>
    </row>
    <row r="501" spans="1:21" x14ac:dyDescent="0.3">
      <c r="A501" s="1" t="s">
        <v>686</v>
      </c>
      <c r="B501" s="1" t="s">
        <v>37</v>
      </c>
      <c r="C501" s="1" t="s">
        <v>38</v>
      </c>
      <c r="D501" s="1" t="s">
        <v>39</v>
      </c>
      <c r="E501" s="1" t="s">
        <v>1514</v>
      </c>
      <c r="F501" s="1" t="s">
        <v>1027</v>
      </c>
      <c r="G501" s="1" t="s">
        <v>1023</v>
      </c>
      <c r="H501" s="1">
        <v>3</v>
      </c>
      <c r="I501" s="1">
        <v>2</v>
      </c>
      <c r="J501" s="1" t="s">
        <v>2804</v>
      </c>
      <c r="K501" s="2">
        <v>461.08</v>
      </c>
      <c r="L501" s="6">
        <v>9</v>
      </c>
      <c r="M501" s="2">
        <f t="shared" si="35"/>
        <v>1383.24</v>
      </c>
      <c r="N501" s="2">
        <f t="shared" si="36"/>
        <v>124.49160000000001</v>
      </c>
      <c r="O501" s="2">
        <f t="shared" si="37"/>
        <v>1258.7483999999999</v>
      </c>
      <c r="P501" s="1">
        <v>279</v>
      </c>
      <c r="Q501" s="2">
        <v>322.76</v>
      </c>
      <c r="R501" s="2">
        <f t="shared" si="38"/>
        <v>290.46839999999997</v>
      </c>
      <c r="S501" s="1" t="s">
        <v>1016</v>
      </c>
      <c r="T501" s="1" t="s">
        <v>1007</v>
      </c>
      <c r="U501" s="1" t="str">
        <f t="shared" si="39"/>
        <v>YES</v>
      </c>
    </row>
    <row r="502" spans="1:21" x14ac:dyDescent="0.3">
      <c r="A502" s="1" t="s">
        <v>687</v>
      </c>
      <c r="B502" s="1" t="s">
        <v>166</v>
      </c>
      <c r="C502" s="1" t="s">
        <v>167</v>
      </c>
      <c r="D502" s="1" t="s">
        <v>59</v>
      </c>
      <c r="E502" s="1" t="s">
        <v>1515</v>
      </c>
      <c r="F502" s="1" t="s">
        <v>1020</v>
      </c>
      <c r="G502" s="1" t="s">
        <v>1002</v>
      </c>
      <c r="H502" s="1">
        <v>4</v>
      </c>
      <c r="I502" s="1">
        <v>2</v>
      </c>
      <c r="J502" s="1" t="s">
        <v>2554</v>
      </c>
      <c r="K502" s="2">
        <v>413.05</v>
      </c>
      <c r="L502" s="6">
        <v>0</v>
      </c>
      <c r="M502" s="2">
        <f t="shared" si="35"/>
        <v>1652.2</v>
      </c>
      <c r="N502" s="2">
        <f t="shared" si="36"/>
        <v>0</v>
      </c>
      <c r="O502" s="2">
        <f t="shared" si="37"/>
        <v>1652.2</v>
      </c>
      <c r="P502" s="1">
        <v>56</v>
      </c>
      <c r="Q502" s="2">
        <v>289.13</v>
      </c>
      <c r="R502" s="2">
        <f t="shared" si="38"/>
        <v>495.68000000000006</v>
      </c>
      <c r="S502" s="1" t="s">
        <v>1003</v>
      </c>
      <c r="T502" s="1" t="s">
        <v>1004</v>
      </c>
      <c r="U502" s="1" t="str">
        <f t="shared" si="39"/>
        <v>NO</v>
      </c>
    </row>
    <row r="503" spans="1:21" x14ac:dyDescent="0.3">
      <c r="A503" s="1" t="s">
        <v>688</v>
      </c>
      <c r="B503" s="1" t="s">
        <v>26</v>
      </c>
      <c r="C503" s="1" t="s">
        <v>27</v>
      </c>
      <c r="D503" s="1" t="s">
        <v>28</v>
      </c>
      <c r="E503" s="1" t="s">
        <v>1516</v>
      </c>
      <c r="F503" s="1" t="s">
        <v>1020</v>
      </c>
      <c r="G503" s="1" t="s">
        <v>1023</v>
      </c>
      <c r="H503" s="1">
        <v>11</v>
      </c>
      <c r="I503" s="1">
        <v>2</v>
      </c>
      <c r="J503" s="1" t="s">
        <v>2730</v>
      </c>
      <c r="K503" s="2">
        <v>442.18</v>
      </c>
      <c r="L503" s="6">
        <v>25</v>
      </c>
      <c r="M503" s="2">
        <f t="shared" si="35"/>
        <v>4863.9800000000005</v>
      </c>
      <c r="N503" s="2">
        <f t="shared" si="36"/>
        <v>1215.9950000000001</v>
      </c>
      <c r="O503" s="2">
        <f t="shared" si="37"/>
        <v>3647.9850000000006</v>
      </c>
      <c r="P503" s="1">
        <v>277</v>
      </c>
      <c r="Q503" s="2">
        <v>309.52999999999997</v>
      </c>
      <c r="R503" s="2">
        <f t="shared" si="38"/>
        <v>243.15500000000065</v>
      </c>
      <c r="S503" s="1" t="s">
        <v>1011</v>
      </c>
      <c r="T503" s="1" t="s">
        <v>1007</v>
      </c>
      <c r="U503" s="1" t="str">
        <f t="shared" si="39"/>
        <v>NO</v>
      </c>
    </row>
    <row r="504" spans="1:21" x14ac:dyDescent="0.3">
      <c r="A504" s="1" t="s">
        <v>689</v>
      </c>
      <c r="B504" s="1" t="s">
        <v>95</v>
      </c>
      <c r="C504" s="1" t="s">
        <v>96</v>
      </c>
      <c r="D504" s="1" t="s">
        <v>97</v>
      </c>
      <c r="E504" s="1" t="s">
        <v>1517</v>
      </c>
      <c r="F504" s="1" t="s">
        <v>1013</v>
      </c>
      <c r="G504" s="1" t="s">
        <v>1023</v>
      </c>
      <c r="H504" s="1">
        <v>10</v>
      </c>
      <c r="I504" s="1">
        <v>1</v>
      </c>
      <c r="J504" s="1" t="s">
        <v>2754</v>
      </c>
      <c r="K504" s="2">
        <v>100.24</v>
      </c>
      <c r="L504" s="6">
        <v>17</v>
      </c>
      <c r="M504" s="2">
        <f t="shared" si="35"/>
        <v>1002.4</v>
      </c>
      <c r="N504" s="2">
        <f t="shared" si="36"/>
        <v>170.40799999999999</v>
      </c>
      <c r="O504" s="2">
        <f t="shared" si="37"/>
        <v>831.99199999999996</v>
      </c>
      <c r="P504" s="1">
        <v>114</v>
      </c>
      <c r="Q504" s="2">
        <v>70.17</v>
      </c>
      <c r="R504" s="2">
        <f t="shared" si="38"/>
        <v>130.29199999999992</v>
      </c>
      <c r="S504" s="1" t="s">
        <v>1003</v>
      </c>
      <c r="T504" s="1" t="s">
        <v>1007</v>
      </c>
      <c r="U504" s="1" t="str">
        <f t="shared" si="39"/>
        <v>NO</v>
      </c>
    </row>
    <row r="505" spans="1:21" x14ac:dyDescent="0.3">
      <c r="A505" s="1" t="s">
        <v>690</v>
      </c>
      <c r="B505" s="1" t="s">
        <v>192</v>
      </c>
      <c r="C505" s="1" t="s">
        <v>193</v>
      </c>
      <c r="D505" s="1" t="s">
        <v>85</v>
      </c>
      <c r="E505" s="1" t="s">
        <v>1518</v>
      </c>
      <c r="F505" s="1" t="s">
        <v>1027</v>
      </c>
      <c r="G505" s="1" t="s">
        <v>1010</v>
      </c>
      <c r="H505" s="1">
        <v>15</v>
      </c>
      <c r="I505" s="1">
        <v>7</v>
      </c>
      <c r="J505" s="1" t="s">
        <v>2712</v>
      </c>
      <c r="K505" s="2">
        <v>440.41</v>
      </c>
      <c r="L505" s="6">
        <v>25</v>
      </c>
      <c r="M505" s="2">
        <f t="shared" si="35"/>
        <v>6606.1500000000005</v>
      </c>
      <c r="N505" s="2">
        <f t="shared" si="36"/>
        <v>1651.5374999999999</v>
      </c>
      <c r="O505" s="2">
        <f t="shared" si="37"/>
        <v>4954.6125000000011</v>
      </c>
      <c r="P505" s="1">
        <v>232</v>
      </c>
      <c r="Q505" s="2">
        <v>308.29000000000002</v>
      </c>
      <c r="R505" s="2">
        <f t="shared" si="38"/>
        <v>330.26250000000073</v>
      </c>
      <c r="S505" s="1" t="s">
        <v>1011</v>
      </c>
      <c r="T505" s="1" t="s">
        <v>1007</v>
      </c>
      <c r="U505" s="1" t="str">
        <f t="shared" si="39"/>
        <v>NO</v>
      </c>
    </row>
    <row r="506" spans="1:21" x14ac:dyDescent="0.3">
      <c r="A506" s="1" t="s">
        <v>691</v>
      </c>
      <c r="B506" s="1" t="s">
        <v>189</v>
      </c>
      <c r="C506" s="1" t="s">
        <v>190</v>
      </c>
      <c r="D506" s="1" t="s">
        <v>59</v>
      </c>
      <c r="E506" s="1" t="s">
        <v>1519</v>
      </c>
      <c r="F506" s="1" t="s">
        <v>1027</v>
      </c>
      <c r="G506" s="1" t="s">
        <v>1002</v>
      </c>
      <c r="H506" s="1">
        <v>11</v>
      </c>
      <c r="I506" s="1">
        <v>3</v>
      </c>
      <c r="J506" s="1" t="s">
        <v>2677</v>
      </c>
      <c r="K506" s="2">
        <v>303.56</v>
      </c>
      <c r="L506" s="6">
        <v>24</v>
      </c>
      <c r="M506" s="2">
        <f t="shared" si="35"/>
        <v>3339.16</v>
      </c>
      <c r="N506" s="2">
        <f t="shared" si="36"/>
        <v>801.39839999999992</v>
      </c>
      <c r="O506" s="2">
        <f t="shared" si="37"/>
        <v>2537.7615999999998</v>
      </c>
      <c r="P506" s="1">
        <v>179</v>
      </c>
      <c r="Q506" s="2">
        <v>212.49</v>
      </c>
      <c r="R506" s="2">
        <f t="shared" si="38"/>
        <v>200.37159999999949</v>
      </c>
      <c r="S506" s="1" t="s">
        <v>1011</v>
      </c>
      <c r="T506" s="1" t="s">
        <v>1007</v>
      </c>
      <c r="U506" s="1" t="str">
        <f t="shared" si="39"/>
        <v>NO</v>
      </c>
    </row>
    <row r="507" spans="1:21" x14ac:dyDescent="0.3">
      <c r="A507" s="1" t="s">
        <v>692</v>
      </c>
      <c r="B507" s="1" t="s">
        <v>118</v>
      </c>
      <c r="C507" s="1" t="s">
        <v>119</v>
      </c>
      <c r="D507" s="1" t="s">
        <v>97</v>
      </c>
      <c r="E507" s="1" t="s">
        <v>1520</v>
      </c>
      <c r="F507" s="1" t="s">
        <v>1009</v>
      </c>
      <c r="G507" s="1" t="s">
        <v>1002</v>
      </c>
      <c r="H507" s="1">
        <v>2</v>
      </c>
      <c r="I507" s="1">
        <v>3</v>
      </c>
      <c r="J507" s="1" t="s">
        <v>2805</v>
      </c>
      <c r="K507" s="2">
        <v>161.66</v>
      </c>
      <c r="L507" s="6">
        <v>7</v>
      </c>
      <c r="M507" s="2">
        <f t="shared" si="35"/>
        <v>323.32</v>
      </c>
      <c r="N507" s="2">
        <f t="shared" si="36"/>
        <v>22.632399999999997</v>
      </c>
      <c r="O507" s="2">
        <f t="shared" si="37"/>
        <v>300.68759999999997</v>
      </c>
      <c r="P507" s="1">
        <v>134</v>
      </c>
      <c r="Q507" s="2">
        <v>113.16</v>
      </c>
      <c r="R507" s="2">
        <f t="shared" si="38"/>
        <v>74.367599999999982</v>
      </c>
      <c r="S507" s="1" t="s">
        <v>1003</v>
      </c>
      <c r="T507" s="1" t="s">
        <v>1004</v>
      </c>
      <c r="U507" s="1" t="str">
        <f t="shared" si="39"/>
        <v>NO</v>
      </c>
    </row>
    <row r="508" spans="1:21" x14ac:dyDescent="0.3">
      <c r="A508" s="1" t="s">
        <v>693</v>
      </c>
      <c r="B508" s="1" t="s">
        <v>192</v>
      </c>
      <c r="C508" s="1" t="s">
        <v>193</v>
      </c>
      <c r="D508" s="1" t="s">
        <v>85</v>
      </c>
      <c r="E508" s="1" t="s">
        <v>1521</v>
      </c>
      <c r="F508" s="1" t="s">
        <v>1020</v>
      </c>
      <c r="G508" s="1" t="s">
        <v>1023</v>
      </c>
      <c r="H508" s="1">
        <v>12</v>
      </c>
      <c r="I508" s="1">
        <v>7</v>
      </c>
      <c r="J508" s="1" t="s">
        <v>2806</v>
      </c>
      <c r="K508" s="2">
        <v>482.05</v>
      </c>
      <c r="L508" s="6">
        <v>12</v>
      </c>
      <c r="M508" s="2">
        <f t="shared" si="35"/>
        <v>5784.6</v>
      </c>
      <c r="N508" s="2">
        <f t="shared" si="36"/>
        <v>694.15200000000016</v>
      </c>
      <c r="O508" s="2">
        <f t="shared" si="37"/>
        <v>5090.4480000000003</v>
      </c>
      <c r="P508" s="1">
        <v>68</v>
      </c>
      <c r="Q508" s="2">
        <v>337.44</v>
      </c>
      <c r="R508" s="2">
        <f t="shared" si="38"/>
        <v>1041.1680000000006</v>
      </c>
      <c r="S508" s="1" t="s">
        <v>1011</v>
      </c>
      <c r="T508" s="1" t="s">
        <v>1007</v>
      </c>
      <c r="U508" s="1" t="str">
        <f t="shared" si="39"/>
        <v>NO</v>
      </c>
    </row>
    <row r="509" spans="1:21" x14ac:dyDescent="0.3">
      <c r="A509" s="1" t="s">
        <v>694</v>
      </c>
      <c r="B509" s="1" t="s">
        <v>123</v>
      </c>
      <c r="C509" s="1" t="s">
        <v>124</v>
      </c>
      <c r="D509" s="1" t="s">
        <v>47</v>
      </c>
      <c r="E509" s="1" t="s">
        <v>1522</v>
      </c>
      <c r="F509" s="1" t="s">
        <v>1013</v>
      </c>
      <c r="G509" s="1" t="s">
        <v>1010</v>
      </c>
      <c r="H509" s="1">
        <v>6</v>
      </c>
      <c r="I509" s="1">
        <v>6</v>
      </c>
      <c r="J509" s="1" t="s">
        <v>2571</v>
      </c>
      <c r="K509" s="2">
        <v>492.45</v>
      </c>
      <c r="L509" s="6">
        <v>3</v>
      </c>
      <c r="M509" s="2">
        <f t="shared" si="35"/>
        <v>2954.7</v>
      </c>
      <c r="N509" s="2">
        <f t="shared" si="36"/>
        <v>88.640999999999991</v>
      </c>
      <c r="O509" s="2">
        <f t="shared" si="37"/>
        <v>2866.0589999999997</v>
      </c>
      <c r="P509" s="1">
        <v>250</v>
      </c>
      <c r="Q509" s="2">
        <v>344.71</v>
      </c>
      <c r="R509" s="2">
        <f t="shared" si="38"/>
        <v>797.79899999999998</v>
      </c>
      <c r="S509" s="1" t="s">
        <v>1016</v>
      </c>
      <c r="T509" s="1" t="s">
        <v>1004</v>
      </c>
      <c r="U509" s="1" t="str">
        <f t="shared" si="39"/>
        <v>YES</v>
      </c>
    </row>
    <row r="510" spans="1:21" x14ac:dyDescent="0.3">
      <c r="A510" s="1" t="s">
        <v>695</v>
      </c>
      <c r="B510" s="1" t="s">
        <v>176</v>
      </c>
      <c r="C510" s="1" t="s">
        <v>177</v>
      </c>
      <c r="D510" s="1" t="s">
        <v>39</v>
      </c>
      <c r="E510" s="1" t="s">
        <v>1523</v>
      </c>
      <c r="F510" s="1" t="s">
        <v>1027</v>
      </c>
      <c r="G510" s="1" t="s">
        <v>1023</v>
      </c>
      <c r="H510" s="1">
        <v>4</v>
      </c>
      <c r="I510" s="1">
        <v>4</v>
      </c>
      <c r="J510" s="1" t="s">
        <v>2628</v>
      </c>
      <c r="K510" s="2">
        <v>458.59</v>
      </c>
      <c r="L510" s="6">
        <v>11</v>
      </c>
      <c r="M510" s="2">
        <f t="shared" si="35"/>
        <v>1834.36</v>
      </c>
      <c r="N510" s="2">
        <f t="shared" si="36"/>
        <v>201.77959999999999</v>
      </c>
      <c r="O510" s="2">
        <f t="shared" si="37"/>
        <v>1632.5803999999998</v>
      </c>
      <c r="P510" s="1">
        <v>246</v>
      </c>
      <c r="Q510" s="2">
        <v>321.01</v>
      </c>
      <c r="R510" s="2">
        <f t="shared" si="38"/>
        <v>348.54039999999986</v>
      </c>
      <c r="S510" s="1" t="s">
        <v>1003</v>
      </c>
      <c r="T510" s="1" t="s">
        <v>1004</v>
      </c>
      <c r="U510" s="1" t="str">
        <f t="shared" si="39"/>
        <v>NO</v>
      </c>
    </row>
    <row r="511" spans="1:21" x14ac:dyDescent="0.3">
      <c r="A511" s="1" t="s">
        <v>696</v>
      </c>
      <c r="B511" s="1" t="s">
        <v>52</v>
      </c>
      <c r="C511" s="1" t="s">
        <v>53</v>
      </c>
      <c r="D511" s="1" t="s">
        <v>47</v>
      </c>
      <c r="E511" s="1" t="s">
        <v>1524</v>
      </c>
      <c r="F511" s="1" t="s">
        <v>1009</v>
      </c>
      <c r="G511" s="1" t="s">
        <v>1002</v>
      </c>
      <c r="H511" s="1">
        <v>15</v>
      </c>
      <c r="I511" s="1">
        <v>7</v>
      </c>
      <c r="J511" s="1" t="s">
        <v>2700</v>
      </c>
      <c r="K511" s="2">
        <v>47.04</v>
      </c>
      <c r="L511" s="6">
        <v>15</v>
      </c>
      <c r="M511" s="2">
        <f t="shared" si="35"/>
        <v>705.6</v>
      </c>
      <c r="N511" s="2">
        <f t="shared" si="36"/>
        <v>105.84</v>
      </c>
      <c r="O511" s="2">
        <f t="shared" si="37"/>
        <v>599.76</v>
      </c>
      <c r="P511" s="1">
        <v>250</v>
      </c>
      <c r="Q511" s="2">
        <v>32.93</v>
      </c>
      <c r="R511" s="2">
        <f t="shared" si="38"/>
        <v>105.81</v>
      </c>
      <c r="S511" s="1" t="s">
        <v>1003</v>
      </c>
      <c r="T511" s="1" t="s">
        <v>1004</v>
      </c>
      <c r="U511" s="1" t="str">
        <f t="shared" si="39"/>
        <v>NO</v>
      </c>
    </row>
    <row r="512" spans="1:21" x14ac:dyDescent="0.3">
      <c r="A512" s="1" t="s">
        <v>697</v>
      </c>
      <c r="B512" s="1" t="s">
        <v>189</v>
      </c>
      <c r="C512" s="1" t="s">
        <v>190</v>
      </c>
      <c r="D512" s="1" t="s">
        <v>59</v>
      </c>
      <c r="E512" s="1" t="s">
        <v>1525</v>
      </c>
      <c r="F512" s="1" t="s">
        <v>1027</v>
      </c>
      <c r="G512" s="1" t="s">
        <v>1010</v>
      </c>
      <c r="H512" s="1">
        <v>11</v>
      </c>
      <c r="I512" s="1">
        <v>6</v>
      </c>
      <c r="J512" s="1" t="s">
        <v>2728</v>
      </c>
      <c r="K512" s="2">
        <v>194.95</v>
      </c>
      <c r="L512" s="6">
        <v>16</v>
      </c>
      <c r="M512" s="2">
        <f t="shared" si="35"/>
        <v>2144.4499999999998</v>
      </c>
      <c r="N512" s="2">
        <f t="shared" si="36"/>
        <v>343.11199999999997</v>
      </c>
      <c r="O512" s="2">
        <f t="shared" si="37"/>
        <v>1801.3379999999997</v>
      </c>
      <c r="P512" s="1">
        <v>238</v>
      </c>
      <c r="Q512" s="2">
        <v>136.46</v>
      </c>
      <c r="R512" s="2">
        <f t="shared" si="38"/>
        <v>300.27799999999957</v>
      </c>
      <c r="S512" s="1" t="s">
        <v>1011</v>
      </c>
      <c r="T512" s="1" t="s">
        <v>1004</v>
      </c>
      <c r="U512" s="1" t="str">
        <f t="shared" si="39"/>
        <v>NO</v>
      </c>
    </row>
    <row r="513" spans="1:21" x14ac:dyDescent="0.3">
      <c r="A513" s="1" t="s">
        <v>698</v>
      </c>
      <c r="B513" s="1" t="s">
        <v>57</v>
      </c>
      <c r="C513" s="1" t="s">
        <v>58</v>
      </c>
      <c r="D513" s="1" t="s">
        <v>59</v>
      </c>
      <c r="E513" s="1" t="s">
        <v>1526</v>
      </c>
      <c r="F513" s="1" t="s">
        <v>1009</v>
      </c>
      <c r="G513" s="1" t="s">
        <v>1023</v>
      </c>
      <c r="H513" s="1">
        <v>2</v>
      </c>
      <c r="I513" s="1">
        <v>7</v>
      </c>
      <c r="J513" s="1" t="s">
        <v>2652</v>
      </c>
      <c r="K513" s="2">
        <v>441.33</v>
      </c>
      <c r="L513" s="6">
        <v>1</v>
      </c>
      <c r="M513" s="2">
        <f t="shared" si="35"/>
        <v>882.66</v>
      </c>
      <c r="N513" s="2">
        <f t="shared" si="36"/>
        <v>8.8265999999999991</v>
      </c>
      <c r="O513" s="2">
        <f t="shared" si="37"/>
        <v>873.83339999999998</v>
      </c>
      <c r="P513" s="1">
        <v>52</v>
      </c>
      <c r="Q513" s="2">
        <v>308.93</v>
      </c>
      <c r="R513" s="2">
        <f t="shared" si="38"/>
        <v>255.97339999999997</v>
      </c>
      <c r="S513" s="1" t="s">
        <v>1011</v>
      </c>
      <c r="T513" s="1" t="s">
        <v>1004</v>
      </c>
      <c r="U513" s="1" t="str">
        <f t="shared" si="39"/>
        <v>NO</v>
      </c>
    </row>
    <row r="514" spans="1:21" x14ac:dyDescent="0.3">
      <c r="A514" s="1" t="s">
        <v>699</v>
      </c>
      <c r="B514" s="1" t="s">
        <v>172</v>
      </c>
      <c r="C514" s="1" t="s">
        <v>173</v>
      </c>
      <c r="D514" s="1" t="s">
        <v>132</v>
      </c>
      <c r="E514" s="1" t="s">
        <v>1527</v>
      </c>
      <c r="F514" s="1" t="s">
        <v>1001</v>
      </c>
      <c r="G514" s="1" t="s">
        <v>1010</v>
      </c>
      <c r="H514" s="1">
        <v>15</v>
      </c>
      <c r="I514" s="1">
        <v>6</v>
      </c>
      <c r="J514" s="1" t="s">
        <v>2755</v>
      </c>
      <c r="K514" s="2">
        <v>212.7</v>
      </c>
      <c r="L514" s="6">
        <v>22</v>
      </c>
      <c r="M514" s="2">
        <f t="shared" ref="M514:M577" si="40">H514*K514</f>
        <v>3190.5</v>
      </c>
      <c r="N514" s="2">
        <f t="shared" ref="N514:N577" si="41">M514*L514/100</f>
        <v>701.91</v>
      </c>
      <c r="O514" s="2">
        <f t="shared" ref="O514:O577" si="42">M514-N514</f>
        <v>2488.59</v>
      </c>
      <c r="P514" s="1">
        <v>88</v>
      </c>
      <c r="Q514" s="2">
        <v>148.88999999999999</v>
      </c>
      <c r="R514" s="2">
        <f t="shared" ref="R514:R577" si="43">O514-(H514*Q514)</f>
        <v>255.24000000000024</v>
      </c>
      <c r="S514" s="1" t="s">
        <v>1016</v>
      </c>
      <c r="T514" s="1" t="s">
        <v>1007</v>
      </c>
      <c r="U514" s="1" t="str">
        <f t="shared" ref="U514:U577" si="44">IF(S514="Delivered","YES","NO")</f>
        <v>YES</v>
      </c>
    </row>
    <row r="515" spans="1:21" x14ac:dyDescent="0.3">
      <c r="A515" s="1" t="s">
        <v>700</v>
      </c>
      <c r="B515" s="1" t="s">
        <v>45</v>
      </c>
      <c r="C515" s="1" t="s">
        <v>46</v>
      </c>
      <c r="D515" s="1" t="s">
        <v>47</v>
      </c>
      <c r="E515" s="1" t="s">
        <v>1528</v>
      </c>
      <c r="F515" s="1" t="s">
        <v>1009</v>
      </c>
      <c r="G515" s="1" t="s">
        <v>1023</v>
      </c>
      <c r="H515" s="1">
        <v>15</v>
      </c>
      <c r="I515" s="1">
        <v>2</v>
      </c>
      <c r="J515" s="1" t="s">
        <v>2807</v>
      </c>
      <c r="K515" s="2">
        <v>236.37</v>
      </c>
      <c r="L515" s="6">
        <v>9</v>
      </c>
      <c r="M515" s="2">
        <f t="shared" si="40"/>
        <v>3545.55</v>
      </c>
      <c r="N515" s="2">
        <f t="shared" si="41"/>
        <v>319.09950000000003</v>
      </c>
      <c r="O515" s="2">
        <f t="shared" si="42"/>
        <v>3226.4504999999999</v>
      </c>
      <c r="P515" s="1">
        <v>142</v>
      </c>
      <c r="Q515" s="2">
        <v>165.46</v>
      </c>
      <c r="R515" s="2">
        <f t="shared" si="43"/>
        <v>744.55049999999983</v>
      </c>
      <c r="S515" s="1" t="s">
        <v>1016</v>
      </c>
      <c r="T515" s="1" t="s">
        <v>1007</v>
      </c>
      <c r="U515" s="1" t="str">
        <f t="shared" si="44"/>
        <v>YES</v>
      </c>
    </row>
    <row r="516" spans="1:21" x14ac:dyDescent="0.3">
      <c r="A516" s="1" t="s">
        <v>701</v>
      </c>
      <c r="B516" s="1" t="s">
        <v>192</v>
      </c>
      <c r="C516" s="1" t="s">
        <v>193</v>
      </c>
      <c r="D516" s="1" t="s">
        <v>85</v>
      </c>
      <c r="E516" s="1" t="s">
        <v>1529</v>
      </c>
      <c r="F516" s="1" t="s">
        <v>1027</v>
      </c>
      <c r="G516" s="1" t="s">
        <v>1010</v>
      </c>
      <c r="H516" s="1">
        <v>10</v>
      </c>
      <c r="I516" s="1">
        <v>4</v>
      </c>
      <c r="J516" s="1" t="s">
        <v>2804</v>
      </c>
      <c r="K516" s="2">
        <v>185.89</v>
      </c>
      <c r="L516" s="6">
        <v>25</v>
      </c>
      <c r="M516" s="2">
        <f t="shared" si="40"/>
        <v>1858.8999999999999</v>
      </c>
      <c r="N516" s="2">
        <f t="shared" si="41"/>
        <v>464.72500000000002</v>
      </c>
      <c r="O516" s="2">
        <f t="shared" si="42"/>
        <v>1394.1749999999997</v>
      </c>
      <c r="P516" s="1">
        <v>135</v>
      </c>
      <c r="Q516" s="2">
        <v>130.12</v>
      </c>
      <c r="R516" s="2">
        <f t="shared" si="43"/>
        <v>92.974999999999682</v>
      </c>
      <c r="S516" s="1" t="s">
        <v>1016</v>
      </c>
      <c r="T516" s="1" t="s">
        <v>1007</v>
      </c>
      <c r="U516" s="1" t="str">
        <f t="shared" si="44"/>
        <v>YES</v>
      </c>
    </row>
    <row r="517" spans="1:21" x14ac:dyDescent="0.3">
      <c r="A517" s="1" t="s">
        <v>702</v>
      </c>
      <c r="B517" s="1" t="s">
        <v>126</v>
      </c>
      <c r="C517" s="1" t="s">
        <v>127</v>
      </c>
      <c r="D517" s="1" t="s">
        <v>85</v>
      </c>
      <c r="E517" s="1" t="s">
        <v>1530</v>
      </c>
      <c r="F517" s="1" t="s">
        <v>1015</v>
      </c>
      <c r="G517" s="1" t="s">
        <v>1023</v>
      </c>
      <c r="H517" s="1">
        <v>10</v>
      </c>
      <c r="I517" s="1">
        <v>5</v>
      </c>
      <c r="J517" s="1" t="s">
        <v>2808</v>
      </c>
      <c r="K517" s="2">
        <v>174.76</v>
      </c>
      <c r="L517" s="6">
        <v>4</v>
      </c>
      <c r="M517" s="2">
        <f t="shared" si="40"/>
        <v>1747.6</v>
      </c>
      <c r="N517" s="2">
        <f t="shared" si="41"/>
        <v>69.903999999999996</v>
      </c>
      <c r="O517" s="2">
        <f t="shared" si="42"/>
        <v>1677.6959999999999</v>
      </c>
      <c r="P517" s="1">
        <v>195</v>
      </c>
      <c r="Q517" s="2">
        <v>122.33</v>
      </c>
      <c r="R517" s="2">
        <f t="shared" si="43"/>
        <v>454.39599999999996</v>
      </c>
      <c r="S517" s="1" t="s">
        <v>1016</v>
      </c>
      <c r="T517" s="1" t="s">
        <v>1007</v>
      </c>
      <c r="U517" s="1" t="str">
        <f t="shared" si="44"/>
        <v>YES</v>
      </c>
    </row>
    <row r="518" spans="1:21" x14ac:dyDescent="0.3">
      <c r="A518" s="1" t="s">
        <v>703</v>
      </c>
      <c r="B518" s="1" t="s">
        <v>83</v>
      </c>
      <c r="C518" s="1" t="s">
        <v>84</v>
      </c>
      <c r="D518" s="1" t="s">
        <v>85</v>
      </c>
      <c r="E518" s="1" t="s">
        <v>1531</v>
      </c>
      <c r="F518" s="1" t="s">
        <v>1027</v>
      </c>
      <c r="G518" s="1" t="s">
        <v>1002</v>
      </c>
      <c r="H518" s="1">
        <v>6</v>
      </c>
      <c r="I518" s="1">
        <v>1</v>
      </c>
      <c r="J518" s="1" t="s">
        <v>2809</v>
      </c>
      <c r="K518" s="2">
        <v>196.29</v>
      </c>
      <c r="L518" s="6">
        <v>3</v>
      </c>
      <c r="M518" s="2">
        <f t="shared" si="40"/>
        <v>1177.74</v>
      </c>
      <c r="N518" s="2">
        <f t="shared" si="41"/>
        <v>35.3322</v>
      </c>
      <c r="O518" s="2">
        <f t="shared" si="42"/>
        <v>1142.4078</v>
      </c>
      <c r="P518" s="1">
        <v>61</v>
      </c>
      <c r="Q518" s="2">
        <v>137.4</v>
      </c>
      <c r="R518" s="2">
        <f t="shared" si="43"/>
        <v>318.00779999999986</v>
      </c>
      <c r="S518" s="1" t="s">
        <v>1003</v>
      </c>
      <c r="T518" s="1" t="s">
        <v>1004</v>
      </c>
      <c r="U518" s="1" t="str">
        <f t="shared" si="44"/>
        <v>NO</v>
      </c>
    </row>
    <row r="519" spans="1:21" x14ac:dyDescent="0.3">
      <c r="A519" s="1" t="s">
        <v>704</v>
      </c>
      <c r="B519" s="1" t="s">
        <v>166</v>
      </c>
      <c r="C519" s="1" t="s">
        <v>167</v>
      </c>
      <c r="D519" s="1" t="s">
        <v>59</v>
      </c>
      <c r="E519" s="1" t="s">
        <v>1532</v>
      </c>
      <c r="F519" s="1" t="s">
        <v>1013</v>
      </c>
      <c r="G519" s="1" t="s">
        <v>1002</v>
      </c>
      <c r="H519" s="1">
        <v>5</v>
      </c>
      <c r="I519" s="1">
        <v>2</v>
      </c>
      <c r="J519" s="1" t="s">
        <v>2810</v>
      </c>
      <c r="K519" s="2">
        <v>331.04</v>
      </c>
      <c r="L519" s="6">
        <v>20</v>
      </c>
      <c r="M519" s="2">
        <f t="shared" si="40"/>
        <v>1655.2</v>
      </c>
      <c r="N519" s="2">
        <f t="shared" si="41"/>
        <v>331.04</v>
      </c>
      <c r="O519" s="2">
        <f t="shared" si="42"/>
        <v>1324.16</v>
      </c>
      <c r="P519" s="1">
        <v>154</v>
      </c>
      <c r="Q519" s="2">
        <v>231.73</v>
      </c>
      <c r="R519" s="2">
        <f t="shared" si="43"/>
        <v>165.51000000000022</v>
      </c>
      <c r="S519" s="1" t="s">
        <v>1003</v>
      </c>
      <c r="T519" s="1" t="s">
        <v>1004</v>
      </c>
      <c r="U519" s="1" t="str">
        <f t="shared" si="44"/>
        <v>NO</v>
      </c>
    </row>
    <row r="520" spans="1:21" x14ac:dyDescent="0.3">
      <c r="A520" s="1" t="s">
        <v>705</v>
      </c>
      <c r="B520" s="1" t="s">
        <v>130</v>
      </c>
      <c r="C520" s="1" t="s">
        <v>131</v>
      </c>
      <c r="D520" s="1" t="s">
        <v>132</v>
      </c>
      <c r="E520" s="1" t="s">
        <v>1533</v>
      </c>
      <c r="F520" s="1" t="s">
        <v>1006</v>
      </c>
      <c r="G520" s="1" t="s">
        <v>1002</v>
      </c>
      <c r="H520" s="1">
        <v>10</v>
      </c>
      <c r="I520" s="1">
        <v>3</v>
      </c>
      <c r="J520" s="1" t="s">
        <v>2697</v>
      </c>
      <c r="K520" s="2">
        <v>347.46</v>
      </c>
      <c r="L520" s="6">
        <v>20</v>
      </c>
      <c r="M520" s="2">
        <f t="shared" si="40"/>
        <v>3474.6</v>
      </c>
      <c r="N520" s="2">
        <f t="shared" si="41"/>
        <v>694.92</v>
      </c>
      <c r="O520" s="2">
        <f t="shared" si="42"/>
        <v>2779.68</v>
      </c>
      <c r="P520" s="1">
        <v>194</v>
      </c>
      <c r="Q520" s="2">
        <v>243.22</v>
      </c>
      <c r="R520" s="2">
        <f t="shared" si="43"/>
        <v>347.48</v>
      </c>
      <c r="S520" s="1" t="s">
        <v>1011</v>
      </c>
      <c r="T520" s="1" t="s">
        <v>1004</v>
      </c>
      <c r="U520" s="1" t="str">
        <f t="shared" si="44"/>
        <v>NO</v>
      </c>
    </row>
    <row r="521" spans="1:21" x14ac:dyDescent="0.3">
      <c r="A521" s="1" t="s">
        <v>706</v>
      </c>
      <c r="B521" s="1" t="s">
        <v>197</v>
      </c>
      <c r="C521" s="1" t="s">
        <v>198</v>
      </c>
      <c r="D521" s="1" t="s">
        <v>104</v>
      </c>
      <c r="E521" s="1" t="s">
        <v>1534</v>
      </c>
      <c r="F521" s="1" t="s">
        <v>1001</v>
      </c>
      <c r="G521" s="1" t="s">
        <v>1010</v>
      </c>
      <c r="H521" s="1">
        <v>6</v>
      </c>
      <c r="I521" s="1">
        <v>6</v>
      </c>
      <c r="J521" s="1" t="s">
        <v>2625</v>
      </c>
      <c r="K521" s="2">
        <v>291.39</v>
      </c>
      <c r="L521" s="6">
        <v>21</v>
      </c>
      <c r="M521" s="2">
        <f t="shared" si="40"/>
        <v>1748.34</v>
      </c>
      <c r="N521" s="2">
        <f t="shared" si="41"/>
        <v>367.15139999999997</v>
      </c>
      <c r="O521" s="2">
        <f t="shared" si="42"/>
        <v>1381.1886</v>
      </c>
      <c r="P521" s="1">
        <v>200</v>
      </c>
      <c r="Q521" s="2">
        <v>203.97</v>
      </c>
      <c r="R521" s="2">
        <f t="shared" si="43"/>
        <v>157.36860000000001</v>
      </c>
      <c r="S521" s="1" t="s">
        <v>1003</v>
      </c>
      <c r="T521" s="1" t="s">
        <v>1007</v>
      </c>
      <c r="U521" s="1" t="str">
        <f t="shared" si="44"/>
        <v>NO</v>
      </c>
    </row>
    <row r="522" spans="1:21" x14ac:dyDescent="0.3">
      <c r="A522" s="1" t="s">
        <v>707</v>
      </c>
      <c r="B522" s="1" t="s">
        <v>172</v>
      </c>
      <c r="C522" s="1" t="s">
        <v>173</v>
      </c>
      <c r="D522" s="1" t="s">
        <v>132</v>
      </c>
      <c r="E522" s="1" t="s">
        <v>1535</v>
      </c>
      <c r="F522" s="1" t="s">
        <v>1009</v>
      </c>
      <c r="G522" s="1" t="s">
        <v>1010</v>
      </c>
      <c r="H522" s="1">
        <v>3</v>
      </c>
      <c r="I522" s="1">
        <v>2</v>
      </c>
      <c r="J522" s="1" t="s">
        <v>2643</v>
      </c>
      <c r="K522" s="2">
        <v>131.91</v>
      </c>
      <c r="L522" s="6">
        <v>6</v>
      </c>
      <c r="M522" s="2">
        <f t="shared" si="40"/>
        <v>395.73</v>
      </c>
      <c r="N522" s="2">
        <f t="shared" si="41"/>
        <v>23.7438</v>
      </c>
      <c r="O522" s="2">
        <f t="shared" si="42"/>
        <v>371.9862</v>
      </c>
      <c r="P522" s="1">
        <v>181</v>
      </c>
      <c r="Q522" s="2">
        <v>92.34</v>
      </c>
      <c r="R522" s="2">
        <f t="shared" si="43"/>
        <v>94.966200000000015</v>
      </c>
      <c r="S522" s="1" t="s">
        <v>1011</v>
      </c>
      <c r="T522" s="1" t="s">
        <v>1004</v>
      </c>
      <c r="U522" s="1" t="str">
        <f t="shared" si="44"/>
        <v>NO</v>
      </c>
    </row>
    <row r="523" spans="1:21" x14ac:dyDescent="0.3">
      <c r="A523" s="1" t="s">
        <v>708</v>
      </c>
      <c r="B523" s="1" t="s">
        <v>52</v>
      </c>
      <c r="C523" s="1" t="s">
        <v>53</v>
      </c>
      <c r="D523" s="1" t="s">
        <v>47</v>
      </c>
      <c r="E523" s="1" t="s">
        <v>1536</v>
      </c>
      <c r="F523" s="1" t="s">
        <v>1015</v>
      </c>
      <c r="G523" s="1" t="s">
        <v>1010</v>
      </c>
      <c r="H523" s="1">
        <v>9</v>
      </c>
      <c r="I523" s="1">
        <v>7</v>
      </c>
      <c r="J523" s="1" t="s">
        <v>2811</v>
      </c>
      <c r="K523" s="2">
        <v>225.34</v>
      </c>
      <c r="L523" s="6">
        <v>20</v>
      </c>
      <c r="M523" s="2">
        <f t="shared" si="40"/>
        <v>2028.06</v>
      </c>
      <c r="N523" s="2">
        <f t="shared" si="41"/>
        <v>405.61199999999997</v>
      </c>
      <c r="O523" s="2">
        <f t="shared" si="42"/>
        <v>1622.4479999999999</v>
      </c>
      <c r="P523" s="1">
        <v>189</v>
      </c>
      <c r="Q523" s="2">
        <v>157.74</v>
      </c>
      <c r="R523" s="2">
        <f t="shared" si="43"/>
        <v>202.78799999999978</v>
      </c>
      <c r="S523" s="1" t="s">
        <v>1011</v>
      </c>
      <c r="T523" s="1" t="s">
        <v>1007</v>
      </c>
      <c r="U523" s="1" t="str">
        <f t="shared" si="44"/>
        <v>NO</v>
      </c>
    </row>
    <row r="524" spans="1:21" x14ac:dyDescent="0.3">
      <c r="A524" s="1" t="s">
        <v>709</v>
      </c>
      <c r="B524" s="1" t="s">
        <v>69</v>
      </c>
      <c r="C524" s="1" t="s">
        <v>70</v>
      </c>
      <c r="D524" s="1" t="s">
        <v>59</v>
      </c>
      <c r="E524" s="1" t="s">
        <v>1537</v>
      </c>
      <c r="F524" s="1" t="s">
        <v>1027</v>
      </c>
      <c r="G524" s="1" t="s">
        <v>1010</v>
      </c>
      <c r="H524" s="1">
        <v>9</v>
      </c>
      <c r="I524" s="1">
        <v>1</v>
      </c>
      <c r="J524" s="1" t="s">
        <v>2574</v>
      </c>
      <c r="K524" s="2">
        <v>107.49</v>
      </c>
      <c r="L524" s="6">
        <v>14</v>
      </c>
      <c r="M524" s="2">
        <f t="shared" si="40"/>
        <v>967.41</v>
      </c>
      <c r="N524" s="2">
        <f t="shared" si="41"/>
        <v>135.4374</v>
      </c>
      <c r="O524" s="2">
        <f t="shared" si="42"/>
        <v>831.97259999999994</v>
      </c>
      <c r="P524" s="1">
        <v>153</v>
      </c>
      <c r="Q524" s="2">
        <v>75.239999999999995</v>
      </c>
      <c r="R524" s="2">
        <f t="shared" si="43"/>
        <v>154.81259999999997</v>
      </c>
      <c r="S524" s="1" t="s">
        <v>1016</v>
      </c>
      <c r="T524" s="1" t="s">
        <v>1007</v>
      </c>
      <c r="U524" s="1" t="str">
        <f t="shared" si="44"/>
        <v>YES</v>
      </c>
    </row>
    <row r="525" spans="1:21" x14ac:dyDescent="0.3">
      <c r="A525" s="1" t="s">
        <v>710</v>
      </c>
      <c r="B525" s="1" t="s">
        <v>118</v>
      </c>
      <c r="C525" s="1" t="s">
        <v>119</v>
      </c>
      <c r="D525" s="1" t="s">
        <v>97</v>
      </c>
      <c r="E525" s="1" t="s">
        <v>1538</v>
      </c>
      <c r="F525" s="1" t="s">
        <v>1009</v>
      </c>
      <c r="G525" s="1" t="s">
        <v>1023</v>
      </c>
      <c r="H525" s="1">
        <v>6</v>
      </c>
      <c r="I525" s="1">
        <v>4</v>
      </c>
      <c r="J525" s="1" t="s">
        <v>2759</v>
      </c>
      <c r="K525" s="2">
        <v>481.51</v>
      </c>
      <c r="L525" s="6">
        <v>11</v>
      </c>
      <c r="M525" s="2">
        <f t="shared" si="40"/>
        <v>2889.06</v>
      </c>
      <c r="N525" s="2">
        <f t="shared" si="41"/>
        <v>317.79660000000001</v>
      </c>
      <c r="O525" s="2">
        <f t="shared" si="42"/>
        <v>2571.2633999999998</v>
      </c>
      <c r="P525" s="1">
        <v>121</v>
      </c>
      <c r="Q525" s="2">
        <v>337.06</v>
      </c>
      <c r="R525" s="2">
        <f t="shared" si="43"/>
        <v>548.90339999999969</v>
      </c>
      <c r="S525" s="1" t="s">
        <v>1011</v>
      </c>
      <c r="T525" s="1" t="s">
        <v>1007</v>
      </c>
      <c r="U525" s="1" t="str">
        <f t="shared" si="44"/>
        <v>NO</v>
      </c>
    </row>
    <row r="526" spans="1:21" x14ac:dyDescent="0.3">
      <c r="A526" s="1" t="s">
        <v>711</v>
      </c>
      <c r="B526" s="1" t="s">
        <v>26</v>
      </c>
      <c r="C526" s="1" t="s">
        <v>27</v>
      </c>
      <c r="D526" s="1" t="s">
        <v>28</v>
      </c>
      <c r="E526" s="1" t="s">
        <v>1539</v>
      </c>
      <c r="F526" s="1" t="s">
        <v>1015</v>
      </c>
      <c r="G526" s="1" t="s">
        <v>1002</v>
      </c>
      <c r="H526" s="1">
        <v>12</v>
      </c>
      <c r="I526" s="1">
        <v>5</v>
      </c>
      <c r="J526" s="1" t="s">
        <v>2812</v>
      </c>
      <c r="K526" s="2">
        <v>357.54</v>
      </c>
      <c r="L526" s="6">
        <v>14</v>
      </c>
      <c r="M526" s="2">
        <f t="shared" si="40"/>
        <v>4290.4800000000005</v>
      </c>
      <c r="N526" s="2">
        <f t="shared" si="41"/>
        <v>600.66720000000009</v>
      </c>
      <c r="O526" s="2">
        <f t="shared" si="42"/>
        <v>3689.8128000000006</v>
      </c>
      <c r="P526" s="1">
        <v>238</v>
      </c>
      <c r="Q526" s="2">
        <v>250.28</v>
      </c>
      <c r="R526" s="2">
        <f t="shared" si="43"/>
        <v>686.45280000000048</v>
      </c>
      <c r="S526" s="1" t="s">
        <v>1011</v>
      </c>
      <c r="T526" s="1" t="s">
        <v>1007</v>
      </c>
      <c r="U526" s="1" t="str">
        <f t="shared" si="44"/>
        <v>NO</v>
      </c>
    </row>
    <row r="527" spans="1:21" x14ac:dyDescent="0.3">
      <c r="A527" s="1" t="s">
        <v>712</v>
      </c>
      <c r="B527" s="1" t="s">
        <v>69</v>
      </c>
      <c r="C527" s="1" t="s">
        <v>70</v>
      </c>
      <c r="D527" s="1" t="s">
        <v>59</v>
      </c>
      <c r="E527" s="1" t="s">
        <v>1540</v>
      </c>
      <c r="F527" s="1" t="s">
        <v>1006</v>
      </c>
      <c r="G527" s="1" t="s">
        <v>1010</v>
      </c>
      <c r="H527" s="1">
        <v>15</v>
      </c>
      <c r="I527" s="1">
        <v>5</v>
      </c>
      <c r="J527" s="1" t="s">
        <v>2589</v>
      </c>
      <c r="K527" s="2">
        <v>195.71</v>
      </c>
      <c r="L527" s="6">
        <v>1</v>
      </c>
      <c r="M527" s="2">
        <f t="shared" si="40"/>
        <v>2935.65</v>
      </c>
      <c r="N527" s="2">
        <f t="shared" si="41"/>
        <v>29.3565</v>
      </c>
      <c r="O527" s="2">
        <f t="shared" si="42"/>
        <v>2906.2935000000002</v>
      </c>
      <c r="P527" s="1">
        <v>145</v>
      </c>
      <c r="Q527" s="2">
        <v>137</v>
      </c>
      <c r="R527" s="2">
        <f t="shared" si="43"/>
        <v>851.29350000000022</v>
      </c>
      <c r="S527" s="1" t="s">
        <v>1003</v>
      </c>
      <c r="T527" s="1" t="s">
        <v>1007</v>
      </c>
      <c r="U527" s="1" t="str">
        <f t="shared" si="44"/>
        <v>NO</v>
      </c>
    </row>
    <row r="528" spans="1:21" x14ac:dyDescent="0.3">
      <c r="A528" s="1" t="s">
        <v>713</v>
      </c>
      <c r="B528" s="1" t="s">
        <v>166</v>
      </c>
      <c r="C528" s="1" t="s">
        <v>167</v>
      </c>
      <c r="D528" s="1" t="s">
        <v>59</v>
      </c>
      <c r="E528" s="1" t="s">
        <v>1541</v>
      </c>
      <c r="F528" s="1" t="s">
        <v>1013</v>
      </c>
      <c r="G528" s="1" t="s">
        <v>1023</v>
      </c>
      <c r="H528" s="1">
        <v>13</v>
      </c>
      <c r="I528" s="1">
        <v>2</v>
      </c>
      <c r="J528" s="1" t="s">
        <v>2813</v>
      </c>
      <c r="K528" s="2">
        <v>276.64999999999998</v>
      </c>
      <c r="L528" s="6">
        <v>10</v>
      </c>
      <c r="M528" s="2">
        <f t="shared" si="40"/>
        <v>3596.45</v>
      </c>
      <c r="N528" s="2">
        <f t="shared" si="41"/>
        <v>359.64499999999998</v>
      </c>
      <c r="O528" s="2">
        <f t="shared" si="42"/>
        <v>3236.8049999999998</v>
      </c>
      <c r="P528" s="1">
        <v>52</v>
      </c>
      <c r="Q528" s="2">
        <v>193.65</v>
      </c>
      <c r="R528" s="2">
        <f t="shared" si="43"/>
        <v>719.35499999999956</v>
      </c>
      <c r="S528" s="1" t="s">
        <v>1003</v>
      </c>
      <c r="T528" s="1" t="s">
        <v>1007</v>
      </c>
      <c r="U528" s="1" t="str">
        <f t="shared" si="44"/>
        <v>NO</v>
      </c>
    </row>
    <row r="529" spans="1:21" x14ac:dyDescent="0.3">
      <c r="A529" s="1" t="s">
        <v>714</v>
      </c>
      <c r="B529" s="1" t="s">
        <v>111</v>
      </c>
      <c r="C529" s="1" t="s">
        <v>112</v>
      </c>
      <c r="D529" s="1" t="s">
        <v>97</v>
      </c>
      <c r="E529" s="1" t="s">
        <v>1542</v>
      </c>
      <c r="F529" s="1" t="s">
        <v>1013</v>
      </c>
      <c r="G529" s="1" t="s">
        <v>1010</v>
      </c>
      <c r="H529" s="1">
        <v>7</v>
      </c>
      <c r="I529" s="1">
        <v>2</v>
      </c>
      <c r="J529" s="1" t="s">
        <v>2572</v>
      </c>
      <c r="K529" s="2">
        <v>416.35</v>
      </c>
      <c r="L529" s="6">
        <v>14</v>
      </c>
      <c r="M529" s="2">
        <f t="shared" si="40"/>
        <v>2914.4500000000003</v>
      </c>
      <c r="N529" s="2">
        <f t="shared" si="41"/>
        <v>408.02300000000002</v>
      </c>
      <c r="O529" s="2">
        <f t="shared" si="42"/>
        <v>2506.4270000000001</v>
      </c>
      <c r="P529" s="1">
        <v>65</v>
      </c>
      <c r="Q529" s="2">
        <v>291.44</v>
      </c>
      <c r="R529" s="2">
        <f t="shared" si="43"/>
        <v>466.34700000000021</v>
      </c>
      <c r="S529" s="1" t="s">
        <v>1011</v>
      </c>
      <c r="T529" s="1" t="s">
        <v>1007</v>
      </c>
      <c r="U529" s="1" t="str">
        <f t="shared" si="44"/>
        <v>NO</v>
      </c>
    </row>
    <row r="530" spans="1:21" x14ac:dyDescent="0.3">
      <c r="A530" s="1" t="s">
        <v>715</v>
      </c>
      <c r="B530" s="1" t="s">
        <v>37</v>
      </c>
      <c r="C530" s="1" t="s">
        <v>38</v>
      </c>
      <c r="D530" s="1" t="s">
        <v>39</v>
      </c>
      <c r="E530" s="1" t="s">
        <v>1543</v>
      </c>
      <c r="F530" s="1" t="s">
        <v>1020</v>
      </c>
      <c r="G530" s="1" t="s">
        <v>1023</v>
      </c>
      <c r="H530" s="1">
        <v>7</v>
      </c>
      <c r="I530" s="1">
        <v>2</v>
      </c>
      <c r="J530" s="1" t="s">
        <v>2610</v>
      </c>
      <c r="K530" s="2">
        <v>335.15</v>
      </c>
      <c r="L530" s="6">
        <v>3</v>
      </c>
      <c r="M530" s="2">
        <f t="shared" si="40"/>
        <v>2346.0499999999997</v>
      </c>
      <c r="N530" s="2">
        <f t="shared" si="41"/>
        <v>70.381500000000003</v>
      </c>
      <c r="O530" s="2">
        <f t="shared" si="42"/>
        <v>2275.6684999999998</v>
      </c>
      <c r="P530" s="1">
        <v>126</v>
      </c>
      <c r="Q530" s="2">
        <v>234.6</v>
      </c>
      <c r="R530" s="2">
        <f t="shared" si="43"/>
        <v>633.46849999999972</v>
      </c>
      <c r="S530" s="1" t="s">
        <v>1003</v>
      </c>
      <c r="T530" s="1" t="s">
        <v>1004</v>
      </c>
      <c r="U530" s="1" t="str">
        <f t="shared" si="44"/>
        <v>NO</v>
      </c>
    </row>
    <row r="531" spans="1:21" x14ac:dyDescent="0.3">
      <c r="A531" s="1" t="s">
        <v>716</v>
      </c>
      <c r="B531" s="1" t="s">
        <v>83</v>
      </c>
      <c r="C531" s="1" t="s">
        <v>84</v>
      </c>
      <c r="D531" s="1" t="s">
        <v>85</v>
      </c>
      <c r="E531" s="1" t="s">
        <v>1544</v>
      </c>
      <c r="F531" s="1" t="s">
        <v>1020</v>
      </c>
      <c r="G531" s="1" t="s">
        <v>1010</v>
      </c>
      <c r="H531" s="1">
        <v>2</v>
      </c>
      <c r="I531" s="1">
        <v>3</v>
      </c>
      <c r="J531" s="1" t="s">
        <v>2642</v>
      </c>
      <c r="K531" s="2">
        <v>241.04</v>
      </c>
      <c r="L531" s="6">
        <v>11</v>
      </c>
      <c r="M531" s="2">
        <f t="shared" si="40"/>
        <v>482.08</v>
      </c>
      <c r="N531" s="2">
        <f t="shared" si="41"/>
        <v>53.028800000000004</v>
      </c>
      <c r="O531" s="2">
        <f t="shared" si="42"/>
        <v>429.05119999999999</v>
      </c>
      <c r="P531" s="1">
        <v>214</v>
      </c>
      <c r="Q531" s="2">
        <v>168.73</v>
      </c>
      <c r="R531" s="2">
        <f t="shared" si="43"/>
        <v>91.591200000000015</v>
      </c>
      <c r="S531" s="1" t="s">
        <v>1011</v>
      </c>
      <c r="T531" s="1" t="s">
        <v>1004</v>
      </c>
      <c r="U531" s="1" t="str">
        <f t="shared" si="44"/>
        <v>NO</v>
      </c>
    </row>
    <row r="532" spans="1:21" x14ac:dyDescent="0.3">
      <c r="A532" s="1" t="s">
        <v>717</v>
      </c>
      <c r="B532" s="1" t="s">
        <v>126</v>
      </c>
      <c r="C532" s="1" t="s">
        <v>127</v>
      </c>
      <c r="D532" s="1" t="s">
        <v>85</v>
      </c>
      <c r="E532" s="1" t="s">
        <v>1545</v>
      </c>
      <c r="F532" s="1" t="s">
        <v>1015</v>
      </c>
      <c r="G532" s="1" t="s">
        <v>1023</v>
      </c>
      <c r="H532" s="1">
        <v>10</v>
      </c>
      <c r="I532" s="1">
        <v>4</v>
      </c>
      <c r="J532" s="1" t="s">
        <v>2767</v>
      </c>
      <c r="K532" s="2">
        <v>63.21</v>
      </c>
      <c r="L532" s="6">
        <v>10</v>
      </c>
      <c r="M532" s="2">
        <f t="shared" si="40"/>
        <v>632.1</v>
      </c>
      <c r="N532" s="2">
        <f t="shared" si="41"/>
        <v>63.21</v>
      </c>
      <c r="O532" s="2">
        <f t="shared" si="42"/>
        <v>568.89</v>
      </c>
      <c r="P532" s="1">
        <v>247</v>
      </c>
      <c r="Q532" s="2">
        <v>44.25</v>
      </c>
      <c r="R532" s="2">
        <f t="shared" si="43"/>
        <v>126.38999999999999</v>
      </c>
      <c r="S532" s="1" t="s">
        <v>1003</v>
      </c>
      <c r="T532" s="1" t="s">
        <v>1004</v>
      </c>
      <c r="U532" s="1" t="str">
        <f t="shared" si="44"/>
        <v>NO</v>
      </c>
    </row>
    <row r="533" spans="1:21" x14ac:dyDescent="0.3">
      <c r="A533" s="1" t="s">
        <v>718</v>
      </c>
      <c r="B533" s="1" t="s">
        <v>111</v>
      </c>
      <c r="C533" s="1" t="s">
        <v>112</v>
      </c>
      <c r="D533" s="1" t="s">
        <v>97</v>
      </c>
      <c r="E533" s="1" t="s">
        <v>1546</v>
      </c>
      <c r="F533" s="1" t="s">
        <v>1020</v>
      </c>
      <c r="G533" s="1" t="s">
        <v>1010</v>
      </c>
      <c r="H533" s="1">
        <v>13</v>
      </c>
      <c r="I533" s="1">
        <v>3</v>
      </c>
      <c r="J533" s="1" t="s">
        <v>2632</v>
      </c>
      <c r="K533" s="2">
        <v>294.48</v>
      </c>
      <c r="L533" s="6">
        <v>13</v>
      </c>
      <c r="M533" s="2">
        <f t="shared" si="40"/>
        <v>3828.2400000000002</v>
      </c>
      <c r="N533" s="2">
        <f t="shared" si="41"/>
        <v>497.6712</v>
      </c>
      <c r="O533" s="2">
        <f t="shared" si="42"/>
        <v>3330.5688</v>
      </c>
      <c r="P533" s="1">
        <v>125</v>
      </c>
      <c r="Q533" s="2">
        <v>206.14</v>
      </c>
      <c r="R533" s="2">
        <f t="shared" si="43"/>
        <v>650.7488000000003</v>
      </c>
      <c r="S533" s="1" t="s">
        <v>1011</v>
      </c>
      <c r="T533" s="1" t="s">
        <v>1007</v>
      </c>
      <c r="U533" s="1" t="str">
        <f t="shared" si="44"/>
        <v>NO</v>
      </c>
    </row>
    <row r="534" spans="1:21" x14ac:dyDescent="0.3">
      <c r="A534" s="1" t="s">
        <v>719</v>
      </c>
      <c r="B534" s="1" t="s">
        <v>299</v>
      </c>
      <c r="C534" s="1" t="s">
        <v>300</v>
      </c>
      <c r="D534" s="1" t="s">
        <v>39</v>
      </c>
      <c r="E534" s="1" t="s">
        <v>1547</v>
      </c>
      <c r="F534" s="1" t="s">
        <v>1013</v>
      </c>
      <c r="G534" s="1" t="s">
        <v>1023</v>
      </c>
      <c r="H534" s="1">
        <v>7</v>
      </c>
      <c r="I534" s="1">
        <v>2</v>
      </c>
      <c r="J534" s="1" t="s">
        <v>2519</v>
      </c>
      <c r="K534" s="2">
        <v>347.58</v>
      </c>
      <c r="L534" s="6">
        <v>13</v>
      </c>
      <c r="M534" s="2">
        <f t="shared" si="40"/>
        <v>2433.06</v>
      </c>
      <c r="N534" s="2">
        <f t="shared" si="41"/>
        <v>316.2978</v>
      </c>
      <c r="O534" s="2">
        <f t="shared" si="42"/>
        <v>2116.7622000000001</v>
      </c>
      <c r="P534" s="1">
        <v>91</v>
      </c>
      <c r="Q534" s="2">
        <v>243.31</v>
      </c>
      <c r="R534" s="2">
        <f t="shared" si="43"/>
        <v>413.59220000000005</v>
      </c>
      <c r="S534" s="1" t="s">
        <v>1016</v>
      </c>
      <c r="T534" s="1" t="s">
        <v>1007</v>
      </c>
      <c r="U534" s="1" t="str">
        <f t="shared" si="44"/>
        <v>YES</v>
      </c>
    </row>
    <row r="535" spans="1:21" x14ac:dyDescent="0.3">
      <c r="A535" s="1" t="s">
        <v>720</v>
      </c>
      <c r="B535" s="1" t="s">
        <v>262</v>
      </c>
      <c r="C535" s="1" t="s">
        <v>263</v>
      </c>
      <c r="D535" s="1" t="s">
        <v>104</v>
      </c>
      <c r="E535" s="1" t="s">
        <v>1548</v>
      </c>
      <c r="F535" s="1" t="s">
        <v>1015</v>
      </c>
      <c r="G535" s="1" t="s">
        <v>1002</v>
      </c>
      <c r="H535" s="1">
        <v>6</v>
      </c>
      <c r="I535" s="1">
        <v>6</v>
      </c>
      <c r="J535" s="1" t="s">
        <v>2603</v>
      </c>
      <c r="K535" s="2">
        <v>399.76</v>
      </c>
      <c r="L535" s="6">
        <v>14</v>
      </c>
      <c r="M535" s="2">
        <f t="shared" si="40"/>
        <v>2398.56</v>
      </c>
      <c r="N535" s="2">
        <f t="shared" si="41"/>
        <v>335.79839999999996</v>
      </c>
      <c r="O535" s="2">
        <f t="shared" si="42"/>
        <v>2062.7615999999998</v>
      </c>
      <c r="P535" s="1">
        <v>247</v>
      </c>
      <c r="Q535" s="2">
        <v>279.83</v>
      </c>
      <c r="R535" s="2">
        <f t="shared" si="43"/>
        <v>383.7815999999998</v>
      </c>
      <c r="S535" s="1" t="s">
        <v>1003</v>
      </c>
      <c r="T535" s="1" t="s">
        <v>1004</v>
      </c>
      <c r="U535" s="1" t="str">
        <f t="shared" si="44"/>
        <v>NO</v>
      </c>
    </row>
    <row r="536" spans="1:21" x14ac:dyDescent="0.3">
      <c r="A536" s="1" t="s">
        <v>721</v>
      </c>
      <c r="B536" s="1" t="s">
        <v>118</v>
      </c>
      <c r="C536" s="1" t="s">
        <v>119</v>
      </c>
      <c r="D536" s="1" t="s">
        <v>97</v>
      </c>
      <c r="E536" s="1" t="s">
        <v>1549</v>
      </c>
      <c r="F536" s="1" t="s">
        <v>1027</v>
      </c>
      <c r="G536" s="1" t="s">
        <v>1002</v>
      </c>
      <c r="H536" s="1">
        <v>3</v>
      </c>
      <c r="I536" s="1">
        <v>4</v>
      </c>
      <c r="J536" s="1" t="s">
        <v>2567</v>
      </c>
      <c r="K536" s="2">
        <v>388.82</v>
      </c>
      <c r="L536" s="6">
        <v>0</v>
      </c>
      <c r="M536" s="2">
        <f t="shared" si="40"/>
        <v>1166.46</v>
      </c>
      <c r="N536" s="2">
        <f t="shared" si="41"/>
        <v>0</v>
      </c>
      <c r="O536" s="2">
        <f t="shared" si="42"/>
        <v>1166.46</v>
      </c>
      <c r="P536" s="1">
        <v>102</v>
      </c>
      <c r="Q536" s="2">
        <v>272.17</v>
      </c>
      <c r="R536" s="2">
        <f t="shared" si="43"/>
        <v>349.95000000000005</v>
      </c>
      <c r="S536" s="1" t="s">
        <v>1003</v>
      </c>
      <c r="T536" s="1" t="s">
        <v>1004</v>
      </c>
      <c r="U536" s="1" t="str">
        <f t="shared" si="44"/>
        <v>NO</v>
      </c>
    </row>
    <row r="537" spans="1:21" x14ac:dyDescent="0.3">
      <c r="A537" s="1" t="s">
        <v>722</v>
      </c>
      <c r="B537" s="1" t="s">
        <v>26</v>
      </c>
      <c r="C537" s="1" t="s">
        <v>27</v>
      </c>
      <c r="D537" s="1" t="s">
        <v>28</v>
      </c>
      <c r="E537" s="1" t="s">
        <v>1550</v>
      </c>
      <c r="F537" s="1" t="s">
        <v>1006</v>
      </c>
      <c r="G537" s="1" t="s">
        <v>1002</v>
      </c>
      <c r="H537" s="1">
        <v>4</v>
      </c>
      <c r="I537" s="1">
        <v>3</v>
      </c>
      <c r="J537" s="1" t="s">
        <v>2582</v>
      </c>
      <c r="K537" s="2">
        <v>215.97</v>
      </c>
      <c r="L537" s="6">
        <v>12</v>
      </c>
      <c r="M537" s="2">
        <f t="shared" si="40"/>
        <v>863.88</v>
      </c>
      <c r="N537" s="2">
        <f t="shared" si="41"/>
        <v>103.6656</v>
      </c>
      <c r="O537" s="2">
        <f t="shared" si="42"/>
        <v>760.21439999999996</v>
      </c>
      <c r="P537" s="1">
        <v>128</v>
      </c>
      <c r="Q537" s="2">
        <v>151.18</v>
      </c>
      <c r="R537" s="2">
        <f t="shared" si="43"/>
        <v>155.49439999999993</v>
      </c>
      <c r="S537" s="1" t="s">
        <v>1003</v>
      </c>
      <c r="T537" s="1" t="s">
        <v>1007</v>
      </c>
      <c r="U537" s="1" t="str">
        <f t="shared" si="44"/>
        <v>NO</v>
      </c>
    </row>
    <row r="538" spans="1:21" x14ac:dyDescent="0.3">
      <c r="A538" s="1" t="s">
        <v>723</v>
      </c>
      <c r="B538" s="1" t="s">
        <v>176</v>
      </c>
      <c r="C538" s="1" t="s">
        <v>177</v>
      </c>
      <c r="D538" s="1" t="s">
        <v>39</v>
      </c>
      <c r="E538" s="1" t="s">
        <v>1551</v>
      </c>
      <c r="F538" s="1" t="s">
        <v>1001</v>
      </c>
      <c r="G538" s="1" t="s">
        <v>1002</v>
      </c>
      <c r="H538" s="1">
        <v>14</v>
      </c>
      <c r="I538" s="1">
        <v>4</v>
      </c>
      <c r="J538" s="1" t="s">
        <v>2561</v>
      </c>
      <c r="K538" s="2">
        <v>462.24</v>
      </c>
      <c r="L538" s="6">
        <v>0</v>
      </c>
      <c r="M538" s="2">
        <f t="shared" si="40"/>
        <v>6471.3600000000006</v>
      </c>
      <c r="N538" s="2">
        <f t="shared" si="41"/>
        <v>0</v>
      </c>
      <c r="O538" s="2">
        <f t="shared" si="42"/>
        <v>6471.3600000000006</v>
      </c>
      <c r="P538" s="1">
        <v>72</v>
      </c>
      <c r="Q538" s="2">
        <v>323.57</v>
      </c>
      <c r="R538" s="2">
        <f t="shared" si="43"/>
        <v>1941.380000000001</v>
      </c>
      <c r="S538" s="1" t="s">
        <v>1011</v>
      </c>
      <c r="T538" s="1" t="s">
        <v>1004</v>
      </c>
      <c r="U538" s="1" t="str">
        <f t="shared" si="44"/>
        <v>NO</v>
      </c>
    </row>
    <row r="539" spans="1:21" x14ac:dyDescent="0.3">
      <c r="A539" s="1" t="s">
        <v>724</v>
      </c>
      <c r="B539" s="1" t="s">
        <v>126</v>
      </c>
      <c r="C539" s="1" t="s">
        <v>127</v>
      </c>
      <c r="D539" s="1" t="s">
        <v>85</v>
      </c>
      <c r="E539" s="1" t="s">
        <v>1552</v>
      </c>
      <c r="F539" s="1" t="s">
        <v>1013</v>
      </c>
      <c r="G539" s="1" t="s">
        <v>1010</v>
      </c>
      <c r="H539" s="1">
        <v>14</v>
      </c>
      <c r="I539" s="1">
        <v>7</v>
      </c>
      <c r="J539" s="1" t="s">
        <v>2613</v>
      </c>
      <c r="K539" s="2">
        <v>186.59</v>
      </c>
      <c r="L539" s="6">
        <v>2</v>
      </c>
      <c r="M539" s="2">
        <f t="shared" si="40"/>
        <v>2612.2600000000002</v>
      </c>
      <c r="N539" s="2">
        <f t="shared" si="41"/>
        <v>52.245200000000004</v>
      </c>
      <c r="O539" s="2">
        <f t="shared" si="42"/>
        <v>2560.0148000000004</v>
      </c>
      <c r="P539" s="1">
        <v>127</v>
      </c>
      <c r="Q539" s="2">
        <v>130.61000000000001</v>
      </c>
      <c r="R539" s="2">
        <f t="shared" si="43"/>
        <v>731.47480000000019</v>
      </c>
      <c r="S539" s="1" t="s">
        <v>1003</v>
      </c>
      <c r="T539" s="1" t="s">
        <v>1004</v>
      </c>
      <c r="U539" s="1" t="str">
        <f t="shared" si="44"/>
        <v>NO</v>
      </c>
    </row>
    <row r="540" spans="1:21" x14ac:dyDescent="0.3">
      <c r="A540" s="1" t="s">
        <v>725</v>
      </c>
      <c r="B540" s="1" t="s">
        <v>77</v>
      </c>
      <c r="C540" s="1" t="s">
        <v>78</v>
      </c>
      <c r="D540" s="1" t="s">
        <v>47</v>
      </c>
      <c r="E540" s="1" t="s">
        <v>1553</v>
      </c>
      <c r="F540" s="1" t="s">
        <v>1006</v>
      </c>
      <c r="G540" s="1" t="s">
        <v>1010</v>
      </c>
      <c r="H540" s="1">
        <v>13</v>
      </c>
      <c r="I540" s="1">
        <v>5</v>
      </c>
      <c r="J540" s="1" t="s">
        <v>2814</v>
      </c>
      <c r="K540" s="2">
        <v>397.73</v>
      </c>
      <c r="L540" s="6">
        <v>0</v>
      </c>
      <c r="M540" s="2">
        <f t="shared" si="40"/>
        <v>5170.49</v>
      </c>
      <c r="N540" s="2">
        <f t="shared" si="41"/>
        <v>0</v>
      </c>
      <c r="O540" s="2">
        <f t="shared" si="42"/>
        <v>5170.49</v>
      </c>
      <c r="P540" s="1">
        <v>106</v>
      </c>
      <c r="Q540" s="2">
        <v>278.41000000000003</v>
      </c>
      <c r="R540" s="2">
        <f t="shared" si="43"/>
        <v>1551.1599999999994</v>
      </c>
      <c r="S540" s="1" t="s">
        <v>1011</v>
      </c>
      <c r="T540" s="1" t="s">
        <v>1007</v>
      </c>
      <c r="U540" s="1" t="str">
        <f t="shared" si="44"/>
        <v>NO</v>
      </c>
    </row>
    <row r="541" spans="1:21" x14ac:dyDescent="0.3">
      <c r="A541" s="1" t="s">
        <v>726</v>
      </c>
      <c r="B541" s="1" t="s">
        <v>172</v>
      </c>
      <c r="C541" s="1" t="s">
        <v>173</v>
      </c>
      <c r="D541" s="1" t="s">
        <v>132</v>
      </c>
      <c r="E541" s="1" t="s">
        <v>1554</v>
      </c>
      <c r="F541" s="1" t="s">
        <v>1006</v>
      </c>
      <c r="G541" s="1" t="s">
        <v>1023</v>
      </c>
      <c r="H541" s="1">
        <v>7</v>
      </c>
      <c r="I541" s="1">
        <v>6</v>
      </c>
      <c r="J541" s="1" t="s">
        <v>2815</v>
      </c>
      <c r="K541" s="2">
        <v>317.14999999999998</v>
      </c>
      <c r="L541" s="6">
        <v>11</v>
      </c>
      <c r="M541" s="2">
        <f t="shared" si="40"/>
        <v>2220.0499999999997</v>
      </c>
      <c r="N541" s="2">
        <f t="shared" si="41"/>
        <v>244.20549999999994</v>
      </c>
      <c r="O541" s="2">
        <f t="shared" si="42"/>
        <v>1975.8444999999997</v>
      </c>
      <c r="P541" s="1">
        <v>200</v>
      </c>
      <c r="Q541" s="2">
        <v>222</v>
      </c>
      <c r="R541" s="2">
        <f t="shared" si="43"/>
        <v>421.8444999999997</v>
      </c>
      <c r="S541" s="1" t="s">
        <v>1016</v>
      </c>
      <c r="T541" s="1" t="s">
        <v>1007</v>
      </c>
      <c r="U541" s="1" t="str">
        <f t="shared" si="44"/>
        <v>YES</v>
      </c>
    </row>
    <row r="542" spans="1:21" x14ac:dyDescent="0.3">
      <c r="A542" s="1" t="s">
        <v>727</v>
      </c>
      <c r="B542" s="1" t="s">
        <v>123</v>
      </c>
      <c r="C542" s="1" t="s">
        <v>124</v>
      </c>
      <c r="D542" s="1" t="s">
        <v>47</v>
      </c>
      <c r="E542" s="1" t="s">
        <v>1555</v>
      </c>
      <c r="F542" s="1" t="s">
        <v>1006</v>
      </c>
      <c r="G542" s="1" t="s">
        <v>1010</v>
      </c>
      <c r="H542" s="1">
        <v>11</v>
      </c>
      <c r="I542" s="1">
        <v>1</v>
      </c>
      <c r="J542" s="1" t="s">
        <v>2539</v>
      </c>
      <c r="K542" s="2">
        <v>148.08000000000001</v>
      </c>
      <c r="L542" s="6">
        <v>13</v>
      </c>
      <c r="M542" s="2">
        <f t="shared" si="40"/>
        <v>1628.88</v>
      </c>
      <c r="N542" s="2">
        <f t="shared" si="41"/>
        <v>211.75440000000003</v>
      </c>
      <c r="O542" s="2">
        <f t="shared" si="42"/>
        <v>1417.1256000000001</v>
      </c>
      <c r="P542" s="1">
        <v>76</v>
      </c>
      <c r="Q542" s="2">
        <v>103.66</v>
      </c>
      <c r="R542" s="2">
        <f t="shared" si="43"/>
        <v>276.86560000000009</v>
      </c>
      <c r="S542" s="1" t="s">
        <v>1003</v>
      </c>
      <c r="T542" s="1" t="s">
        <v>1004</v>
      </c>
      <c r="U542" s="1" t="str">
        <f t="shared" si="44"/>
        <v>NO</v>
      </c>
    </row>
    <row r="543" spans="1:21" x14ac:dyDescent="0.3">
      <c r="A543" s="1" t="s">
        <v>728</v>
      </c>
      <c r="B543" s="1" t="s">
        <v>262</v>
      </c>
      <c r="C543" s="1" t="s">
        <v>263</v>
      </c>
      <c r="D543" s="1" t="s">
        <v>104</v>
      </c>
      <c r="E543" s="1" t="s">
        <v>1556</v>
      </c>
      <c r="F543" s="1" t="s">
        <v>1001</v>
      </c>
      <c r="G543" s="1" t="s">
        <v>1023</v>
      </c>
      <c r="H543" s="1">
        <v>1</v>
      </c>
      <c r="I543" s="1">
        <v>7</v>
      </c>
      <c r="J543" s="1" t="s">
        <v>2778</v>
      </c>
      <c r="K543" s="2">
        <v>132.77000000000001</v>
      </c>
      <c r="L543" s="6">
        <v>8</v>
      </c>
      <c r="M543" s="2">
        <f t="shared" si="40"/>
        <v>132.77000000000001</v>
      </c>
      <c r="N543" s="2">
        <f t="shared" si="41"/>
        <v>10.621600000000001</v>
      </c>
      <c r="O543" s="2">
        <f t="shared" si="42"/>
        <v>122.14840000000001</v>
      </c>
      <c r="P543" s="1">
        <v>182</v>
      </c>
      <c r="Q543" s="2">
        <v>92.94</v>
      </c>
      <c r="R543" s="2">
        <f t="shared" si="43"/>
        <v>29.208400000000012</v>
      </c>
      <c r="S543" s="1" t="s">
        <v>1003</v>
      </c>
      <c r="T543" s="1" t="s">
        <v>1007</v>
      </c>
      <c r="U543" s="1" t="str">
        <f t="shared" si="44"/>
        <v>NO</v>
      </c>
    </row>
    <row r="544" spans="1:21" x14ac:dyDescent="0.3">
      <c r="A544" s="1" t="s">
        <v>729</v>
      </c>
      <c r="B544" s="1" t="s">
        <v>102</v>
      </c>
      <c r="C544" s="1" t="s">
        <v>103</v>
      </c>
      <c r="D544" s="1" t="s">
        <v>104</v>
      </c>
      <c r="E544" s="1" t="s">
        <v>1557</v>
      </c>
      <c r="F544" s="1" t="s">
        <v>1006</v>
      </c>
      <c r="G544" s="1" t="s">
        <v>1010</v>
      </c>
      <c r="H544" s="1">
        <v>15</v>
      </c>
      <c r="I544" s="1">
        <v>2</v>
      </c>
      <c r="J544" s="1" t="s">
        <v>2759</v>
      </c>
      <c r="K544" s="2">
        <v>133.66</v>
      </c>
      <c r="L544" s="6">
        <v>13</v>
      </c>
      <c r="M544" s="2">
        <f t="shared" si="40"/>
        <v>2004.8999999999999</v>
      </c>
      <c r="N544" s="2">
        <f t="shared" si="41"/>
        <v>260.63699999999994</v>
      </c>
      <c r="O544" s="2">
        <f t="shared" si="42"/>
        <v>1744.2629999999999</v>
      </c>
      <c r="P544" s="1">
        <v>188</v>
      </c>
      <c r="Q544" s="2">
        <v>93.56</v>
      </c>
      <c r="R544" s="2">
        <f t="shared" si="43"/>
        <v>340.86299999999983</v>
      </c>
      <c r="S544" s="1" t="s">
        <v>1003</v>
      </c>
      <c r="T544" s="1" t="s">
        <v>1004</v>
      </c>
      <c r="U544" s="1" t="str">
        <f t="shared" si="44"/>
        <v>NO</v>
      </c>
    </row>
    <row r="545" spans="1:21" x14ac:dyDescent="0.3">
      <c r="A545" s="1" t="s">
        <v>730</v>
      </c>
      <c r="B545" s="1" t="s">
        <v>52</v>
      </c>
      <c r="C545" s="1" t="s">
        <v>53</v>
      </c>
      <c r="D545" s="1" t="s">
        <v>47</v>
      </c>
      <c r="E545" s="1" t="s">
        <v>1558</v>
      </c>
      <c r="F545" s="1" t="s">
        <v>1006</v>
      </c>
      <c r="G545" s="1" t="s">
        <v>1002</v>
      </c>
      <c r="H545" s="1">
        <v>2</v>
      </c>
      <c r="I545" s="1">
        <v>4</v>
      </c>
      <c r="J545" s="1" t="s">
        <v>2816</v>
      </c>
      <c r="K545" s="2">
        <v>415.72</v>
      </c>
      <c r="L545" s="6">
        <v>18</v>
      </c>
      <c r="M545" s="2">
        <f t="shared" si="40"/>
        <v>831.44</v>
      </c>
      <c r="N545" s="2">
        <f t="shared" si="41"/>
        <v>149.65920000000003</v>
      </c>
      <c r="O545" s="2">
        <f t="shared" si="42"/>
        <v>681.7808</v>
      </c>
      <c r="P545" s="1">
        <v>74</v>
      </c>
      <c r="Q545" s="2">
        <v>291</v>
      </c>
      <c r="R545" s="2">
        <f t="shared" si="43"/>
        <v>99.780799999999999</v>
      </c>
      <c r="S545" s="1" t="s">
        <v>1016</v>
      </c>
      <c r="T545" s="1" t="s">
        <v>1007</v>
      </c>
      <c r="U545" s="1" t="str">
        <f t="shared" si="44"/>
        <v>YES</v>
      </c>
    </row>
    <row r="546" spans="1:21" x14ac:dyDescent="0.3">
      <c r="A546" s="1" t="s">
        <v>731</v>
      </c>
      <c r="B546" s="1" t="s">
        <v>45</v>
      </c>
      <c r="C546" s="1" t="s">
        <v>46</v>
      </c>
      <c r="D546" s="1" t="s">
        <v>47</v>
      </c>
      <c r="E546" s="1" t="s">
        <v>1559</v>
      </c>
      <c r="F546" s="1" t="s">
        <v>1027</v>
      </c>
      <c r="G546" s="1" t="s">
        <v>1010</v>
      </c>
      <c r="H546" s="1">
        <v>9</v>
      </c>
      <c r="I546" s="1">
        <v>2</v>
      </c>
      <c r="J546" s="1" t="s">
        <v>2621</v>
      </c>
      <c r="K546" s="2">
        <v>198.13</v>
      </c>
      <c r="L546" s="6">
        <v>14</v>
      </c>
      <c r="M546" s="2">
        <f t="shared" si="40"/>
        <v>1783.17</v>
      </c>
      <c r="N546" s="2">
        <f t="shared" si="41"/>
        <v>249.6438</v>
      </c>
      <c r="O546" s="2">
        <f t="shared" si="42"/>
        <v>1533.5262</v>
      </c>
      <c r="P546" s="1">
        <v>78</v>
      </c>
      <c r="Q546" s="2">
        <v>138.69</v>
      </c>
      <c r="R546" s="2">
        <f t="shared" si="43"/>
        <v>285.31619999999998</v>
      </c>
      <c r="S546" s="1" t="s">
        <v>1003</v>
      </c>
      <c r="T546" s="1" t="s">
        <v>1007</v>
      </c>
      <c r="U546" s="1" t="str">
        <f t="shared" si="44"/>
        <v>NO</v>
      </c>
    </row>
    <row r="547" spans="1:21" x14ac:dyDescent="0.3">
      <c r="A547" s="1" t="s">
        <v>732</v>
      </c>
      <c r="B547" s="1" t="s">
        <v>192</v>
      </c>
      <c r="C547" s="1" t="s">
        <v>193</v>
      </c>
      <c r="D547" s="1" t="s">
        <v>85</v>
      </c>
      <c r="E547" s="1" t="s">
        <v>1560</v>
      </c>
      <c r="F547" s="1" t="s">
        <v>1009</v>
      </c>
      <c r="G547" s="1" t="s">
        <v>1010</v>
      </c>
      <c r="H547" s="1">
        <v>1</v>
      </c>
      <c r="I547" s="1">
        <v>1</v>
      </c>
      <c r="J547" s="1" t="s">
        <v>2817</v>
      </c>
      <c r="K547" s="2">
        <v>63.18</v>
      </c>
      <c r="L547" s="6">
        <v>24</v>
      </c>
      <c r="M547" s="2">
        <f t="shared" si="40"/>
        <v>63.18</v>
      </c>
      <c r="N547" s="2">
        <f t="shared" si="41"/>
        <v>15.1632</v>
      </c>
      <c r="O547" s="2">
        <f t="shared" si="42"/>
        <v>48.016800000000003</v>
      </c>
      <c r="P547" s="1">
        <v>211</v>
      </c>
      <c r="Q547" s="2">
        <v>44.23</v>
      </c>
      <c r="R547" s="2">
        <f t="shared" si="43"/>
        <v>3.7868000000000066</v>
      </c>
      <c r="S547" s="1" t="s">
        <v>1003</v>
      </c>
      <c r="T547" s="1" t="s">
        <v>1007</v>
      </c>
      <c r="U547" s="1" t="str">
        <f t="shared" si="44"/>
        <v>NO</v>
      </c>
    </row>
    <row r="548" spans="1:21" x14ac:dyDescent="0.3">
      <c r="A548" s="1" t="s">
        <v>733</v>
      </c>
      <c r="B548" s="1" t="s">
        <v>189</v>
      </c>
      <c r="C548" s="1" t="s">
        <v>190</v>
      </c>
      <c r="D548" s="1" t="s">
        <v>59</v>
      </c>
      <c r="E548" s="1" t="s">
        <v>1561</v>
      </c>
      <c r="F548" s="1" t="s">
        <v>1027</v>
      </c>
      <c r="G548" s="1" t="s">
        <v>1010</v>
      </c>
      <c r="H548" s="1">
        <v>11</v>
      </c>
      <c r="I548" s="1">
        <v>5</v>
      </c>
      <c r="J548" s="1" t="s">
        <v>2655</v>
      </c>
      <c r="K548" s="2">
        <v>380.64</v>
      </c>
      <c r="L548" s="6">
        <v>2</v>
      </c>
      <c r="M548" s="2">
        <f t="shared" si="40"/>
        <v>4187.04</v>
      </c>
      <c r="N548" s="2">
        <f t="shared" si="41"/>
        <v>83.740799999999993</v>
      </c>
      <c r="O548" s="2">
        <f t="shared" si="42"/>
        <v>4103.2992000000004</v>
      </c>
      <c r="P548" s="1">
        <v>127</v>
      </c>
      <c r="Q548" s="2">
        <v>266.45</v>
      </c>
      <c r="R548" s="2">
        <f t="shared" si="43"/>
        <v>1172.3492000000006</v>
      </c>
      <c r="S548" s="1" t="s">
        <v>1016</v>
      </c>
      <c r="T548" s="1" t="s">
        <v>1004</v>
      </c>
      <c r="U548" s="1" t="str">
        <f t="shared" si="44"/>
        <v>YES</v>
      </c>
    </row>
    <row r="549" spans="1:21" x14ac:dyDescent="0.3">
      <c r="A549" s="1" t="s">
        <v>734</v>
      </c>
      <c r="B549" s="1" t="s">
        <v>45</v>
      </c>
      <c r="C549" s="1" t="s">
        <v>46</v>
      </c>
      <c r="D549" s="1" t="s">
        <v>47</v>
      </c>
      <c r="E549" s="1" t="s">
        <v>1562</v>
      </c>
      <c r="F549" s="1" t="s">
        <v>1013</v>
      </c>
      <c r="G549" s="1" t="s">
        <v>1010</v>
      </c>
      <c r="H549" s="1">
        <v>14</v>
      </c>
      <c r="I549" s="1">
        <v>1</v>
      </c>
      <c r="J549" s="1" t="s">
        <v>2523</v>
      </c>
      <c r="K549" s="2">
        <v>155.65</v>
      </c>
      <c r="L549" s="6">
        <v>17</v>
      </c>
      <c r="M549" s="2">
        <f t="shared" si="40"/>
        <v>2179.1</v>
      </c>
      <c r="N549" s="2">
        <f t="shared" si="41"/>
        <v>370.44699999999995</v>
      </c>
      <c r="O549" s="2">
        <f t="shared" si="42"/>
        <v>1808.653</v>
      </c>
      <c r="P549" s="1">
        <v>242</v>
      </c>
      <c r="Q549" s="2">
        <v>108.95</v>
      </c>
      <c r="R549" s="2">
        <f t="shared" si="43"/>
        <v>283.35300000000007</v>
      </c>
      <c r="S549" s="1" t="s">
        <v>1003</v>
      </c>
      <c r="T549" s="1" t="s">
        <v>1004</v>
      </c>
      <c r="U549" s="1" t="str">
        <f t="shared" si="44"/>
        <v>NO</v>
      </c>
    </row>
    <row r="550" spans="1:21" x14ac:dyDescent="0.3">
      <c r="A550" s="1" t="s">
        <v>735</v>
      </c>
      <c r="B550" s="1" t="s">
        <v>166</v>
      </c>
      <c r="C550" s="1" t="s">
        <v>167</v>
      </c>
      <c r="D550" s="1" t="s">
        <v>59</v>
      </c>
      <c r="E550" s="1" t="s">
        <v>1563</v>
      </c>
      <c r="F550" s="1" t="s">
        <v>1009</v>
      </c>
      <c r="G550" s="1" t="s">
        <v>1023</v>
      </c>
      <c r="H550" s="1">
        <v>7</v>
      </c>
      <c r="I550" s="1">
        <v>5</v>
      </c>
      <c r="J550" s="1" t="s">
        <v>2600</v>
      </c>
      <c r="K550" s="2">
        <v>444.83</v>
      </c>
      <c r="L550" s="6">
        <v>0</v>
      </c>
      <c r="M550" s="2">
        <f t="shared" si="40"/>
        <v>3113.81</v>
      </c>
      <c r="N550" s="2">
        <f t="shared" si="41"/>
        <v>0</v>
      </c>
      <c r="O550" s="2">
        <f t="shared" si="42"/>
        <v>3113.81</v>
      </c>
      <c r="P550" s="1">
        <v>205</v>
      </c>
      <c r="Q550" s="2">
        <v>311.38</v>
      </c>
      <c r="R550" s="2">
        <f t="shared" si="43"/>
        <v>934.15000000000009</v>
      </c>
      <c r="S550" s="1" t="s">
        <v>1003</v>
      </c>
      <c r="T550" s="1" t="s">
        <v>1007</v>
      </c>
      <c r="U550" s="1" t="str">
        <f t="shared" si="44"/>
        <v>NO</v>
      </c>
    </row>
    <row r="551" spans="1:21" x14ac:dyDescent="0.3">
      <c r="A551" s="1" t="s">
        <v>736</v>
      </c>
      <c r="B551" s="1" t="s">
        <v>123</v>
      </c>
      <c r="C551" s="1" t="s">
        <v>124</v>
      </c>
      <c r="D551" s="1" t="s">
        <v>47</v>
      </c>
      <c r="E551" s="1" t="s">
        <v>1564</v>
      </c>
      <c r="F551" s="1" t="s">
        <v>1006</v>
      </c>
      <c r="G551" s="1" t="s">
        <v>1002</v>
      </c>
      <c r="H551" s="1">
        <v>3</v>
      </c>
      <c r="I551" s="1">
        <v>1</v>
      </c>
      <c r="J551" s="1" t="s">
        <v>2522</v>
      </c>
      <c r="K551" s="2">
        <v>209.93</v>
      </c>
      <c r="L551" s="6">
        <v>17</v>
      </c>
      <c r="M551" s="2">
        <f t="shared" si="40"/>
        <v>629.79</v>
      </c>
      <c r="N551" s="2">
        <f t="shared" si="41"/>
        <v>107.0643</v>
      </c>
      <c r="O551" s="2">
        <f t="shared" si="42"/>
        <v>522.72569999999996</v>
      </c>
      <c r="P551" s="1">
        <v>107</v>
      </c>
      <c r="Q551" s="2">
        <v>146.94999999999999</v>
      </c>
      <c r="R551" s="2">
        <f t="shared" si="43"/>
        <v>81.875699999999995</v>
      </c>
      <c r="S551" s="1" t="s">
        <v>1016</v>
      </c>
      <c r="T551" s="1" t="s">
        <v>1007</v>
      </c>
      <c r="U551" s="1" t="str">
        <f t="shared" si="44"/>
        <v>YES</v>
      </c>
    </row>
    <row r="552" spans="1:21" x14ac:dyDescent="0.3">
      <c r="A552" s="1" t="s">
        <v>737</v>
      </c>
      <c r="B552" s="1" t="s">
        <v>111</v>
      </c>
      <c r="C552" s="1" t="s">
        <v>112</v>
      </c>
      <c r="D552" s="1" t="s">
        <v>97</v>
      </c>
      <c r="E552" s="1" t="s">
        <v>1565</v>
      </c>
      <c r="F552" s="1" t="s">
        <v>1006</v>
      </c>
      <c r="G552" s="1" t="s">
        <v>1002</v>
      </c>
      <c r="H552" s="1">
        <v>7</v>
      </c>
      <c r="I552" s="1">
        <v>5</v>
      </c>
      <c r="J552" s="1" t="s">
        <v>2818</v>
      </c>
      <c r="K552" s="2">
        <v>93.13</v>
      </c>
      <c r="L552" s="6">
        <v>3</v>
      </c>
      <c r="M552" s="2">
        <f t="shared" si="40"/>
        <v>651.91</v>
      </c>
      <c r="N552" s="2">
        <f t="shared" si="41"/>
        <v>19.557300000000001</v>
      </c>
      <c r="O552" s="2">
        <f t="shared" si="42"/>
        <v>632.35269999999991</v>
      </c>
      <c r="P552" s="1">
        <v>197</v>
      </c>
      <c r="Q552" s="2">
        <v>65.19</v>
      </c>
      <c r="R552" s="2">
        <f t="shared" si="43"/>
        <v>176.02269999999993</v>
      </c>
      <c r="S552" s="1" t="s">
        <v>1011</v>
      </c>
      <c r="T552" s="1" t="s">
        <v>1004</v>
      </c>
      <c r="U552" s="1" t="str">
        <f t="shared" si="44"/>
        <v>NO</v>
      </c>
    </row>
    <row r="553" spans="1:21" x14ac:dyDescent="0.3">
      <c r="A553" s="1" t="s">
        <v>738</v>
      </c>
      <c r="B553" s="1" t="s">
        <v>102</v>
      </c>
      <c r="C553" s="1" t="s">
        <v>103</v>
      </c>
      <c r="D553" s="1" t="s">
        <v>104</v>
      </c>
      <c r="E553" s="1" t="s">
        <v>1566</v>
      </c>
      <c r="F553" s="1" t="s">
        <v>1020</v>
      </c>
      <c r="G553" s="1" t="s">
        <v>1023</v>
      </c>
      <c r="H553" s="1">
        <v>6</v>
      </c>
      <c r="I553" s="1">
        <v>1</v>
      </c>
      <c r="J553" s="1" t="s">
        <v>2641</v>
      </c>
      <c r="K553" s="2">
        <v>180.08</v>
      </c>
      <c r="L553" s="6">
        <v>16</v>
      </c>
      <c r="M553" s="2">
        <f t="shared" si="40"/>
        <v>1080.48</v>
      </c>
      <c r="N553" s="2">
        <f t="shared" si="41"/>
        <v>172.8768</v>
      </c>
      <c r="O553" s="2">
        <f t="shared" si="42"/>
        <v>907.60320000000002</v>
      </c>
      <c r="P553" s="1">
        <v>65</v>
      </c>
      <c r="Q553" s="2">
        <v>126.06</v>
      </c>
      <c r="R553" s="2">
        <f t="shared" si="43"/>
        <v>151.2432</v>
      </c>
      <c r="S553" s="1" t="s">
        <v>1016</v>
      </c>
      <c r="T553" s="1" t="s">
        <v>1004</v>
      </c>
      <c r="U553" s="1" t="str">
        <f t="shared" si="44"/>
        <v>YES</v>
      </c>
    </row>
    <row r="554" spans="1:21" x14ac:dyDescent="0.3">
      <c r="A554" s="1" t="s">
        <v>739</v>
      </c>
      <c r="B554" s="1" t="s">
        <v>189</v>
      </c>
      <c r="C554" s="1" t="s">
        <v>190</v>
      </c>
      <c r="D554" s="1" t="s">
        <v>59</v>
      </c>
      <c r="E554" s="1" t="s">
        <v>1567</v>
      </c>
      <c r="F554" s="1" t="s">
        <v>1020</v>
      </c>
      <c r="G554" s="1" t="s">
        <v>1010</v>
      </c>
      <c r="H554" s="1">
        <v>11</v>
      </c>
      <c r="I554" s="1">
        <v>3</v>
      </c>
      <c r="J554" s="1" t="s">
        <v>2527</v>
      </c>
      <c r="K554" s="2">
        <v>440.53</v>
      </c>
      <c r="L554" s="6">
        <v>0</v>
      </c>
      <c r="M554" s="2">
        <f t="shared" si="40"/>
        <v>4845.83</v>
      </c>
      <c r="N554" s="2">
        <f t="shared" si="41"/>
        <v>0</v>
      </c>
      <c r="O554" s="2">
        <f t="shared" si="42"/>
        <v>4845.83</v>
      </c>
      <c r="P554" s="1">
        <v>263</v>
      </c>
      <c r="Q554" s="2">
        <v>308.37</v>
      </c>
      <c r="R554" s="2">
        <f t="shared" si="43"/>
        <v>1453.7599999999998</v>
      </c>
      <c r="S554" s="1" t="s">
        <v>1011</v>
      </c>
      <c r="T554" s="1" t="s">
        <v>1007</v>
      </c>
      <c r="U554" s="1" t="str">
        <f t="shared" si="44"/>
        <v>NO</v>
      </c>
    </row>
    <row r="555" spans="1:21" x14ac:dyDescent="0.3">
      <c r="A555" s="1" t="s">
        <v>740</v>
      </c>
      <c r="B555" s="1" t="s">
        <v>143</v>
      </c>
      <c r="C555" s="1" t="s">
        <v>144</v>
      </c>
      <c r="D555" s="1" t="s">
        <v>47</v>
      </c>
      <c r="E555" s="1" t="s">
        <v>1568</v>
      </c>
      <c r="F555" s="1" t="s">
        <v>1001</v>
      </c>
      <c r="G555" s="1" t="s">
        <v>1002</v>
      </c>
      <c r="H555" s="1">
        <v>7</v>
      </c>
      <c r="I555" s="1">
        <v>1</v>
      </c>
      <c r="J555" s="1" t="s">
        <v>2819</v>
      </c>
      <c r="K555" s="2">
        <v>215.32</v>
      </c>
      <c r="L555" s="6">
        <v>3</v>
      </c>
      <c r="M555" s="2">
        <f t="shared" si="40"/>
        <v>1507.24</v>
      </c>
      <c r="N555" s="2">
        <f t="shared" si="41"/>
        <v>45.217200000000005</v>
      </c>
      <c r="O555" s="2">
        <f t="shared" si="42"/>
        <v>1462.0228</v>
      </c>
      <c r="P555" s="1">
        <v>163</v>
      </c>
      <c r="Q555" s="2">
        <v>150.72</v>
      </c>
      <c r="R555" s="2">
        <f t="shared" si="43"/>
        <v>406.9828</v>
      </c>
      <c r="S555" s="1" t="s">
        <v>1003</v>
      </c>
      <c r="T555" s="1" t="s">
        <v>1004</v>
      </c>
      <c r="U555" s="1" t="str">
        <f t="shared" si="44"/>
        <v>NO</v>
      </c>
    </row>
    <row r="556" spans="1:21" x14ac:dyDescent="0.3">
      <c r="A556" s="1" t="s">
        <v>741</v>
      </c>
      <c r="B556" s="1" t="s">
        <v>77</v>
      </c>
      <c r="C556" s="1" t="s">
        <v>78</v>
      </c>
      <c r="D556" s="1" t="s">
        <v>47</v>
      </c>
      <c r="E556" s="1" t="s">
        <v>1569</v>
      </c>
      <c r="F556" s="1" t="s">
        <v>1009</v>
      </c>
      <c r="G556" s="1" t="s">
        <v>1010</v>
      </c>
      <c r="H556" s="1">
        <v>6</v>
      </c>
      <c r="I556" s="1">
        <v>3</v>
      </c>
      <c r="J556" s="1" t="s">
        <v>2820</v>
      </c>
      <c r="K556" s="2">
        <v>41.42</v>
      </c>
      <c r="L556" s="6">
        <v>16</v>
      </c>
      <c r="M556" s="2">
        <f t="shared" si="40"/>
        <v>248.52</v>
      </c>
      <c r="N556" s="2">
        <f t="shared" si="41"/>
        <v>39.763200000000005</v>
      </c>
      <c r="O556" s="2">
        <f t="shared" si="42"/>
        <v>208.7568</v>
      </c>
      <c r="P556" s="1">
        <v>219</v>
      </c>
      <c r="Q556" s="2">
        <v>28.99</v>
      </c>
      <c r="R556" s="2">
        <f t="shared" si="43"/>
        <v>34.816800000000001</v>
      </c>
      <c r="S556" s="1" t="s">
        <v>1016</v>
      </c>
      <c r="T556" s="1" t="s">
        <v>1007</v>
      </c>
      <c r="U556" s="1" t="str">
        <f t="shared" si="44"/>
        <v>YES</v>
      </c>
    </row>
    <row r="557" spans="1:21" x14ac:dyDescent="0.3">
      <c r="A557" s="1" t="s">
        <v>742</v>
      </c>
      <c r="B557" s="1" t="s">
        <v>197</v>
      </c>
      <c r="C557" s="1" t="s">
        <v>198</v>
      </c>
      <c r="D557" s="1" t="s">
        <v>104</v>
      </c>
      <c r="E557" s="1" t="s">
        <v>1570</v>
      </c>
      <c r="F557" s="1" t="s">
        <v>1006</v>
      </c>
      <c r="G557" s="1" t="s">
        <v>1023</v>
      </c>
      <c r="H557" s="1">
        <v>6</v>
      </c>
      <c r="I557" s="1">
        <v>5</v>
      </c>
      <c r="J557" s="1" t="s">
        <v>2684</v>
      </c>
      <c r="K557" s="2">
        <v>209.46</v>
      </c>
      <c r="L557" s="6">
        <v>19</v>
      </c>
      <c r="M557" s="2">
        <f t="shared" si="40"/>
        <v>1256.76</v>
      </c>
      <c r="N557" s="2">
        <f t="shared" si="41"/>
        <v>238.78439999999998</v>
      </c>
      <c r="O557" s="2">
        <f t="shared" si="42"/>
        <v>1017.9756</v>
      </c>
      <c r="P557" s="1">
        <v>94</v>
      </c>
      <c r="Q557" s="2">
        <v>146.62</v>
      </c>
      <c r="R557" s="2">
        <f t="shared" si="43"/>
        <v>138.25559999999996</v>
      </c>
      <c r="S557" s="1" t="s">
        <v>1003</v>
      </c>
      <c r="T557" s="1" t="s">
        <v>1007</v>
      </c>
      <c r="U557" s="1" t="str">
        <f t="shared" si="44"/>
        <v>NO</v>
      </c>
    </row>
    <row r="558" spans="1:21" x14ac:dyDescent="0.3">
      <c r="A558" s="1" t="s">
        <v>743</v>
      </c>
      <c r="B558" s="1" t="s">
        <v>126</v>
      </c>
      <c r="C558" s="1" t="s">
        <v>127</v>
      </c>
      <c r="D558" s="1" t="s">
        <v>85</v>
      </c>
      <c r="E558" s="1" t="s">
        <v>1571</v>
      </c>
      <c r="F558" s="1" t="s">
        <v>1009</v>
      </c>
      <c r="G558" s="1" t="s">
        <v>1010</v>
      </c>
      <c r="H558" s="1">
        <v>6</v>
      </c>
      <c r="I558" s="1">
        <v>4</v>
      </c>
      <c r="J558" s="1" t="s">
        <v>2821</v>
      </c>
      <c r="K558" s="2">
        <v>262.04000000000002</v>
      </c>
      <c r="L558" s="6">
        <v>24</v>
      </c>
      <c r="M558" s="2">
        <f t="shared" si="40"/>
        <v>1572.2400000000002</v>
      </c>
      <c r="N558" s="2">
        <f t="shared" si="41"/>
        <v>377.33760000000007</v>
      </c>
      <c r="O558" s="2">
        <f t="shared" si="42"/>
        <v>1194.9024000000002</v>
      </c>
      <c r="P558" s="1">
        <v>108</v>
      </c>
      <c r="Q558" s="2">
        <v>183.43</v>
      </c>
      <c r="R558" s="2">
        <f t="shared" si="43"/>
        <v>94.322400000000243</v>
      </c>
      <c r="S558" s="1" t="s">
        <v>1011</v>
      </c>
      <c r="T558" s="1" t="s">
        <v>1007</v>
      </c>
      <c r="U558" s="1" t="str">
        <f t="shared" si="44"/>
        <v>NO</v>
      </c>
    </row>
    <row r="559" spans="1:21" x14ac:dyDescent="0.3">
      <c r="A559" s="1" t="s">
        <v>744</v>
      </c>
      <c r="B559" s="1" t="s">
        <v>143</v>
      </c>
      <c r="C559" s="1" t="s">
        <v>144</v>
      </c>
      <c r="D559" s="1" t="s">
        <v>47</v>
      </c>
      <c r="E559" s="1" t="s">
        <v>1572</v>
      </c>
      <c r="F559" s="1" t="s">
        <v>1009</v>
      </c>
      <c r="G559" s="1" t="s">
        <v>1002</v>
      </c>
      <c r="H559" s="1">
        <v>12</v>
      </c>
      <c r="I559" s="1">
        <v>2</v>
      </c>
      <c r="J559" s="1" t="s">
        <v>2752</v>
      </c>
      <c r="K559" s="2">
        <v>319.64</v>
      </c>
      <c r="L559" s="6">
        <v>8</v>
      </c>
      <c r="M559" s="2">
        <f t="shared" si="40"/>
        <v>3835.68</v>
      </c>
      <c r="N559" s="2">
        <f t="shared" si="41"/>
        <v>306.8544</v>
      </c>
      <c r="O559" s="2">
        <f t="shared" si="42"/>
        <v>3528.8255999999997</v>
      </c>
      <c r="P559" s="1">
        <v>90</v>
      </c>
      <c r="Q559" s="2">
        <v>223.75</v>
      </c>
      <c r="R559" s="2">
        <f t="shared" si="43"/>
        <v>843.82559999999967</v>
      </c>
      <c r="S559" s="1" t="s">
        <v>1003</v>
      </c>
      <c r="T559" s="1" t="s">
        <v>1007</v>
      </c>
      <c r="U559" s="1" t="str">
        <f t="shared" si="44"/>
        <v>NO</v>
      </c>
    </row>
    <row r="560" spans="1:21" x14ac:dyDescent="0.3">
      <c r="A560" s="1" t="s">
        <v>745</v>
      </c>
      <c r="B560" s="1" t="s">
        <v>262</v>
      </c>
      <c r="C560" s="1" t="s">
        <v>263</v>
      </c>
      <c r="D560" s="1" t="s">
        <v>104</v>
      </c>
      <c r="E560" s="1" t="s">
        <v>1573</v>
      </c>
      <c r="F560" s="1" t="s">
        <v>1020</v>
      </c>
      <c r="G560" s="1" t="s">
        <v>1010</v>
      </c>
      <c r="H560" s="1">
        <v>7</v>
      </c>
      <c r="I560" s="1">
        <v>6</v>
      </c>
      <c r="J560" s="1" t="s">
        <v>2822</v>
      </c>
      <c r="K560" s="2">
        <v>408.71</v>
      </c>
      <c r="L560" s="6">
        <v>25</v>
      </c>
      <c r="M560" s="2">
        <f t="shared" si="40"/>
        <v>2860.97</v>
      </c>
      <c r="N560" s="2">
        <f t="shared" si="41"/>
        <v>715.24249999999995</v>
      </c>
      <c r="O560" s="2">
        <f t="shared" si="42"/>
        <v>2145.7275</v>
      </c>
      <c r="P560" s="1">
        <v>123</v>
      </c>
      <c r="Q560" s="2">
        <v>286.10000000000002</v>
      </c>
      <c r="R560" s="2">
        <f t="shared" si="43"/>
        <v>143.02749999999969</v>
      </c>
      <c r="S560" s="1" t="s">
        <v>1016</v>
      </c>
      <c r="T560" s="1" t="s">
        <v>1004</v>
      </c>
      <c r="U560" s="1" t="str">
        <f t="shared" si="44"/>
        <v>YES</v>
      </c>
    </row>
    <row r="561" spans="1:21" x14ac:dyDescent="0.3">
      <c r="A561" s="1" t="s">
        <v>746</v>
      </c>
      <c r="B561" s="1" t="s">
        <v>69</v>
      </c>
      <c r="C561" s="1" t="s">
        <v>70</v>
      </c>
      <c r="D561" s="1" t="s">
        <v>59</v>
      </c>
      <c r="E561" s="1" t="s">
        <v>1574</v>
      </c>
      <c r="F561" s="1" t="s">
        <v>1009</v>
      </c>
      <c r="G561" s="1" t="s">
        <v>1023</v>
      </c>
      <c r="H561" s="1">
        <v>14</v>
      </c>
      <c r="I561" s="1">
        <v>7</v>
      </c>
      <c r="J561" s="1" t="s">
        <v>2788</v>
      </c>
      <c r="K561" s="2">
        <v>413.79</v>
      </c>
      <c r="L561" s="6">
        <v>25</v>
      </c>
      <c r="M561" s="2">
        <f t="shared" si="40"/>
        <v>5793.06</v>
      </c>
      <c r="N561" s="2">
        <f t="shared" si="41"/>
        <v>1448.2650000000001</v>
      </c>
      <c r="O561" s="2">
        <f t="shared" si="42"/>
        <v>4344.7950000000001</v>
      </c>
      <c r="P561" s="1">
        <v>209</v>
      </c>
      <c r="Q561" s="2">
        <v>289.64999999999998</v>
      </c>
      <c r="R561" s="2">
        <f t="shared" si="43"/>
        <v>289.69500000000062</v>
      </c>
      <c r="S561" s="1" t="s">
        <v>1016</v>
      </c>
      <c r="T561" s="1" t="s">
        <v>1004</v>
      </c>
      <c r="U561" s="1" t="str">
        <f t="shared" si="44"/>
        <v>YES</v>
      </c>
    </row>
    <row r="562" spans="1:21" x14ac:dyDescent="0.3">
      <c r="A562" s="1" t="s">
        <v>747</v>
      </c>
      <c r="B562" s="1" t="s">
        <v>107</v>
      </c>
      <c r="C562" s="1" t="s">
        <v>108</v>
      </c>
      <c r="D562" s="1" t="s">
        <v>39</v>
      </c>
      <c r="E562" s="1" t="s">
        <v>1575</v>
      </c>
      <c r="F562" s="1" t="s">
        <v>1013</v>
      </c>
      <c r="G562" s="1" t="s">
        <v>1010</v>
      </c>
      <c r="H562" s="1">
        <v>6</v>
      </c>
      <c r="I562" s="1">
        <v>2</v>
      </c>
      <c r="J562" s="1" t="s">
        <v>2652</v>
      </c>
      <c r="K562" s="2">
        <v>213.97</v>
      </c>
      <c r="L562" s="6">
        <v>10</v>
      </c>
      <c r="M562" s="2">
        <f t="shared" si="40"/>
        <v>1283.82</v>
      </c>
      <c r="N562" s="2">
        <f t="shared" si="41"/>
        <v>128.38199999999998</v>
      </c>
      <c r="O562" s="2">
        <f t="shared" si="42"/>
        <v>1155.4379999999999</v>
      </c>
      <c r="P562" s="1">
        <v>146</v>
      </c>
      <c r="Q562" s="2">
        <v>149.78</v>
      </c>
      <c r="R562" s="2">
        <f t="shared" si="43"/>
        <v>256.75799999999981</v>
      </c>
      <c r="S562" s="1" t="s">
        <v>1016</v>
      </c>
      <c r="T562" s="1" t="s">
        <v>1004</v>
      </c>
      <c r="U562" s="1" t="str">
        <f t="shared" si="44"/>
        <v>YES</v>
      </c>
    </row>
    <row r="563" spans="1:21" x14ac:dyDescent="0.3">
      <c r="A563" s="1" t="s">
        <v>748</v>
      </c>
      <c r="B563" s="1" t="s">
        <v>123</v>
      </c>
      <c r="C563" s="1" t="s">
        <v>124</v>
      </c>
      <c r="D563" s="1" t="s">
        <v>47</v>
      </c>
      <c r="E563" s="1" t="s">
        <v>1576</v>
      </c>
      <c r="F563" s="1" t="s">
        <v>1001</v>
      </c>
      <c r="G563" s="1" t="s">
        <v>1002</v>
      </c>
      <c r="H563" s="1">
        <v>2</v>
      </c>
      <c r="I563" s="1">
        <v>2</v>
      </c>
      <c r="J563" s="1" t="s">
        <v>2651</v>
      </c>
      <c r="K563" s="2">
        <v>317.10000000000002</v>
      </c>
      <c r="L563" s="6">
        <v>9</v>
      </c>
      <c r="M563" s="2">
        <f t="shared" si="40"/>
        <v>634.20000000000005</v>
      </c>
      <c r="N563" s="2">
        <f t="shared" si="41"/>
        <v>57.078000000000003</v>
      </c>
      <c r="O563" s="2">
        <f t="shared" si="42"/>
        <v>577.12200000000007</v>
      </c>
      <c r="P563" s="1">
        <v>279</v>
      </c>
      <c r="Q563" s="2">
        <v>221.97</v>
      </c>
      <c r="R563" s="2">
        <f t="shared" si="43"/>
        <v>133.18200000000007</v>
      </c>
      <c r="S563" s="1" t="s">
        <v>1011</v>
      </c>
      <c r="T563" s="1" t="s">
        <v>1007</v>
      </c>
      <c r="U563" s="1" t="str">
        <f t="shared" si="44"/>
        <v>NO</v>
      </c>
    </row>
    <row r="564" spans="1:21" x14ac:dyDescent="0.3">
      <c r="A564" s="1" t="s">
        <v>749</v>
      </c>
      <c r="B564" s="1" t="s">
        <v>176</v>
      </c>
      <c r="C564" s="1" t="s">
        <v>177</v>
      </c>
      <c r="D564" s="1" t="s">
        <v>39</v>
      </c>
      <c r="E564" s="1" t="s">
        <v>1577</v>
      </c>
      <c r="F564" s="1" t="s">
        <v>1015</v>
      </c>
      <c r="G564" s="1" t="s">
        <v>1023</v>
      </c>
      <c r="H564" s="1">
        <v>2</v>
      </c>
      <c r="I564" s="1">
        <v>4</v>
      </c>
      <c r="J564" s="1" t="s">
        <v>2823</v>
      </c>
      <c r="K564" s="2">
        <v>290.14999999999998</v>
      </c>
      <c r="L564" s="6">
        <v>19</v>
      </c>
      <c r="M564" s="2">
        <f t="shared" si="40"/>
        <v>580.29999999999995</v>
      </c>
      <c r="N564" s="2">
        <f t="shared" si="41"/>
        <v>110.25699999999999</v>
      </c>
      <c r="O564" s="2">
        <f t="shared" si="42"/>
        <v>470.04299999999995</v>
      </c>
      <c r="P564" s="1">
        <v>211</v>
      </c>
      <c r="Q564" s="2">
        <v>203.1</v>
      </c>
      <c r="R564" s="2">
        <f t="shared" si="43"/>
        <v>63.842999999999961</v>
      </c>
      <c r="S564" s="1" t="s">
        <v>1011</v>
      </c>
      <c r="T564" s="1" t="s">
        <v>1007</v>
      </c>
      <c r="U564" s="1" t="str">
        <f t="shared" si="44"/>
        <v>NO</v>
      </c>
    </row>
    <row r="565" spans="1:21" x14ac:dyDescent="0.3">
      <c r="A565" s="1" t="s">
        <v>750</v>
      </c>
      <c r="B565" s="1" t="s">
        <v>69</v>
      </c>
      <c r="C565" s="1" t="s">
        <v>70</v>
      </c>
      <c r="D565" s="1" t="s">
        <v>59</v>
      </c>
      <c r="E565" s="1" t="s">
        <v>1578</v>
      </c>
      <c r="F565" s="1" t="s">
        <v>1001</v>
      </c>
      <c r="G565" s="1" t="s">
        <v>1010</v>
      </c>
      <c r="H565" s="1">
        <v>11</v>
      </c>
      <c r="I565" s="1">
        <v>7</v>
      </c>
      <c r="J565" s="1" t="s">
        <v>2659</v>
      </c>
      <c r="K565" s="2">
        <v>63.52</v>
      </c>
      <c r="L565" s="6">
        <v>20</v>
      </c>
      <c r="M565" s="2">
        <f t="shared" si="40"/>
        <v>698.72</v>
      </c>
      <c r="N565" s="2">
        <f t="shared" si="41"/>
        <v>139.74400000000003</v>
      </c>
      <c r="O565" s="2">
        <f t="shared" si="42"/>
        <v>558.976</v>
      </c>
      <c r="P565" s="1">
        <v>83</v>
      </c>
      <c r="Q565" s="2">
        <v>44.46</v>
      </c>
      <c r="R565" s="2">
        <f t="shared" si="43"/>
        <v>69.915999999999997</v>
      </c>
      <c r="S565" s="1" t="s">
        <v>1016</v>
      </c>
      <c r="T565" s="1" t="s">
        <v>1004</v>
      </c>
      <c r="U565" s="1" t="str">
        <f t="shared" si="44"/>
        <v>YES</v>
      </c>
    </row>
    <row r="566" spans="1:21" x14ac:dyDescent="0.3">
      <c r="A566" s="1" t="s">
        <v>751</v>
      </c>
      <c r="B566" s="1" t="s">
        <v>63</v>
      </c>
      <c r="C566" s="1" t="s">
        <v>64</v>
      </c>
      <c r="D566" s="1" t="s">
        <v>28</v>
      </c>
      <c r="E566" s="1" t="s">
        <v>1579</v>
      </c>
      <c r="F566" s="1" t="s">
        <v>1013</v>
      </c>
      <c r="G566" s="1" t="s">
        <v>1002</v>
      </c>
      <c r="H566" s="1">
        <v>3</v>
      </c>
      <c r="I566" s="1">
        <v>3</v>
      </c>
      <c r="J566" s="1" t="s">
        <v>2665</v>
      </c>
      <c r="K566" s="2">
        <v>335.18</v>
      </c>
      <c r="L566" s="6">
        <v>4</v>
      </c>
      <c r="M566" s="2">
        <f t="shared" si="40"/>
        <v>1005.54</v>
      </c>
      <c r="N566" s="2">
        <f t="shared" si="41"/>
        <v>40.221599999999995</v>
      </c>
      <c r="O566" s="2">
        <f t="shared" si="42"/>
        <v>965.3184</v>
      </c>
      <c r="P566" s="1">
        <v>116</v>
      </c>
      <c r="Q566" s="2">
        <v>234.63</v>
      </c>
      <c r="R566" s="2">
        <f t="shared" si="43"/>
        <v>261.42840000000001</v>
      </c>
      <c r="S566" s="1" t="s">
        <v>1016</v>
      </c>
      <c r="T566" s="1" t="s">
        <v>1004</v>
      </c>
      <c r="U566" s="1" t="str">
        <f t="shared" si="44"/>
        <v>YES</v>
      </c>
    </row>
    <row r="567" spans="1:21" x14ac:dyDescent="0.3">
      <c r="A567" s="1" t="s">
        <v>752</v>
      </c>
      <c r="B567" s="1" t="s">
        <v>111</v>
      </c>
      <c r="C567" s="1" t="s">
        <v>112</v>
      </c>
      <c r="D567" s="1" t="s">
        <v>97</v>
      </c>
      <c r="E567" s="1" t="s">
        <v>1580</v>
      </c>
      <c r="F567" s="1" t="s">
        <v>1006</v>
      </c>
      <c r="G567" s="1" t="s">
        <v>1010</v>
      </c>
      <c r="H567" s="1">
        <v>12</v>
      </c>
      <c r="I567" s="1">
        <v>6</v>
      </c>
      <c r="J567" s="1" t="s">
        <v>2694</v>
      </c>
      <c r="K567" s="2">
        <v>52.21</v>
      </c>
      <c r="L567" s="6">
        <v>15</v>
      </c>
      <c r="M567" s="2">
        <f t="shared" si="40"/>
        <v>626.52</v>
      </c>
      <c r="N567" s="2">
        <f t="shared" si="41"/>
        <v>93.977999999999994</v>
      </c>
      <c r="O567" s="2">
        <f t="shared" si="42"/>
        <v>532.54200000000003</v>
      </c>
      <c r="P567" s="1">
        <v>84</v>
      </c>
      <c r="Q567" s="2">
        <v>36.549999999999997</v>
      </c>
      <c r="R567" s="2">
        <f t="shared" si="43"/>
        <v>93.942000000000064</v>
      </c>
      <c r="S567" s="1" t="s">
        <v>1016</v>
      </c>
      <c r="T567" s="1" t="s">
        <v>1007</v>
      </c>
      <c r="U567" s="1" t="str">
        <f t="shared" si="44"/>
        <v>YES</v>
      </c>
    </row>
    <row r="568" spans="1:21" x14ac:dyDescent="0.3">
      <c r="A568" s="1" t="s">
        <v>753</v>
      </c>
      <c r="B568" s="1" t="s">
        <v>72</v>
      </c>
      <c r="C568" s="1" t="s">
        <v>73</v>
      </c>
      <c r="D568" s="1" t="s">
        <v>47</v>
      </c>
      <c r="E568" s="1" t="s">
        <v>1581</v>
      </c>
      <c r="F568" s="1" t="s">
        <v>1009</v>
      </c>
      <c r="G568" s="1" t="s">
        <v>1010</v>
      </c>
      <c r="H568" s="1">
        <v>7</v>
      </c>
      <c r="I568" s="1">
        <v>4</v>
      </c>
      <c r="J568" s="1" t="s">
        <v>2824</v>
      </c>
      <c r="K568" s="2">
        <v>224.49</v>
      </c>
      <c r="L568" s="6">
        <v>19</v>
      </c>
      <c r="M568" s="2">
        <f t="shared" si="40"/>
        <v>1571.43</v>
      </c>
      <c r="N568" s="2">
        <f t="shared" si="41"/>
        <v>298.57170000000002</v>
      </c>
      <c r="O568" s="2">
        <f t="shared" si="42"/>
        <v>1272.8583000000001</v>
      </c>
      <c r="P568" s="1">
        <v>277</v>
      </c>
      <c r="Q568" s="2">
        <v>157.13999999999999</v>
      </c>
      <c r="R568" s="2">
        <f t="shared" si="43"/>
        <v>172.87830000000008</v>
      </c>
      <c r="S568" s="1" t="s">
        <v>1016</v>
      </c>
      <c r="T568" s="1" t="s">
        <v>1004</v>
      </c>
      <c r="U568" s="1" t="str">
        <f t="shared" si="44"/>
        <v>YES</v>
      </c>
    </row>
    <row r="569" spans="1:21" x14ac:dyDescent="0.3">
      <c r="A569" s="1" t="s">
        <v>754</v>
      </c>
      <c r="B569" s="1" t="s">
        <v>166</v>
      </c>
      <c r="C569" s="1" t="s">
        <v>167</v>
      </c>
      <c r="D569" s="1" t="s">
        <v>59</v>
      </c>
      <c r="E569" s="1" t="s">
        <v>1582</v>
      </c>
      <c r="F569" s="1" t="s">
        <v>1009</v>
      </c>
      <c r="G569" s="1" t="s">
        <v>1010</v>
      </c>
      <c r="H569" s="1">
        <v>12</v>
      </c>
      <c r="I569" s="1">
        <v>7</v>
      </c>
      <c r="J569" s="1" t="s">
        <v>2648</v>
      </c>
      <c r="K569" s="2">
        <v>393.18</v>
      </c>
      <c r="L569" s="6">
        <v>15</v>
      </c>
      <c r="M569" s="2">
        <f t="shared" si="40"/>
        <v>4718.16</v>
      </c>
      <c r="N569" s="2">
        <f t="shared" si="41"/>
        <v>707.72399999999993</v>
      </c>
      <c r="O569" s="2">
        <f t="shared" si="42"/>
        <v>4010.4359999999997</v>
      </c>
      <c r="P569" s="1">
        <v>145</v>
      </c>
      <c r="Q569" s="2">
        <v>275.23</v>
      </c>
      <c r="R569" s="2">
        <f t="shared" si="43"/>
        <v>707.67599999999948</v>
      </c>
      <c r="S569" s="1" t="s">
        <v>1003</v>
      </c>
      <c r="T569" s="1" t="s">
        <v>1007</v>
      </c>
      <c r="U569" s="1" t="str">
        <f t="shared" si="44"/>
        <v>NO</v>
      </c>
    </row>
    <row r="570" spans="1:21" x14ac:dyDescent="0.3">
      <c r="A570" s="1" t="s">
        <v>755</v>
      </c>
      <c r="B570" s="1" t="s">
        <v>102</v>
      </c>
      <c r="C570" s="1" t="s">
        <v>103</v>
      </c>
      <c r="D570" s="1" t="s">
        <v>104</v>
      </c>
      <c r="E570" s="1" t="s">
        <v>1583</v>
      </c>
      <c r="F570" s="1" t="s">
        <v>1020</v>
      </c>
      <c r="G570" s="1" t="s">
        <v>1023</v>
      </c>
      <c r="H570" s="1">
        <v>12</v>
      </c>
      <c r="I570" s="1">
        <v>2</v>
      </c>
      <c r="J570" s="1" t="s">
        <v>2745</v>
      </c>
      <c r="K570" s="2">
        <v>497.67</v>
      </c>
      <c r="L570" s="6">
        <v>8</v>
      </c>
      <c r="M570" s="2">
        <f t="shared" si="40"/>
        <v>5972.04</v>
      </c>
      <c r="N570" s="2">
        <f t="shared" si="41"/>
        <v>477.76319999999998</v>
      </c>
      <c r="O570" s="2">
        <f t="shared" si="42"/>
        <v>5494.2767999999996</v>
      </c>
      <c r="P570" s="1">
        <v>128</v>
      </c>
      <c r="Q570" s="2">
        <v>348.37</v>
      </c>
      <c r="R570" s="2">
        <f t="shared" si="43"/>
        <v>1313.8367999999991</v>
      </c>
      <c r="S570" s="1" t="s">
        <v>1016</v>
      </c>
      <c r="T570" s="1" t="s">
        <v>1007</v>
      </c>
      <c r="U570" s="1" t="str">
        <f t="shared" si="44"/>
        <v>YES</v>
      </c>
    </row>
    <row r="571" spans="1:21" x14ac:dyDescent="0.3">
      <c r="A571" s="1" t="s">
        <v>756</v>
      </c>
      <c r="B571" s="1" t="s">
        <v>37</v>
      </c>
      <c r="C571" s="1" t="s">
        <v>38</v>
      </c>
      <c r="D571" s="1" t="s">
        <v>39</v>
      </c>
      <c r="E571" s="1" t="s">
        <v>1584</v>
      </c>
      <c r="F571" s="1" t="s">
        <v>1020</v>
      </c>
      <c r="G571" s="1" t="s">
        <v>1002</v>
      </c>
      <c r="H571" s="1">
        <v>8</v>
      </c>
      <c r="I571" s="1">
        <v>4</v>
      </c>
      <c r="J571" s="1" t="s">
        <v>2618</v>
      </c>
      <c r="K571" s="2">
        <v>112.12</v>
      </c>
      <c r="L571" s="6">
        <v>4</v>
      </c>
      <c r="M571" s="2">
        <f t="shared" si="40"/>
        <v>896.96</v>
      </c>
      <c r="N571" s="2">
        <f t="shared" si="41"/>
        <v>35.878399999999999</v>
      </c>
      <c r="O571" s="2">
        <f t="shared" si="42"/>
        <v>861.08159999999998</v>
      </c>
      <c r="P571" s="1">
        <v>217</v>
      </c>
      <c r="Q571" s="2">
        <v>78.48</v>
      </c>
      <c r="R571" s="2">
        <f t="shared" si="43"/>
        <v>233.24159999999995</v>
      </c>
      <c r="S571" s="1" t="s">
        <v>1011</v>
      </c>
      <c r="T571" s="1" t="s">
        <v>1004</v>
      </c>
      <c r="U571" s="1" t="str">
        <f t="shared" si="44"/>
        <v>NO</v>
      </c>
    </row>
    <row r="572" spans="1:21" x14ac:dyDescent="0.3">
      <c r="A572" s="1" t="s">
        <v>757</v>
      </c>
      <c r="B572" s="1" t="s">
        <v>176</v>
      </c>
      <c r="C572" s="1" t="s">
        <v>177</v>
      </c>
      <c r="D572" s="1" t="s">
        <v>39</v>
      </c>
      <c r="E572" s="1" t="s">
        <v>1585</v>
      </c>
      <c r="F572" s="1" t="s">
        <v>1009</v>
      </c>
      <c r="G572" s="1" t="s">
        <v>1002</v>
      </c>
      <c r="H572" s="1">
        <v>9</v>
      </c>
      <c r="I572" s="1">
        <v>7</v>
      </c>
      <c r="J572" s="1" t="s">
        <v>2734</v>
      </c>
      <c r="K572" s="2">
        <v>216.92</v>
      </c>
      <c r="L572" s="6">
        <v>24</v>
      </c>
      <c r="M572" s="2">
        <f t="shared" si="40"/>
        <v>1952.28</v>
      </c>
      <c r="N572" s="2">
        <f t="shared" si="41"/>
        <v>468.54720000000003</v>
      </c>
      <c r="O572" s="2">
        <f t="shared" si="42"/>
        <v>1483.7328</v>
      </c>
      <c r="P572" s="1">
        <v>246</v>
      </c>
      <c r="Q572" s="2">
        <v>151.84</v>
      </c>
      <c r="R572" s="2">
        <f t="shared" si="43"/>
        <v>117.17280000000005</v>
      </c>
      <c r="S572" s="1" t="s">
        <v>1016</v>
      </c>
      <c r="T572" s="1" t="s">
        <v>1004</v>
      </c>
      <c r="U572" s="1" t="str">
        <f t="shared" si="44"/>
        <v>YES</v>
      </c>
    </row>
    <row r="573" spans="1:21" x14ac:dyDescent="0.3">
      <c r="A573" s="1" t="s">
        <v>758</v>
      </c>
      <c r="B573" s="1" t="s">
        <v>197</v>
      </c>
      <c r="C573" s="1" t="s">
        <v>198</v>
      </c>
      <c r="D573" s="1" t="s">
        <v>104</v>
      </c>
      <c r="E573" s="1" t="s">
        <v>1586</v>
      </c>
      <c r="F573" s="1" t="s">
        <v>1006</v>
      </c>
      <c r="G573" s="1" t="s">
        <v>1010</v>
      </c>
      <c r="H573" s="1">
        <v>3</v>
      </c>
      <c r="I573" s="1">
        <v>7</v>
      </c>
      <c r="J573" s="1" t="s">
        <v>2817</v>
      </c>
      <c r="K573" s="2">
        <v>114.95</v>
      </c>
      <c r="L573" s="6">
        <v>21</v>
      </c>
      <c r="M573" s="2">
        <f t="shared" si="40"/>
        <v>344.85</v>
      </c>
      <c r="N573" s="2">
        <f t="shared" si="41"/>
        <v>72.418500000000009</v>
      </c>
      <c r="O573" s="2">
        <f t="shared" si="42"/>
        <v>272.43150000000003</v>
      </c>
      <c r="P573" s="1">
        <v>146</v>
      </c>
      <c r="Q573" s="2">
        <v>80.47</v>
      </c>
      <c r="R573" s="2">
        <f t="shared" si="43"/>
        <v>31.021500000000032</v>
      </c>
      <c r="S573" s="1" t="s">
        <v>1003</v>
      </c>
      <c r="T573" s="1" t="s">
        <v>1004</v>
      </c>
      <c r="U573" s="1" t="str">
        <f t="shared" si="44"/>
        <v>NO</v>
      </c>
    </row>
    <row r="574" spans="1:21" x14ac:dyDescent="0.3">
      <c r="A574" s="1" t="s">
        <v>759</v>
      </c>
      <c r="B574" s="1" t="s">
        <v>197</v>
      </c>
      <c r="C574" s="1" t="s">
        <v>198</v>
      </c>
      <c r="D574" s="1" t="s">
        <v>104</v>
      </c>
      <c r="E574" s="1" t="s">
        <v>1587</v>
      </c>
      <c r="F574" s="1" t="s">
        <v>1015</v>
      </c>
      <c r="G574" s="1" t="s">
        <v>1002</v>
      </c>
      <c r="H574" s="1">
        <v>3</v>
      </c>
      <c r="I574" s="1">
        <v>4</v>
      </c>
      <c r="J574" s="1" t="s">
        <v>2690</v>
      </c>
      <c r="K574" s="2">
        <v>284.14</v>
      </c>
      <c r="L574" s="6">
        <v>17</v>
      </c>
      <c r="M574" s="2">
        <f t="shared" si="40"/>
        <v>852.42</v>
      </c>
      <c r="N574" s="2">
        <f t="shared" si="41"/>
        <v>144.91139999999999</v>
      </c>
      <c r="O574" s="2">
        <f t="shared" si="42"/>
        <v>707.5086</v>
      </c>
      <c r="P574" s="1">
        <v>91</v>
      </c>
      <c r="Q574" s="2">
        <v>198.9</v>
      </c>
      <c r="R574" s="2">
        <f t="shared" si="43"/>
        <v>110.80859999999996</v>
      </c>
      <c r="S574" s="1" t="s">
        <v>1003</v>
      </c>
      <c r="T574" s="1" t="s">
        <v>1004</v>
      </c>
      <c r="U574" s="1" t="str">
        <f t="shared" si="44"/>
        <v>NO</v>
      </c>
    </row>
    <row r="575" spans="1:21" x14ac:dyDescent="0.3">
      <c r="A575" s="1" t="s">
        <v>760</v>
      </c>
      <c r="B575" s="1" t="s">
        <v>237</v>
      </c>
      <c r="C575" s="1" t="s">
        <v>238</v>
      </c>
      <c r="D575" s="1" t="s">
        <v>85</v>
      </c>
      <c r="E575" s="1" t="s">
        <v>1588</v>
      </c>
      <c r="F575" s="1" t="s">
        <v>1001</v>
      </c>
      <c r="G575" s="1" t="s">
        <v>1002</v>
      </c>
      <c r="H575" s="1">
        <v>13</v>
      </c>
      <c r="I575" s="1">
        <v>3</v>
      </c>
      <c r="J575" s="1" t="s">
        <v>2825</v>
      </c>
      <c r="K575" s="2">
        <v>115.18</v>
      </c>
      <c r="L575" s="6">
        <v>9</v>
      </c>
      <c r="M575" s="2">
        <f t="shared" si="40"/>
        <v>1497.3400000000001</v>
      </c>
      <c r="N575" s="2">
        <f t="shared" si="41"/>
        <v>134.76060000000001</v>
      </c>
      <c r="O575" s="2">
        <f t="shared" si="42"/>
        <v>1362.5794000000001</v>
      </c>
      <c r="P575" s="1">
        <v>161</v>
      </c>
      <c r="Q575" s="2">
        <v>80.63</v>
      </c>
      <c r="R575" s="2">
        <f t="shared" si="43"/>
        <v>314.38940000000002</v>
      </c>
      <c r="S575" s="1" t="s">
        <v>1003</v>
      </c>
      <c r="T575" s="1" t="s">
        <v>1004</v>
      </c>
      <c r="U575" s="1" t="str">
        <f t="shared" si="44"/>
        <v>NO</v>
      </c>
    </row>
    <row r="576" spans="1:21" x14ac:dyDescent="0.3">
      <c r="A576" s="1" t="s">
        <v>761</v>
      </c>
      <c r="B576" s="1" t="s">
        <v>45</v>
      </c>
      <c r="C576" s="1" t="s">
        <v>46</v>
      </c>
      <c r="D576" s="1" t="s">
        <v>47</v>
      </c>
      <c r="E576" s="1" t="s">
        <v>1589</v>
      </c>
      <c r="F576" s="1" t="s">
        <v>1020</v>
      </c>
      <c r="G576" s="1" t="s">
        <v>1023</v>
      </c>
      <c r="H576" s="1">
        <v>8</v>
      </c>
      <c r="I576" s="1">
        <v>1</v>
      </c>
      <c r="J576" s="1" t="s">
        <v>2738</v>
      </c>
      <c r="K576" s="2">
        <v>164.46</v>
      </c>
      <c r="L576" s="6">
        <v>8</v>
      </c>
      <c r="M576" s="2">
        <f t="shared" si="40"/>
        <v>1315.68</v>
      </c>
      <c r="N576" s="2">
        <f t="shared" si="41"/>
        <v>105.2544</v>
      </c>
      <c r="O576" s="2">
        <f t="shared" si="42"/>
        <v>1210.4256</v>
      </c>
      <c r="P576" s="1">
        <v>216</v>
      </c>
      <c r="Q576" s="2">
        <v>115.12</v>
      </c>
      <c r="R576" s="2">
        <f t="shared" si="43"/>
        <v>289.46559999999999</v>
      </c>
      <c r="S576" s="1" t="s">
        <v>1003</v>
      </c>
      <c r="T576" s="1" t="s">
        <v>1004</v>
      </c>
      <c r="U576" s="1" t="str">
        <f t="shared" si="44"/>
        <v>NO</v>
      </c>
    </row>
    <row r="577" spans="1:21" x14ac:dyDescent="0.3">
      <c r="A577" s="1" t="s">
        <v>762</v>
      </c>
      <c r="B577" s="1" t="s">
        <v>143</v>
      </c>
      <c r="C577" s="1" t="s">
        <v>144</v>
      </c>
      <c r="D577" s="1" t="s">
        <v>47</v>
      </c>
      <c r="E577" s="1" t="s">
        <v>1590</v>
      </c>
      <c r="F577" s="1" t="s">
        <v>1009</v>
      </c>
      <c r="G577" s="1" t="s">
        <v>1023</v>
      </c>
      <c r="H577" s="1">
        <v>2</v>
      </c>
      <c r="I577" s="1">
        <v>5</v>
      </c>
      <c r="J577" s="1" t="s">
        <v>2610</v>
      </c>
      <c r="K577" s="2">
        <v>411.21</v>
      </c>
      <c r="L577" s="6">
        <v>17</v>
      </c>
      <c r="M577" s="2">
        <f t="shared" si="40"/>
        <v>822.42</v>
      </c>
      <c r="N577" s="2">
        <f t="shared" si="41"/>
        <v>139.81139999999999</v>
      </c>
      <c r="O577" s="2">
        <f t="shared" si="42"/>
        <v>682.60860000000002</v>
      </c>
      <c r="P577" s="1">
        <v>121</v>
      </c>
      <c r="Q577" s="2">
        <v>287.85000000000002</v>
      </c>
      <c r="R577" s="2">
        <f t="shared" si="43"/>
        <v>106.90859999999998</v>
      </c>
      <c r="S577" s="1" t="s">
        <v>1011</v>
      </c>
      <c r="T577" s="1" t="s">
        <v>1007</v>
      </c>
      <c r="U577" s="1" t="str">
        <f t="shared" si="44"/>
        <v>NO</v>
      </c>
    </row>
    <row r="578" spans="1:21" x14ac:dyDescent="0.3">
      <c r="A578" s="1" t="s">
        <v>763</v>
      </c>
      <c r="B578" s="1" t="s">
        <v>143</v>
      </c>
      <c r="C578" s="1" t="s">
        <v>144</v>
      </c>
      <c r="D578" s="1" t="s">
        <v>47</v>
      </c>
      <c r="E578" s="1" t="s">
        <v>1591</v>
      </c>
      <c r="F578" s="1" t="s">
        <v>1009</v>
      </c>
      <c r="G578" s="1" t="s">
        <v>1002</v>
      </c>
      <c r="H578" s="1">
        <v>5</v>
      </c>
      <c r="I578" s="1">
        <v>3</v>
      </c>
      <c r="J578" s="1" t="s">
        <v>2677</v>
      </c>
      <c r="K578" s="2">
        <v>444.65</v>
      </c>
      <c r="L578" s="6">
        <v>20</v>
      </c>
      <c r="M578" s="2">
        <f t="shared" ref="M578:M641" si="45">H578*K578</f>
        <v>2223.25</v>
      </c>
      <c r="N578" s="2">
        <f t="shared" ref="N578:N641" si="46">M578*L578/100</f>
        <v>444.65</v>
      </c>
      <c r="O578" s="2">
        <f t="shared" ref="O578:O641" si="47">M578-N578</f>
        <v>1778.6</v>
      </c>
      <c r="P578" s="1">
        <v>127</v>
      </c>
      <c r="Q578" s="2">
        <v>311.25</v>
      </c>
      <c r="R578" s="2">
        <f t="shared" ref="R578:R641" si="48">O578-(H578*Q578)</f>
        <v>222.34999999999991</v>
      </c>
      <c r="S578" s="1" t="s">
        <v>1016</v>
      </c>
      <c r="T578" s="1" t="s">
        <v>1007</v>
      </c>
      <c r="U578" s="1" t="str">
        <f t="shared" ref="U578:U641" si="49">IF(S578="Delivered","YES","NO")</f>
        <v>YES</v>
      </c>
    </row>
    <row r="579" spans="1:21" x14ac:dyDescent="0.3">
      <c r="A579" s="1" t="s">
        <v>764</v>
      </c>
      <c r="B579" s="1" t="s">
        <v>83</v>
      </c>
      <c r="C579" s="1" t="s">
        <v>84</v>
      </c>
      <c r="D579" s="1" t="s">
        <v>85</v>
      </c>
      <c r="E579" s="1" t="s">
        <v>1592</v>
      </c>
      <c r="F579" s="1" t="s">
        <v>1001</v>
      </c>
      <c r="G579" s="1" t="s">
        <v>1010</v>
      </c>
      <c r="H579" s="1">
        <v>12</v>
      </c>
      <c r="I579" s="1">
        <v>4</v>
      </c>
      <c r="J579" s="1" t="s">
        <v>2612</v>
      </c>
      <c r="K579" s="2">
        <v>272.41000000000003</v>
      </c>
      <c r="L579" s="6">
        <v>25</v>
      </c>
      <c r="M579" s="2">
        <f t="shared" si="45"/>
        <v>3268.92</v>
      </c>
      <c r="N579" s="2">
        <f t="shared" si="46"/>
        <v>817.23</v>
      </c>
      <c r="O579" s="2">
        <f t="shared" si="47"/>
        <v>2451.69</v>
      </c>
      <c r="P579" s="1">
        <v>202</v>
      </c>
      <c r="Q579" s="2">
        <v>190.69</v>
      </c>
      <c r="R579" s="2">
        <f t="shared" si="48"/>
        <v>163.41000000000031</v>
      </c>
      <c r="S579" s="1" t="s">
        <v>1011</v>
      </c>
      <c r="T579" s="1" t="s">
        <v>1007</v>
      </c>
      <c r="U579" s="1" t="str">
        <f t="shared" si="49"/>
        <v>NO</v>
      </c>
    </row>
    <row r="580" spans="1:21" x14ac:dyDescent="0.3">
      <c r="A580" s="1" t="s">
        <v>765</v>
      </c>
      <c r="B580" s="1" t="s">
        <v>83</v>
      </c>
      <c r="C580" s="1" t="s">
        <v>84</v>
      </c>
      <c r="D580" s="1" t="s">
        <v>85</v>
      </c>
      <c r="E580" s="1" t="s">
        <v>1593</v>
      </c>
      <c r="F580" s="1" t="s">
        <v>1009</v>
      </c>
      <c r="G580" s="1" t="s">
        <v>1023</v>
      </c>
      <c r="H580" s="1">
        <v>9</v>
      </c>
      <c r="I580" s="1">
        <v>2</v>
      </c>
      <c r="J580" s="1" t="s">
        <v>2826</v>
      </c>
      <c r="K580" s="2">
        <v>420.91</v>
      </c>
      <c r="L580" s="6">
        <v>0</v>
      </c>
      <c r="M580" s="2">
        <f t="shared" si="45"/>
        <v>3788.19</v>
      </c>
      <c r="N580" s="2">
        <f t="shared" si="46"/>
        <v>0</v>
      </c>
      <c r="O580" s="2">
        <f t="shared" si="47"/>
        <v>3788.19</v>
      </c>
      <c r="P580" s="1">
        <v>159</v>
      </c>
      <c r="Q580" s="2">
        <v>294.64</v>
      </c>
      <c r="R580" s="2">
        <f t="shared" si="48"/>
        <v>1136.4300000000003</v>
      </c>
      <c r="S580" s="1" t="s">
        <v>1011</v>
      </c>
      <c r="T580" s="1" t="s">
        <v>1004</v>
      </c>
      <c r="U580" s="1" t="str">
        <f t="shared" si="49"/>
        <v>NO</v>
      </c>
    </row>
    <row r="581" spans="1:21" x14ac:dyDescent="0.3">
      <c r="A581" s="1" t="s">
        <v>766</v>
      </c>
      <c r="B581" s="1" t="s">
        <v>95</v>
      </c>
      <c r="C581" s="1" t="s">
        <v>96</v>
      </c>
      <c r="D581" s="1" t="s">
        <v>97</v>
      </c>
      <c r="E581" s="1" t="s">
        <v>1594</v>
      </c>
      <c r="F581" s="1" t="s">
        <v>1006</v>
      </c>
      <c r="G581" s="1" t="s">
        <v>1002</v>
      </c>
      <c r="H581" s="1">
        <v>4</v>
      </c>
      <c r="I581" s="1">
        <v>2</v>
      </c>
      <c r="J581" s="1" t="s">
        <v>2679</v>
      </c>
      <c r="K581" s="2">
        <v>445.94</v>
      </c>
      <c r="L581" s="6">
        <v>3</v>
      </c>
      <c r="M581" s="2">
        <f t="shared" si="45"/>
        <v>1783.76</v>
      </c>
      <c r="N581" s="2">
        <f t="shared" si="46"/>
        <v>53.512799999999999</v>
      </c>
      <c r="O581" s="2">
        <f t="shared" si="47"/>
        <v>1730.2472</v>
      </c>
      <c r="P581" s="1">
        <v>178</v>
      </c>
      <c r="Q581" s="2">
        <v>312.16000000000003</v>
      </c>
      <c r="R581" s="2">
        <f t="shared" si="48"/>
        <v>481.60719999999992</v>
      </c>
      <c r="S581" s="1" t="s">
        <v>1011</v>
      </c>
      <c r="T581" s="1" t="s">
        <v>1007</v>
      </c>
      <c r="U581" s="1" t="str">
        <f t="shared" si="49"/>
        <v>NO</v>
      </c>
    </row>
    <row r="582" spans="1:21" x14ac:dyDescent="0.3">
      <c r="A582" s="1" t="s">
        <v>767</v>
      </c>
      <c r="B582" s="1" t="s">
        <v>237</v>
      </c>
      <c r="C582" s="1" t="s">
        <v>238</v>
      </c>
      <c r="D582" s="1" t="s">
        <v>85</v>
      </c>
      <c r="E582" s="1" t="s">
        <v>1595</v>
      </c>
      <c r="F582" s="1" t="s">
        <v>1006</v>
      </c>
      <c r="G582" s="1" t="s">
        <v>1010</v>
      </c>
      <c r="H582" s="1">
        <v>11</v>
      </c>
      <c r="I582" s="1">
        <v>3</v>
      </c>
      <c r="J582" s="1" t="s">
        <v>2788</v>
      </c>
      <c r="K582" s="2">
        <v>453.82</v>
      </c>
      <c r="L582" s="6">
        <v>25</v>
      </c>
      <c r="M582" s="2">
        <f t="shared" si="45"/>
        <v>4992.0199999999995</v>
      </c>
      <c r="N582" s="2">
        <f t="shared" si="46"/>
        <v>1248.0049999999999</v>
      </c>
      <c r="O582" s="2">
        <f t="shared" si="47"/>
        <v>3744.0149999999994</v>
      </c>
      <c r="P582" s="1">
        <v>204</v>
      </c>
      <c r="Q582" s="2">
        <v>317.67</v>
      </c>
      <c r="R582" s="2">
        <f t="shared" si="48"/>
        <v>249.64499999999907</v>
      </c>
      <c r="S582" s="1" t="s">
        <v>1003</v>
      </c>
      <c r="T582" s="1" t="s">
        <v>1004</v>
      </c>
      <c r="U582" s="1" t="str">
        <f t="shared" si="49"/>
        <v>NO</v>
      </c>
    </row>
    <row r="583" spans="1:21" x14ac:dyDescent="0.3">
      <c r="A583" s="1" t="s">
        <v>768</v>
      </c>
      <c r="B583" s="1" t="s">
        <v>45</v>
      </c>
      <c r="C583" s="1" t="s">
        <v>46</v>
      </c>
      <c r="D583" s="1" t="s">
        <v>47</v>
      </c>
      <c r="E583" s="1" t="s">
        <v>1596</v>
      </c>
      <c r="F583" s="1" t="s">
        <v>1006</v>
      </c>
      <c r="G583" s="1" t="s">
        <v>1023</v>
      </c>
      <c r="H583" s="1">
        <v>7</v>
      </c>
      <c r="I583" s="1">
        <v>6</v>
      </c>
      <c r="J583" s="1" t="s">
        <v>2601</v>
      </c>
      <c r="K583" s="2">
        <v>196.7</v>
      </c>
      <c r="L583" s="6">
        <v>13</v>
      </c>
      <c r="M583" s="2">
        <f t="shared" si="45"/>
        <v>1376.8999999999999</v>
      </c>
      <c r="N583" s="2">
        <f t="shared" si="46"/>
        <v>178.99699999999996</v>
      </c>
      <c r="O583" s="2">
        <f t="shared" si="47"/>
        <v>1197.9029999999998</v>
      </c>
      <c r="P583" s="1">
        <v>206</v>
      </c>
      <c r="Q583" s="2">
        <v>137.69</v>
      </c>
      <c r="R583" s="2">
        <f t="shared" si="48"/>
        <v>234.07299999999987</v>
      </c>
      <c r="S583" s="1" t="s">
        <v>1003</v>
      </c>
      <c r="T583" s="1" t="s">
        <v>1007</v>
      </c>
      <c r="U583" s="1" t="str">
        <f t="shared" si="49"/>
        <v>NO</v>
      </c>
    </row>
    <row r="584" spans="1:21" x14ac:dyDescent="0.3">
      <c r="A584" s="1" t="s">
        <v>769</v>
      </c>
      <c r="B584" s="1" t="s">
        <v>102</v>
      </c>
      <c r="C584" s="1" t="s">
        <v>103</v>
      </c>
      <c r="D584" s="1" t="s">
        <v>104</v>
      </c>
      <c r="E584" s="1" t="s">
        <v>1597</v>
      </c>
      <c r="F584" s="1" t="s">
        <v>1009</v>
      </c>
      <c r="G584" s="1" t="s">
        <v>1002</v>
      </c>
      <c r="H584" s="1">
        <v>8</v>
      </c>
      <c r="I584" s="1">
        <v>7</v>
      </c>
      <c r="J584" s="1" t="s">
        <v>2789</v>
      </c>
      <c r="K584" s="2">
        <v>189.04</v>
      </c>
      <c r="L584" s="6">
        <v>20</v>
      </c>
      <c r="M584" s="2">
        <f t="shared" si="45"/>
        <v>1512.32</v>
      </c>
      <c r="N584" s="2">
        <f t="shared" si="46"/>
        <v>302.464</v>
      </c>
      <c r="O584" s="2">
        <f t="shared" si="47"/>
        <v>1209.856</v>
      </c>
      <c r="P584" s="1">
        <v>132</v>
      </c>
      <c r="Q584" s="2">
        <v>132.33000000000001</v>
      </c>
      <c r="R584" s="2">
        <f t="shared" si="48"/>
        <v>151.21599999999989</v>
      </c>
      <c r="S584" s="1" t="s">
        <v>1016</v>
      </c>
      <c r="T584" s="1" t="s">
        <v>1004</v>
      </c>
      <c r="U584" s="1" t="str">
        <f t="shared" si="49"/>
        <v>YES</v>
      </c>
    </row>
    <row r="585" spans="1:21" x14ac:dyDescent="0.3">
      <c r="A585" s="1" t="s">
        <v>770</v>
      </c>
      <c r="B585" s="1" t="s">
        <v>192</v>
      </c>
      <c r="C585" s="1" t="s">
        <v>193</v>
      </c>
      <c r="D585" s="1" t="s">
        <v>85</v>
      </c>
      <c r="E585" s="1" t="s">
        <v>1598</v>
      </c>
      <c r="F585" s="1" t="s">
        <v>1027</v>
      </c>
      <c r="G585" s="1" t="s">
        <v>1023</v>
      </c>
      <c r="H585" s="1">
        <v>4</v>
      </c>
      <c r="I585" s="1">
        <v>5</v>
      </c>
      <c r="J585" s="1" t="s">
        <v>2713</v>
      </c>
      <c r="K585" s="2">
        <v>350.31</v>
      </c>
      <c r="L585" s="6">
        <v>17</v>
      </c>
      <c r="M585" s="2">
        <f t="shared" si="45"/>
        <v>1401.24</v>
      </c>
      <c r="N585" s="2">
        <f t="shared" si="46"/>
        <v>238.21080000000001</v>
      </c>
      <c r="O585" s="2">
        <f t="shared" si="47"/>
        <v>1163.0291999999999</v>
      </c>
      <c r="P585" s="1">
        <v>271</v>
      </c>
      <c r="Q585" s="2">
        <v>245.22</v>
      </c>
      <c r="R585" s="2">
        <f t="shared" si="48"/>
        <v>182.14919999999995</v>
      </c>
      <c r="S585" s="1" t="s">
        <v>1011</v>
      </c>
      <c r="T585" s="1" t="s">
        <v>1004</v>
      </c>
      <c r="U585" s="1" t="str">
        <f t="shared" si="49"/>
        <v>NO</v>
      </c>
    </row>
    <row r="586" spans="1:21" x14ac:dyDescent="0.3">
      <c r="A586" s="1" t="s">
        <v>771</v>
      </c>
      <c r="B586" s="1" t="s">
        <v>26</v>
      </c>
      <c r="C586" s="1" t="s">
        <v>27</v>
      </c>
      <c r="D586" s="1" t="s">
        <v>28</v>
      </c>
      <c r="E586" s="1" t="s">
        <v>1599</v>
      </c>
      <c r="F586" s="1" t="s">
        <v>1009</v>
      </c>
      <c r="G586" s="1" t="s">
        <v>1023</v>
      </c>
      <c r="H586" s="1">
        <v>1</v>
      </c>
      <c r="I586" s="1">
        <v>7</v>
      </c>
      <c r="J586" s="1" t="s">
        <v>2786</v>
      </c>
      <c r="K586" s="2">
        <v>207.36</v>
      </c>
      <c r="L586" s="6">
        <v>16</v>
      </c>
      <c r="M586" s="2">
        <f t="shared" si="45"/>
        <v>207.36</v>
      </c>
      <c r="N586" s="2">
        <f t="shared" si="46"/>
        <v>33.177600000000005</v>
      </c>
      <c r="O586" s="2">
        <f t="shared" si="47"/>
        <v>174.1824</v>
      </c>
      <c r="P586" s="1">
        <v>237</v>
      </c>
      <c r="Q586" s="2">
        <v>145.15</v>
      </c>
      <c r="R586" s="2">
        <f t="shared" si="48"/>
        <v>29.032399999999996</v>
      </c>
      <c r="S586" s="1" t="s">
        <v>1016</v>
      </c>
      <c r="T586" s="1" t="s">
        <v>1004</v>
      </c>
      <c r="U586" s="1" t="str">
        <f t="shared" si="49"/>
        <v>YES</v>
      </c>
    </row>
    <row r="587" spans="1:21" x14ac:dyDescent="0.3">
      <c r="A587" s="1" t="s">
        <v>772</v>
      </c>
      <c r="B587" s="1" t="s">
        <v>102</v>
      </c>
      <c r="C587" s="1" t="s">
        <v>103</v>
      </c>
      <c r="D587" s="1" t="s">
        <v>104</v>
      </c>
      <c r="E587" s="1" t="s">
        <v>1600</v>
      </c>
      <c r="F587" s="1" t="s">
        <v>1006</v>
      </c>
      <c r="G587" s="1" t="s">
        <v>1023</v>
      </c>
      <c r="H587" s="1">
        <v>4</v>
      </c>
      <c r="I587" s="1">
        <v>1</v>
      </c>
      <c r="J587" s="1" t="s">
        <v>2622</v>
      </c>
      <c r="K587" s="2">
        <v>79.16</v>
      </c>
      <c r="L587" s="6">
        <v>0</v>
      </c>
      <c r="M587" s="2">
        <f t="shared" si="45"/>
        <v>316.64</v>
      </c>
      <c r="N587" s="2">
        <f t="shared" si="46"/>
        <v>0</v>
      </c>
      <c r="O587" s="2">
        <f t="shared" si="47"/>
        <v>316.64</v>
      </c>
      <c r="P587" s="1">
        <v>53</v>
      </c>
      <c r="Q587" s="2">
        <v>55.41</v>
      </c>
      <c r="R587" s="2">
        <f t="shared" si="48"/>
        <v>95</v>
      </c>
      <c r="S587" s="1" t="s">
        <v>1003</v>
      </c>
      <c r="T587" s="1" t="s">
        <v>1004</v>
      </c>
      <c r="U587" s="1" t="str">
        <f t="shared" si="49"/>
        <v>NO</v>
      </c>
    </row>
    <row r="588" spans="1:21" x14ac:dyDescent="0.3">
      <c r="A588" s="1" t="s">
        <v>773</v>
      </c>
      <c r="B588" s="1" t="s">
        <v>299</v>
      </c>
      <c r="C588" s="1" t="s">
        <v>300</v>
      </c>
      <c r="D588" s="1" t="s">
        <v>39</v>
      </c>
      <c r="E588" s="1" t="s">
        <v>1601</v>
      </c>
      <c r="F588" s="1" t="s">
        <v>1013</v>
      </c>
      <c r="G588" s="1" t="s">
        <v>1002</v>
      </c>
      <c r="H588" s="1">
        <v>10</v>
      </c>
      <c r="I588" s="1">
        <v>4</v>
      </c>
      <c r="J588" s="1" t="s">
        <v>2721</v>
      </c>
      <c r="K588" s="2">
        <v>418.11</v>
      </c>
      <c r="L588" s="6">
        <v>14</v>
      </c>
      <c r="M588" s="2">
        <f t="shared" si="45"/>
        <v>4181.1000000000004</v>
      </c>
      <c r="N588" s="2">
        <f t="shared" si="46"/>
        <v>585.35400000000004</v>
      </c>
      <c r="O588" s="2">
        <f t="shared" si="47"/>
        <v>3595.7460000000001</v>
      </c>
      <c r="P588" s="1">
        <v>200</v>
      </c>
      <c r="Q588" s="2">
        <v>292.68</v>
      </c>
      <c r="R588" s="2">
        <f t="shared" si="48"/>
        <v>668.94599999999991</v>
      </c>
      <c r="S588" s="1" t="s">
        <v>1003</v>
      </c>
      <c r="T588" s="1" t="s">
        <v>1004</v>
      </c>
      <c r="U588" s="1" t="str">
        <f t="shared" si="49"/>
        <v>NO</v>
      </c>
    </row>
    <row r="589" spans="1:21" x14ac:dyDescent="0.3">
      <c r="A589" s="1" t="s">
        <v>774</v>
      </c>
      <c r="B589" s="1" t="s">
        <v>130</v>
      </c>
      <c r="C589" s="1" t="s">
        <v>131</v>
      </c>
      <c r="D589" s="1" t="s">
        <v>132</v>
      </c>
      <c r="E589" s="1" t="s">
        <v>1602</v>
      </c>
      <c r="F589" s="1" t="s">
        <v>1015</v>
      </c>
      <c r="G589" s="1" t="s">
        <v>1002</v>
      </c>
      <c r="H589" s="1">
        <v>8</v>
      </c>
      <c r="I589" s="1">
        <v>2</v>
      </c>
      <c r="J589" s="1" t="s">
        <v>2800</v>
      </c>
      <c r="K589" s="2">
        <v>346.13</v>
      </c>
      <c r="L589" s="6">
        <v>15</v>
      </c>
      <c r="M589" s="2">
        <f t="shared" si="45"/>
        <v>2769.04</v>
      </c>
      <c r="N589" s="2">
        <f t="shared" si="46"/>
        <v>415.35599999999999</v>
      </c>
      <c r="O589" s="2">
        <f t="shared" si="47"/>
        <v>2353.6840000000002</v>
      </c>
      <c r="P589" s="1">
        <v>155</v>
      </c>
      <c r="Q589" s="2">
        <v>242.29</v>
      </c>
      <c r="R589" s="2">
        <f t="shared" si="48"/>
        <v>415.36400000000026</v>
      </c>
      <c r="S589" s="1" t="s">
        <v>1016</v>
      </c>
      <c r="T589" s="1" t="s">
        <v>1007</v>
      </c>
      <c r="U589" s="1" t="str">
        <f t="shared" si="49"/>
        <v>YES</v>
      </c>
    </row>
    <row r="590" spans="1:21" x14ac:dyDescent="0.3">
      <c r="A590" s="1" t="s">
        <v>775</v>
      </c>
      <c r="B590" s="1" t="s">
        <v>63</v>
      </c>
      <c r="C590" s="1" t="s">
        <v>64</v>
      </c>
      <c r="D590" s="1" t="s">
        <v>28</v>
      </c>
      <c r="E590" s="1" t="s">
        <v>1603</v>
      </c>
      <c r="F590" s="1" t="s">
        <v>1001</v>
      </c>
      <c r="G590" s="1" t="s">
        <v>1002</v>
      </c>
      <c r="H590" s="1">
        <v>5</v>
      </c>
      <c r="I590" s="1">
        <v>2</v>
      </c>
      <c r="J590" s="1" t="s">
        <v>2694</v>
      </c>
      <c r="K590" s="2">
        <v>384.87</v>
      </c>
      <c r="L590" s="6">
        <v>16</v>
      </c>
      <c r="M590" s="2">
        <f t="shared" si="45"/>
        <v>1924.35</v>
      </c>
      <c r="N590" s="2">
        <f t="shared" si="46"/>
        <v>307.89599999999996</v>
      </c>
      <c r="O590" s="2">
        <f t="shared" si="47"/>
        <v>1616.454</v>
      </c>
      <c r="P590" s="1">
        <v>110</v>
      </c>
      <c r="Q590" s="2">
        <v>269.41000000000003</v>
      </c>
      <c r="R590" s="2">
        <f t="shared" si="48"/>
        <v>269.40399999999977</v>
      </c>
      <c r="S590" s="1" t="s">
        <v>1003</v>
      </c>
      <c r="T590" s="1" t="s">
        <v>1007</v>
      </c>
      <c r="U590" s="1" t="str">
        <f t="shared" si="49"/>
        <v>NO</v>
      </c>
    </row>
    <row r="591" spans="1:21" x14ac:dyDescent="0.3">
      <c r="A591" s="1" t="s">
        <v>776</v>
      </c>
      <c r="B591" s="1" t="s">
        <v>102</v>
      </c>
      <c r="C591" s="1" t="s">
        <v>103</v>
      </c>
      <c r="D591" s="1" t="s">
        <v>104</v>
      </c>
      <c r="E591" s="1" t="s">
        <v>1604</v>
      </c>
      <c r="F591" s="1" t="s">
        <v>1001</v>
      </c>
      <c r="G591" s="1" t="s">
        <v>1010</v>
      </c>
      <c r="H591" s="1">
        <v>3</v>
      </c>
      <c r="I591" s="1">
        <v>5</v>
      </c>
      <c r="J591" s="1" t="s">
        <v>2827</v>
      </c>
      <c r="K591" s="2">
        <v>326.75</v>
      </c>
      <c r="L591" s="6">
        <v>6</v>
      </c>
      <c r="M591" s="2">
        <f t="shared" si="45"/>
        <v>980.25</v>
      </c>
      <c r="N591" s="2">
        <f t="shared" si="46"/>
        <v>58.814999999999998</v>
      </c>
      <c r="O591" s="2">
        <f t="shared" si="47"/>
        <v>921.43499999999995</v>
      </c>
      <c r="P591" s="1">
        <v>253</v>
      </c>
      <c r="Q591" s="2">
        <v>228.72</v>
      </c>
      <c r="R591" s="2">
        <f t="shared" si="48"/>
        <v>235.27499999999998</v>
      </c>
      <c r="S591" s="1" t="s">
        <v>1003</v>
      </c>
      <c r="T591" s="1" t="s">
        <v>1007</v>
      </c>
      <c r="U591" s="1" t="str">
        <f t="shared" si="49"/>
        <v>NO</v>
      </c>
    </row>
    <row r="592" spans="1:21" x14ac:dyDescent="0.3">
      <c r="A592" s="1" t="s">
        <v>777</v>
      </c>
      <c r="B592" s="1" t="s">
        <v>69</v>
      </c>
      <c r="C592" s="1" t="s">
        <v>70</v>
      </c>
      <c r="D592" s="1" t="s">
        <v>59</v>
      </c>
      <c r="E592" s="1" t="s">
        <v>1605</v>
      </c>
      <c r="F592" s="1" t="s">
        <v>1015</v>
      </c>
      <c r="G592" s="1" t="s">
        <v>1002</v>
      </c>
      <c r="H592" s="1">
        <v>1</v>
      </c>
      <c r="I592" s="1">
        <v>3</v>
      </c>
      <c r="J592" s="1" t="s">
        <v>2788</v>
      </c>
      <c r="K592" s="2">
        <v>339.23</v>
      </c>
      <c r="L592" s="6">
        <v>17</v>
      </c>
      <c r="M592" s="2">
        <f t="shared" si="45"/>
        <v>339.23</v>
      </c>
      <c r="N592" s="2">
        <f t="shared" si="46"/>
        <v>57.6691</v>
      </c>
      <c r="O592" s="2">
        <f t="shared" si="47"/>
        <v>281.5609</v>
      </c>
      <c r="P592" s="1">
        <v>191</v>
      </c>
      <c r="Q592" s="2">
        <v>237.46</v>
      </c>
      <c r="R592" s="2">
        <f t="shared" si="48"/>
        <v>44.100899999999996</v>
      </c>
      <c r="S592" s="1" t="s">
        <v>1011</v>
      </c>
      <c r="T592" s="1" t="s">
        <v>1007</v>
      </c>
      <c r="U592" s="1" t="str">
        <f t="shared" si="49"/>
        <v>NO</v>
      </c>
    </row>
    <row r="593" spans="1:21" x14ac:dyDescent="0.3">
      <c r="A593" s="1" t="s">
        <v>778</v>
      </c>
      <c r="B593" s="1" t="s">
        <v>69</v>
      </c>
      <c r="C593" s="1" t="s">
        <v>70</v>
      </c>
      <c r="D593" s="1" t="s">
        <v>59</v>
      </c>
      <c r="E593" s="1" t="s">
        <v>1606</v>
      </c>
      <c r="F593" s="1" t="s">
        <v>1020</v>
      </c>
      <c r="G593" s="1" t="s">
        <v>1010</v>
      </c>
      <c r="H593" s="1">
        <v>13</v>
      </c>
      <c r="I593" s="1">
        <v>2</v>
      </c>
      <c r="J593" s="1" t="s">
        <v>2726</v>
      </c>
      <c r="K593" s="2">
        <v>127.07</v>
      </c>
      <c r="L593" s="6">
        <v>13</v>
      </c>
      <c r="M593" s="2">
        <f t="shared" si="45"/>
        <v>1651.9099999999999</v>
      </c>
      <c r="N593" s="2">
        <f t="shared" si="46"/>
        <v>214.74829999999997</v>
      </c>
      <c r="O593" s="2">
        <f t="shared" si="47"/>
        <v>1437.1616999999999</v>
      </c>
      <c r="P593" s="1">
        <v>149</v>
      </c>
      <c r="Q593" s="2">
        <v>88.95</v>
      </c>
      <c r="R593" s="2">
        <f t="shared" si="48"/>
        <v>280.81169999999975</v>
      </c>
      <c r="S593" s="1" t="s">
        <v>1011</v>
      </c>
      <c r="T593" s="1" t="s">
        <v>1007</v>
      </c>
      <c r="U593" s="1" t="str">
        <f t="shared" si="49"/>
        <v>NO</v>
      </c>
    </row>
    <row r="594" spans="1:21" x14ac:dyDescent="0.3">
      <c r="A594" s="1" t="s">
        <v>779</v>
      </c>
      <c r="B594" s="1" t="s">
        <v>262</v>
      </c>
      <c r="C594" s="1" t="s">
        <v>263</v>
      </c>
      <c r="D594" s="1" t="s">
        <v>104</v>
      </c>
      <c r="E594" s="1" t="s">
        <v>1607</v>
      </c>
      <c r="F594" s="1" t="s">
        <v>1009</v>
      </c>
      <c r="G594" s="1" t="s">
        <v>1023</v>
      </c>
      <c r="H594" s="1">
        <v>7</v>
      </c>
      <c r="I594" s="1">
        <v>7</v>
      </c>
      <c r="J594" s="1" t="s">
        <v>2828</v>
      </c>
      <c r="K594" s="2">
        <v>411.14</v>
      </c>
      <c r="L594" s="6">
        <v>16</v>
      </c>
      <c r="M594" s="2">
        <f t="shared" si="45"/>
        <v>2877.98</v>
      </c>
      <c r="N594" s="2">
        <f t="shared" si="46"/>
        <v>460.47680000000003</v>
      </c>
      <c r="O594" s="2">
        <f t="shared" si="47"/>
        <v>2417.5032000000001</v>
      </c>
      <c r="P594" s="1">
        <v>96</v>
      </c>
      <c r="Q594" s="2">
        <v>287.8</v>
      </c>
      <c r="R594" s="2">
        <f t="shared" si="48"/>
        <v>402.90319999999997</v>
      </c>
      <c r="S594" s="1" t="s">
        <v>1003</v>
      </c>
      <c r="T594" s="1" t="s">
        <v>1007</v>
      </c>
      <c r="U594" s="1" t="str">
        <f t="shared" si="49"/>
        <v>NO</v>
      </c>
    </row>
    <row r="595" spans="1:21" x14ac:dyDescent="0.3">
      <c r="A595" s="1" t="s">
        <v>780</v>
      </c>
      <c r="B595" s="1" t="s">
        <v>102</v>
      </c>
      <c r="C595" s="1" t="s">
        <v>103</v>
      </c>
      <c r="D595" s="1" t="s">
        <v>104</v>
      </c>
      <c r="E595" s="1" t="s">
        <v>1608</v>
      </c>
      <c r="F595" s="1" t="s">
        <v>1009</v>
      </c>
      <c r="G595" s="1" t="s">
        <v>1010</v>
      </c>
      <c r="H595" s="1">
        <v>13</v>
      </c>
      <c r="I595" s="1">
        <v>2</v>
      </c>
      <c r="J595" s="1" t="s">
        <v>2721</v>
      </c>
      <c r="K595" s="2">
        <v>185.68</v>
      </c>
      <c r="L595" s="6">
        <v>10</v>
      </c>
      <c r="M595" s="2">
        <f t="shared" si="45"/>
        <v>2413.84</v>
      </c>
      <c r="N595" s="2">
        <f t="shared" si="46"/>
        <v>241.38400000000001</v>
      </c>
      <c r="O595" s="2">
        <f t="shared" si="47"/>
        <v>2172.4560000000001</v>
      </c>
      <c r="P595" s="1">
        <v>253</v>
      </c>
      <c r="Q595" s="2">
        <v>129.97999999999999</v>
      </c>
      <c r="R595" s="2">
        <f t="shared" si="48"/>
        <v>482.71600000000035</v>
      </c>
      <c r="S595" s="1" t="s">
        <v>1016</v>
      </c>
      <c r="T595" s="1" t="s">
        <v>1007</v>
      </c>
      <c r="U595" s="1" t="str">
        <f t="shared" si="49"/>
        <v>YES</v>
      </c>
    </row>
    <row r="596" spans="1:21" x14ac:dyDescent="0.3">
      <c r="A596" s="1" t="s">
        <v>781</v>
      </c>
      <c r="B596" s="1" t="s">
        <v>130</v>
      </c>
      <c r="C596" s="1" t="s">
        <v>131</v>
      </c>
      <c r="D596" s="1" t="s">
        <v>132</v>
      </c>
      <c r="E596" s="1" t="s">
        <v>1609</v>
      </c>
      <c r="F596" s="1" t="s">
        <v>1006</v>
      </c>
      <c r="G596" s="1" t="s">
        <v>1010</v>
      </c>
      <c r="H596" s="1">
        <v>15</v>
      </c>
      <c r="I596" s="1">
        <v>6</v>
      </c>
      <c r="J596" s="1" t="s">
        <v>2714</v>
      </c>
      <c r="K596" s="2">
        <v>292.29000000000002</v>
      </c>
      <c r="L596" s="6">
        <v>25</v>
      </c>
      <c r="M596" s="2">
        <f t="shared" si="45"/>
        <v>4384.3500000000004</v>
      </c>
      <c r="N596" s="2">
        <f t="shared" si="46"/>
        <v>1096.0875000000001</v>
      </c>
      <c r="O596" s="2">
        <f t="shared" si="47"/>
        <v>3288.2625000000003</v>
      </c>
      <c r="P596" s="1">
        <v>225</v>
      </c>
      <c r="Q596" s="2">
        <v>204.6</v>
      </c>
      <c r="R596" s="2">
        <f t="shared" si="48"/>
        <v>219.26250000000027</v>
      </c>
      <c r="S596" s="1" t="s">
        <v>1003</v>
      </c>
      <c r="T596" s="1" t="s">
        <v>1004</v>
      </c>
      <c r="U596" s="1" t="str">
        <f t="shared" si="49"/>
        <v>NO</v>
      </c>
    </row>
    <row r="597" spans="1:21" x14ac:dyDescent="0.3">
      <c r="A597" s="1" t="s">
        <v>782</v>
      </c>
      <c r="B597" s="1" t="s">
        <v>63</v>
      </c>
      <c r="C597" s="1" t="s">
        <v>64</v>
      </c>
      <c r="D597" s="1" t="s">
        <v>28</v>
      </c>
      <c r="E597" s="1" t="s">
        <v>1610</v>
      </c>
      <c r="F597" s="1" t="s">
        <v>1013</v>
      </c>
      <c r="G597" s="1" t="s">
        <v>1002</v>
      </c>
      <c r="H597" s="1">
        <v>14</v>
      </c>
      <c r="I597" s="1">
        <v>5</v>
      </c>
      <c r="J597" s="1" t="s">
        <v>2802</v>
      </c>
      <c r="K597" s="2">
        <v>139.21</v>
      </c>
      <c r="L597" s="6">
        <v>22</v>
      </c>
      <c r="M597" s="2">
        <f t="shared" si="45"/>
        <v>1948.94</v>
      </c>
      <c r="N597" s="2">
        <f t="shared" si="46"/>
        <v>428.76679999999999</v>
      </c>
      <c r="O597" s="2">
        <f t="shared" si="47"/>
        <v>1520.1732000000002</v>
      </c>
      <c r="P597" s="1">
        <v>239</v>
      </c>
      <c r="Q597" s="2">
        <v>97.45</v>
      </c>
      <c r="R597" s="2">
        <f t="shared" si="48"/>
        <v>155.87320000000022</v>
      </c>
      <c r="S597" s="1" t="s">
        <v>1003</v>
      </c>
      <c r="T597" s="1" t="s">
        <v>1007</v>
      </c>
      <c r="U597" s="1" t="str">
        <f t="shared" si="49"/>
        <v>NO</v>
      </c>
    </row>
    <row r="598" spans="1:21" x14ac:dyDescent="0.3">
      <c r="A598" s="1" t="s">
        <v>783</v>
      </c>
      <c r="B598" s="1" t="s">
        <v>111</v>
      </c>
      <c r="C598" s="1" t="s">
        <v>112</v>
      </c>
      <c r="D598" s="1" t="s">
        <v>97</v>
      </c>
      <c r="E598" s="1" t="s">
        <v>1611</v>
      </c>
      <c r="F598" s="1" t="s">
        <v>1006</v>
      </c>
      <c r="G598" s="1" t="s">
        <v>1002</v>
      </c>
      <c r="H598" s="1">
        <v>3</v>
      </c>
      <c r="I598" s="1">
        <v>5</v>
      </c>
      <c r="J598" s="1" t="s">
        <v>2627</v>
      </c>
      <c r="K598" s="2">
        <v>339.86</v>
      </c>
      <c r="L598" s="6">
        <v>5</v>
      </c>
      <c r="M598" s="2">
        <f t="shared" si="45"/>
        <v>1019.58</v>
      </c>
      <c r="N598" s="2">
        <f t="shared" si="46"/>
        <v>50.979000000000006</v>
      </c>
      <c r="O598" s="2">
        <f t="shared" si="47"/>
        <v>968.601</v>
      </c>
      <c r="P598" s="1">
        <v>266</v>
      </c>
      <c r="Q598" s="2">
        <v>237.9</v>
      </c>
      <c r="R598" s="2">
        <f t="shared" si="48"/>
        <v>254.90099999999995</v>
      </c>
      <c r="S598" s="1" t="s">
        <v>1011</v>
      </c>
      <c r="T598" s="1" t="s">
        <v>1007</v>
      </c>
      <c r="U598" s="1" t="str">
        <f t="shared" si="49"/>
        <v>NO</v>
      </c>
    </row>
    <row r="599" spans="1:21" x14ac:dyDescent="0.3">
      <c r="A599" s="1" t="s">
        <v>784</v>
      </c>
      <c r="B599" s="1" t="s">
        <v>126</v>
      </c>
      <c r="C599" s="1" t="s">
        <v>127</v>
      </c>
      <c r="D599" s="1" t="s">
        <v>85</v>
      </c>
      <c r="E599" s="1" t="s">
        <v>1612</v>
      </c>
      <c r="F599" s="1" t="s">
        <v>1013</v>
      </c>
      <c r="G599" s="1" t="s">
        <v>1010</v>
      </c>
      <c r="H599" s="1">
        <v>1</v>
      </c>
      <c r="I599" s="1">
        <v>4</v>
      </c>
      <c r="J599" s="1" t="s">
        <v>2741</v>
      </c>
      <c r="K599" s="2">
        <v>462.53</v>
      </c>
      <c r="L599" s="6">
        <v>3</v>
      </c>
      <c r="M599" s="2">
        <f t="shared" si="45"/>
        <v>462.53</v>
      </c>
      <c r="N599" s="2">
        <f t="shared" si="46"/>
        <v>13.8759</v>
      </c>
      <c r="O599" s="2">
        <f t="shared" si="47"/>
        <v>448.65409999999997</v>
      </c>
      <c r="P599" s="1">
        <v>203</v>
      </c>
      <c r="Q599" s="2">
        <v>323.77</v>
      </c>
      <c r="R599" s="2">
        <f t="shared" si="48"/>
        <v>124.88409999999999</v>
      </c>
      <c r="S599" s="1" t="s">
        <v>1011</v>
      </c>
      <c r="T599" s="1" t="s">
        <v>1004</v>
      </c>
      <c r="U599" s="1" t="str">
        <f t="shared" si="49"/>
        <v>NO</v>
      </c>
    </row>
    <row r="600" spans="1:21" x14ac:dyDescent="0.3">
      <c r="A600" s="1" t="s">
        <v>785</v>
      </c>
      <c r="B600" s="1" t="s">
        <v>166</v>
      </c>
      <c r="C600" s="1" t="s">
        <v>167</v>
      </c>
      <c r="D600" s="1" t="s">
        <v>59</v>
      </c>
      <c r="E600" s="1" t="s">
        <v>1613</v>
      </c>
      <c r="F600" s="1" t="s">
        <v>1001</v>
      </c>
      <c r="G600" s="1" t="s">
        <v>1023</v>
      </c>
      <c r="H600" s="1">
        <v>13</v>
      </c>
      <c r="I600" s="1">
        <v>2</v>
      </c>
      <c r="J600" s="1" t="s">
        <v>2595</v>
      </c>
      <c r="K600" s="2">
        <v>107.5</v>
      </c>
      <c r="L600" s="6">
        <v>19</v>
      </c>
      <c r="M600" s="2">
        <f t="shared" si="45"/>
        <v>1397.5</v>
      </c>
      <c r="N600" s="2">
        <f t="shared" si="46"/>
        <v>265.52499999999998</v>
      </c>
      <c r="O600" s="2">
        <f t="shared" si="47"/>
        <v>1131.9749999999999</v>
      </c>
      <c r="P600" s="1">
        <v>269</v>
      </c>
      <c r="Q600" s="2">
        <v>75.25</v>
      </c>
      <c r="R600" s="2">
        <f t="shared" si="48"/>
        <v>153.72499999999991</v>
      </c>
      <c r="S600" s="1" t="s">
        <v>1003</v>
      </c>
      <c r="T600" s="1" t="s">
        <v>1004</v>
      </c>
      <c r="U600" s="1" t="str">
        <f t="shared" si="49"/>
        <v>NO</v>
      </c>
    </row>
    <row r="601" spans="1:21" x14ac:dyDescent="0.3">
      <c r="A601" s="1" t="s">
        <v>786</v>
      </c>
      <c r="B601" s="1" t="s">
        <v>143</v>
      </c>
      <c r="C601" s="1" t="s">
        <v>144</v>
      </c>
      <c r="D601" s="1" t="s">
        <v>47</v>
      </c>
      <c r="E601" s="1" t="s">
        <v>1614</v>
      </c>
      <c r="F601" s="1" t="s">
        <v>1013</v>
      </c>
      <c r="G601" s="1" t="s">
        <v>1010</v>
      </c>
      <c r="H601" s="1">
        <v>8</v>
      </c>
      <c r="I601" s="1">
        <v>5</v>
      </c>
      <c r="J601" s="1" t="s">
        <v>2530</v>
      </c>
      <c r="K601" s="2">
        <v>76.400000000000006</v>
      </c>
      <c r="L601" s="6">
        <v>8</v>
      </c>
      <c r="M601" s="2">
        <f t="shared" si="45"/>
        <v>611.20000000000005</v>
      </c>
      <c r="N601" s="2">
        <f t="shared" si="46"/>
        <v>48.896000000000001</v>
      </c>
      <c r="O601" s="2">
        <f t="shared" si="47"/>
        <v>562.30400000000009</v>
      </c>
      <c r="P601" s="1">
        <v>72</v>
      </c>
      <c r="Q601" s="2">
        <v>53.48</v>
      </c>
      <c r="R601" s="2">
        <f t="shared" si="48"/>
        <v>134.46400000000011</v>
      </c>
      <c r="S601" s="1" t="s">
        <v>1003</v>
      </c>
      <c r="T601" s="1" t="s">
        <v>1007</v>
      </c>
      <c r="U601" s="1" t="str">
        <f t="shared" si="49"/>
        <v>NO</v>
      </c>
    </row>
    <row r="602" spans="1:21" x14ac:dyDescent="0.3">
      <c r="A602" s="1" t="s">
        <v>787</v>
      </c>
      <c r="B602" s="1" t="s">
        <v>26</v>
      </c>
      <c r="C602" s="1" t="s">
        <v>27</v>
      </c>
      <c r="D602" s="1" t="s">
        <v>28</v>
      </c>
      <c r="E602" s="1" t="s">
        <v>1615</v>
      </c>
      <c r="F602" s="1" t="s">
        <v>1013</v>
      </c>
      <c r="G602" s="1" t="s">
        <v>1002</v>
      </c>
      <c r="H602" s="1">
        <v>4</v>
      </c>
      <c r="I602" s="1">
        <v>3</v>
      </c>
      <c r="J602" s="1" t="s">
        <v>2698</v>
      </c>
      <c r="K602" s="2">
        <v>349.41</v>
      </c>
      <c r="L602" s="6">
        <v>25</v>
      </c>
      <c r="M602" s="2">
        <f t="shared" si="45"/>
        <v>1397.64</v>
      </c>
      <c r="N602" s="2">
        <f t="shared" si="46"/>
        <v>349.41</v>
      </c>
      <c r="O602" s="2">
        <f t="shared" si="47"/>
        <v>1048.23</v>
      </c>
      <c r="P602" s="1">
        <v>45</v>
      </c>
      <c r="Q602" s="2">
        <v>244.59</v>
      </c>
      <c r="R602" s="2">
        <f t="shared" si="48"/>
        <v>69.87</v>
      </c>
      <c r="S602" s="1" t="s">
        <v>1003</v>
      </c>
      <c r="T602" s="1" t="s">
        <v>1004</v>
      </c>
      <c r="U602" s="1" t="str">
        <f t="shared" si="49"/>
        <v>NO</v>
      </c>
    </row>
    <row r="603" spans="1:21" x14ac:dyDescent="0.3">
      <c r="A603" s="1" t="s">
        <v>788</v>
      </c>
      <c r="B603" s="1" t="s">
        <v>26</v>
      </c>
      <c r="C603" s="1" t="s">
        <v>27</v>
      </c>
      <c r="D603" s="1" t="s">
        <v>28</v>
      </c>
      <c r="E603" s="1" t="s">
        <v>1616</v>
      </c>
      <c r="F603" s="1" t="s">
        <v>1009</v>
      </c>
      <c r="G603" s="1" t="s">
        <v>1023</v>
      </c>
      <c r="H603" s="1">
        <v>9</v>
      </c>
      <c r="I603" s="1">
        <v>5</v>
      </c>
      <c r="J603" s="1" t="s">
        <v>2568</v>
      </c>
      <c r="K603" s="2">
        <v>340.4</v>
      </c>
      <c r="L603" s="6">
        <v>10</v>
      </c>
      <c r="M603" s="2">
        <f t="shared" si="45"/>
        <v>3063.6</v>
      </c>
      <c r="N603" s="2">
        <f t="shared" si="46"/>
        <v>306.36</v>
      </c>
      <c r="O603" s="2">
        <f t="shared" si="47"/>
        <v>2757.24</v>
      </c>
      <c r="P603" s="1">
        <v>99</v>
      </c>
      <c r="Q603" s="2">
        <v>238.28</v>
      </c>
      <c r="R603" s="2">
        <f t="shared" si="48"/>
        <v>612.7199999999998</v>
      </c>
      <c r="S603" s="1" t="s">
        <v>1003</v>
      </c>
      <c r="T603" s="1" t="s">
        <v>1004</v>
      </c>
      <c r="U603" s="1" t="str">
        <f t="shared" si="49"/>
        <v>NO</v>
      </c>
    </row>
    <row r="604" spans="1:21" x14ac:dyDescent="0.3">
      <c r="A604" s="1" t="s">
        <v>789</v>
      </c>
      <c r="B604" s="1" t="s">
        <v>262</v>
      </c>
      <c r="C604" s="1" t="s">
        <v>263</v>
      </c>
      <c r="D604" s="1" t="s">
        <v>104</v>
      </c>
      <c r="E604" s="1" t="s">
        <v>1617</v>
      </c>
      <c r="F604" s="1" t="s">
        <v>1006</v>
      </c>
      <c r="G604" s="1" t="s">
        <v>1002</v>
      </c>
      <c r="H604" s="1">
        <v>5</v>
      </c>
      <c r="I604" s="1">
        <v>4</v>
      </c>
      <c r="J604" s="1" t="s">
        <v>2800</v>
      </c>
      <c r="K604" s="2">
        <v>197.54</v>
      </c>
      <c r="L604" s="6">
        <v>25</v>
      </c>
      <c r="M604" s="2">
        <f t="shared" si="45"/>
        <v>987.69999999999993</v>
      </c>
      <c r="N604" s="2">
        <f t="shared" si="46"/>
        <v>246.92500000000001</v>
      </c>
      <c r="O604" s="2">
        <f t="shared" si="47"/>
        <v>740.77499999999986</v>
      </c>
      <c r="P604" s="1">
        <v>117</v>
      </c>
      <c r="Q604" s="2">
        <v>138.28</v>
      </c>
      <c r="R604" s="2">
        <f t="shared" si="48"/>
        <v>49.374999999999886</v>
      </c>
      <c r="S604" s="1" t="s">
        <v>1016</v>
      </c>
      <c r="T604" s="1" t="s">
        <v>1004</v>
      </c>
      <c r="U604" s="1" t="str">
        <f t="shared" si="49"/>
        <v>YES</v>
      </c>
    </row>
    <row r="605" spans="1:21" x14ac:dyDescent="0.3">
      <c r="A605" s="1" t="s">
        <v>790</v>
      </c>
      <c r="B605" s="1" t="s">
        <v>63</v>
      </c>
      <c r="C605" s="1" t="s">
        <v>64</v>
      </c>
      <c r="D605" s="1" t="s">
        <v>28</v>
      </c>
      <c r="E605" s="1" t="s">
        <v>1618</v>
      </c>
      <c r="F605" s="1" t="s">
        <v>1009</v>
      </c>
      <c r="G605" s="1" t="s">
        <v>1023</v>
      </c>
      <c r="H605" s="1">
        <v>3</v>
      </c>
      <c r="I605" s="1">
        <v>3</v>
      </c>
      <c r="J605" s="1" t="s">
        <v>2613</v>
      </c>
      <c r="K605" s="2">
        <v>146.43</v>
      </c>
      <c r="L605" s="6">
        <v>13</v>
      </c>
      <c r="M605" s="2">
        <f t="shared" si="45"/>
        <v>439.29</v>
      </c>
      <c r="N605" s="2">
        <f t="shared" si="46"/>
        <v>57.107700000000001</v>
      </c>
      <c r="O605" s="2">
        <f t="shared" si="47"/>
        <v>382.1823</v>
      </c>
      <c r="P605" s="1">
        <v>77</v>
      </c>
      <c r="Q605" s="2">
        <v>102.5</v>
      </c>
      <c r="R605" s="2">
        <f t="shared" si="48"/>
        <v>74.682299999999998</v>
      </c>
      <c r="S605" s="1" t="s">
        <v>1003</v>
      </c>
      <c r="T605" s="1" t="s">
        <v>1007</v>
      </c>
      <c r="U605" s="1" t="str">
        <f t="shared" si="49"/>
        <v>NO</v>
      </c>
    </row>
    <row r="606" spans="1:21" x14ac:dyDescent="0.3">
      <c r="A606" s="1" t="s">
        <v>791</v>
      </c>
      <c r="B606" s="1" t="s">
        <v>69</v>
      </c>
      <c r="C606" s="1" t="s">
        <v>70</v>
      </c>
      <c r="D606" s="1" t="s">
        <v>59</v>
      </c>
      <c r="E606" s="1" t="s">
        <v>1619</v>
      </c>
      <c r="F606" s="1" t="s">
        <v>1009</v>
      </c>
      <c r="G606" s="1" t="s">
        <v>1023</v>
      </c>
      <c r="H606" s="1">
        <v>15</v>
      </c>
      <c r="I606" s="1">
        <v>7</v>
      </c>
      <c r="J606" s="1" t="s">
        <v>2710</v>
      </c>
      <c r="K606" s="2">
        <v>211.37</v>
      </c>
      <c r="L606" s="6">
        <v>2</v>
      </c>
      <c r="M606" s="2">
        <f t="shared" si="45"/>
        <v>3170.55</v>
      </c>
      <c r="N606" s="2">
        <f t="shared" si="46"/>
        <v>63.411000000000001</v>
      </c>
      <c r="O606" s="2">
        <f t="shared" si="47"/>
        <v>3107.1390000000001</v>
      </c>
      <c r="P606" s="1">
        <v>94</v>
      </c>
      <c r="Q606" s="2">
        <v>147.96</v>
      </c>
      <c r="R606" s="2">
        <f t="shared" si="48"/>
        <v>887.73900000000003</v>
      </c>
      <c r="S606" s="1" t="s">
        <v>1003</v>
      </c>
      <c r="T606" s="1" t="s">
        <v>1007</v>
      </c>
      <c r="U606" s="1" t="str">
        <f t="shared" si="49"/>
        <v>NO</v>
      </c>
    </row>
    <row r="607" spans="1:21" x14ac:dyDescent="0.3">
      <c r="A607" s="1" t="s">
        <v>792</v>
      </c>
      <c r="B607" s="1" t="s">
        <v>26</v>
      </c>
      <c r="C607" s="1" t="s">
        <v>27</v>
      </c>
      <c r="D607" s="1" t="s">
        <v>28</v>
      </c>
      <c r="E607" s="1" t="s">
        <v>1620</v>
      </c>
      <c r="F607" s="1" t="s">
        <v>1009</v>
      </c>
      <c r="G607" s="1" t="s">
        <v>1023</v>
      </c>
      <c r="H607" s="1">
        <v>2</v>
      </c>
      <c r="I607" s="1">
        <v>7</v>
      </c>
      <c r="J607" s="1" t="s">
        <v>2829</v>
      </c>
      <c r="K607" s="2">
        <v>178.28</v>
      </c>
      <c r="L607" s="6">
        <v>0</v>
      </c>
      <c r="M607" s="2">
        <f t="shared" si="45"/>
        <v>356.56</v>
      </c>
      <c r="N607" s="2">
        <f t="shared" si="46"/>
        <v>0</v>
      </c>
      <c r="O607" s="2">
        <f t="shared" si="47"/>
        <v>356.56</v>
      </c>
      <c r="P607" s="1">
        <v>156</v>
      </c>
      <c r="Q607" s="2">
        <v>124.8</v>
      </c>
      <c r="R607" s="2">
        <f t="shared" si="48"/>
        <v>106.96000000000001</v>
      </c>
      <c r="S607" s="1" t="s">
        <v>1011</v>
      </c>
      <c r="T607" s="1" t="s">
        <v>1004</v>
      </c>
      <c r="U607" s="1" t="str">
        <f t="shared" si="49"/>
        <v>NO</v>
      </c>
    </row>
    <row r="608" spans="1:21" x14ac:dyDescent="0.3">
      <c r="A608" s="1" t="s">
        <v>793</v>
      </c>
      <c r="B608" s="1" t="s">
        <v>63</v>
      </c>
      <c r="C608" s="1" t="s">
        <v>64</v>
      </c>
      <c r="D608" s="1" t="s">
        <v>28</v>
      </c>
      <c r="E608" s="1" t="s">
        <v>1621</v>
      </c>
      <c r="F608" s="1" t="s">
        <v>1013</v>
      </c>
      <c r="G608" s="1" t="s">
        <v>1023</v>
      </c>
      <c r="H608" s="1">
        <v>3</v>
      </c>
      <c r="I608" s="1">
        <v>1</v>
      </c>
      <c r="J608" s="1" t="s">
        <v>2782</v>
      </c>
      <c r="K608" s="2">
        <v>482.14</v>
      </c>
      <c r="L608" s="6">
        <v>16</v>
      </c>
      <c r="M608" s="2">
        <f t="shared" si="45"/>
        <v>1446.42</v>
      </c>
      <c r="N608" s="2">
        <f t="shared" si="46"/>
        <v>231.4272</v>
      </c>
      <c r="O608" s="2">
        <f t="shared" si="47"/>
        <v>1214.9928</v>
      </c>
      <c r="P608" s="1">
        <v>63</v>
      </c>
      <c r="Q608" s="2">
        <v>337.5</v>
      </c>
      <c r="R608" s="2">
        <f t="shared" si="48"/>
        <v>202.49279999999999</v>
      </c>
      <c r="S608" s="1" t="s">
        <v>1003</v>
      </c>
      <c r="T608" s="1" t="s">
        <v>1004</v>
      </c>
      <c r="U608" s="1" t="str">
        <f t="shared" si="49"/>
        <v>NO</v>
      </c>
    </row>
    <row r="609" spans="1:21" x14ac:dyDescent="0.3">
      <c r="A609" s="1" t="s">
        <v>794</v>
      </c>
      <c r="B609" s="1" t="s">
        <v>126</v>
      </c>
      <c r="C609" s="1" t="s">
        <v>127</v>
      </c>
      <c r="D609" s="1" t="s">
        <v>85</v>
      </c>
      <c r="E609" s="1" t="s">
        <v>1622</v>
      </c>
      <c r="F609" s="1" t="s">
        <v>1009</v>
      </c>
      <c r="G609" s="1" t="s">
        <v>1002</v>
      </c>
      <c r="H609" s="1">
        <v>9</v>
      </c>
      <c r="I609" s="1">
        <v>7</v>
      </c>
      <c r="J609" s="1" t="s">
        <v>2559</v>
      </c>
      <c r="K609" s="2">
        <v>68.819999999999993</v>
      </c>
      <c r="L609" s="6">
        <v>14</v>
      </c>
      <c r="M609" s="2">
        <f t="shared" si="45"/>
        <v>619.37999999999988</v>
      </c>
      <c r="N609" s="2">
        <f t="shared" si="46"/>
        <v>86.713199999999972</v>
      </c>
      <c r="O609" s="2">
        <f t="shared" si="47"/>
        <v>532.66679999999997</v>
      </c>
      <c r="P609" s="1">
        <v>266</v>
      </c>
      <c r="Q609" s="2">
        <v>48.17</v>
      </c>
      <c r="R609" s="2">
        <f t="shared" si="48"/>
        <v>99.136799999999937</v>
      </c>
      <c r="S609" s="1" t="s">
        <v>1011</v>
      </c>
      <c r="T609" s="1" t="s">
        <v>1004</v>
      </c>
      <c r="U609" s="1" t="str">
        <f t="shared" si="49"/>
        <v>NO</v>
      </c>
    </row>
    <row r="610" spans="1:21" x14ac:dyDescent="0.3">
      <c r="A610" s="1" t="s">
        <v>795</v>
      </c>
      <c r="B610" s="1" t="s">
        <v>189</v>
      </c>
      <c r="C610" s="1" t="s">
        <v>190</v>
      </c>
      <c r="D610" s="1" t="s">
        <v>59</v>
      </c>
      <c r="E610" s="1" t="s">
        <v>1623</v>
      </c>
      <c r="F610" s="1" t="s">
        <v>1015</v>
      </c>
      <c r="G610" s="1" t="s">
        <v>1023</v>
      </c>
      <c r="H610" s="1">
        <v>5</v>
      </c>
      <c r="I610" s="1">
        <v>6</v>
      </c>
      <c r="J610" s="1" t="s">
        <v>2627</v>
      </c>
      <c r="K610" s="2">
        <v>441.29</v>
      </c>
      <c r="L610" s="6">
        <v>10</v>
      </c>
      <c r="M610" s="2">
        <f t="shared" si="45"/>
        <v>2206.4500000000003</v>
      </c>
      <c r="N610" s="2">
        <f t="shared" si="46"/>
        <v>220.64500000000004</v>
      </c>
      <c r="O610" s="2">
        <f t="shared" si="47"/>
        <v>1985.8050000000003</v>
      </c>
      <c r="P610" s="1">
        <v>271</v>
      </c>
      <c r="Q610" s="2">
        <v>308.89999999999998</v>
      </c>
      <c r="R610" s="2">
        <f t="shared" si="48"/>
        <v>441.30500000000029</v>
      </c>
      <c r="S610" s="1" t="s">
        <v>1011</v>
      </c>
      <c r="T610" s="1" t="s">
        <v>1007</v>
      </c>
      <c r="U610" s="1" t="str">
        <f t="shared" si="49"/>
        <v>NO</v>
      </c>
    </row>
    <row r="611" spans="1:21" x14ac:dyDescent="0.3">
      <c r="A611" s="1" t="s">
        <v>796</v>
      </c>
      <c r="B611" s="1" t="s">
        <v>299</v>
      </c>
      <c r="C611" s="1" t="s">
        <v>300</v>
      </c>
      <c r="D611" s="1" t="s">
        <v>39</v>
      </c>
      <c r="E611" s="1" t="s">
        <v>1624</v>
      </c>
      <c r="F611" s="1" t="s">
        <v>1027</v>
      </c>
      <c r="G611" s="1" t="s">
        <v>1010</v>
      </c>
      <c r="H611" s="1">
        <v>11</v>
      </c>
      <c r="I611" s="1">
        <v>6</v>
      </c>
      <c r="J611" s="1" t="s">
        <v>2537</v>
      </c>
      <c r="K611" s="2">
        <v>50.82</v>
      </c>
      <c r="L611" s="6">
        <v>18</v>
      </c>
      <c r="M611" s="2">
        <f t="shared" si="45"/>
        <v>559.02</v>
      </c>
      <c r="N611" s="2">
        <f t="shared" si="46"/>
        <v>100.62360000000001</v>
      </c>
      <c r="O611" s="2">
        <f t="shared" si="47"/>
        <v>458.39639999999997</v>
      </c>
      <c r="P611" s="1">
        <v>246</v>
      </c>
      <c r="Q611" s="2">
        <v>35.57</v>
      </c>
      <c r="R611" s="2">
        <f t="shared" si="48"/>
        <v>67.12639999999999</v>
      </c>
      <c r="S611" s="1" t="s">
        <v>1016</v>
      </c>
      <c r="T611" s="1" t="s">
        <v>1007</v>
      </c>
      <c r="U611" s="1" t="str">
        <f t="shared" si="49"/>
        <v>YES</v>
      </c>
    </row>
    <row r="612" spans="1:21" x14ac:dyDescent="0.3">
      <c r="A612" s="1" t="s">
        <v>797</v>
      </c>
      <c r="B612" s="1" t="s">
        <v>197</v>
      </c>
      <c r="C612" s="1" t="s">
        <v>198</v>
      </c>
      <c r="D612" s="1" t="s">
        <v>104</v>
      </c>
      <c r="E612" s="1" t="s">
        <v>1625</v>
      </c>
      <c r="F612" s="1" t="s">
        <v>1009</v>
      </c>
      <c r="G612" s="1" t="s">
        <v>1002</v>
      </c>
      <c r="H612" s="1">
        <v>13</v>
      </c>
      <c r="I612" s="1">
        <v>2</v>
      </c>
      <c r="J612" s="1" t="s">
        <v>2701</v>
      </c>
      <c r="K612" s="2">
        <v>173.31</v>
      </c>
      <c r="L612" s="6">
        <v>6</v>
      </c>
      <c r="M612" s="2">
        <f t="shared" si="45"/>
        <v>2253.0300000000002</v>
      </c>
      <c r="N612" s="2">
        <f t="shared" si="46"/>
        <v>135.18180000000001</v>
      </c>
      <c r="O612" s="2">
        <f t="shared" si="47"/>
        <v>2117.8482000000004</v>
      </c>
      <c r="P612" s="1">
        <v>207</v>
      </c>
      <c r="Q612" s="2">
        <v>121.32</v>
      </c>
      <c r="R612" s="2">
        <f t="shared" si="48"/>
        <v>540.68820000000051</v>
      </c>
      <c r="S612" s="1" t="s">
        <v>1003</v>
      </c>
      <c r="T612" s="1" t="s">
        <v>1007</v>
      </c>
      <c r="U612" s="1" t="str">
        <f t="shared" si="49"/>
        <v>NO</v>
      </c>
    </row>
    <row r="613" spans="1:21" x14ac:dyDescent="0.3">
      <c r="A613" s="1" t="s">
        <v>798</v>
      </c>
      <c r="B613" s="1" t="s">
        <v>107</v>
      </c>
      <c r="C613" s="1" t="s">
        <v>108</v>
      </c>
      <c r="D613" s="1" t="s">
        <v>39</v>
      </c>
      <c r="E613" s="1" t="s">
        <v>1626</v>
      </c>
      <c r="F613" s="1" t="s">
        <v>1009</v>
      </c>
      <c r="G613" s="1" t="s">
        <v>1023</v>
      </c>
      <c r="H613" s="1">
        <v>10</v>
      </c>
      <c r="I613" s="1">
        <v>5</v>
      </c>
      <c r="J613" s="1" t="s">
        <v>2830</v>
      </c>
      <c r="K613" s="2">
        <v>266.86</v>
      </c>
      <c r="L613" s="6">
        <v>1</v>
      </c>
      <c r="M613" s="2">
        <f t="shared" si="45"/>
        <v>2668.6000000000004</v>
      </c>
      <c r="N613" s="2">
        <f t="shared" si="46"/>
        <v>26.686000000000003</v>
      </c>
      <c r="O613" s="2">
        <f t="shared" si="47"/>
        <v>2641.9140000000002</v>
      </c>
      <c r="P613" s="1">
        <v>217</v>
      </c>
      <c r="Q613" s="2">
        <v>186.8</v>
      </c>
      <c r="R613" s="2">
        <f t="shared" si="48"/>
        <v>773.91400000000021</v>
      </c>
      <c r="S613" s="1" t="s">
        <v>1011</v>
      </c>
      <c r="T613" s="1" t="s">
        <v>1007</v>
      </c>
      <c r="U613" s="1" t="str">
        <f t="shared" si="49"/>
        <v>NO</v>
      </c>
    </row>
    <row r="614" spans="1:21" x14ac:dyDescent="0.3">
      <c r="A614" s="1" t="s">
        <v>799</v>
      </c>
      <c r="B614" s="1" t="s">
        <v>72</v>
      </c>
      <c r="C614" s="1" t="s">
        <v>73</v>
      </c>
      <c r="D614" s="1" t="s">
        <v>47</v>
      </c>
      <c r="E614" s="1" t="s">
        <v>1627</v>
      </c>
      <c r="F614" s="1" t="s">
        <v>1027</v>
      </c>
      <c r="G614" s="1" t="s">
        <v>1010</v>
      </c>
      <c r="H614" s="1">
        <v>1</v>
      </c>
      <c r="I614" s="1">
        <v>2</v>
      </c>
      <c r="J614" s="1" t="s">
        <v>2831</v>
      </c>
      <c r="K614" s="2">
        <v>146.37</v>
      </c>
      <c r="L614" s="6">
        <v>9</v>
      </c>
      <c r="M614" s="2">
        <f t="shared" si="45"/>
        <v>146.37</v>
      </c>
      <c r="N614" s="2">
        <f t="shared" si="46"/>
        <v>13.173299999999999</v>
      </c>
      <c r="O614" s="2">
        <f t="shared" si="47"/>
        <v>133.19669999999999</v>
      </c>
      <c r="P614" s="1">
        <v>136</v>
      </c>
      <c r="Q614" s="2">
        <v>102.46</v>
      </c>
      <c r="R614" s="2">
        <f t="shared" si="48"/>
        <v>30.736699999999999</v>
      </c>
      <c r="S614" s="1" t="s">
        <v>1011</v>
      </c>
      <c r="T614" s="1" t="s">
        <v>1004</v>
      </c>
      <c r="U614" s="1" t="str">
        <f t="shared" si="49"/>
        <v>NO</v>
      </c>
    </row>
    <row r="615" spans="1:21" x14ac:dyDescent="0.3">
      <c r="A615" s="1" t="s">
        <v>800</v>
      </c>
      <c r="B615" s="1" t="s">
        <v>52</v>
      </c>
      <c r="C615" s="1" t="s">
        <v>53</v>
      </c>
      <c r="D615" s="1" t="s">
        <v>47</v>
      </c>
      <c r="E615" s="1" t="s">
        <v>1628</v>
      </c>
      <c r="F615" s="1" t="s">
        <v>1020</v>
      </c>
      <c r="G615" s="1" t="s">
        <v>1002</v>
      </c>
      <c r="H615" s="1">
        <v>7</v>
      </c>
      <c r="I615" s="1">
        <v>3</v>
      </c>
      <c r="J615" s="1" t="s">
        <v>2774</v>
      </c>
      <c r="K615" s="2">
        <v>115.62</v>
      </c>
      <c r="L615" s="6">
        <v>6</v>
      </c>
      <c r="M615" s="2">
        <f t="shared" si="45"/>
        <v>809.34</v>
      </c>
      <c r="N615" s="2">
        <f t="shared" si="46"/>
        <v>48.560400000000001</v>
      </c>
      <c r="O615" s="2">
        <f t="shared" si="47"/>
        <v>760.77960000000007</v>
      </c>
      <c r="P615" s="1">
        <v>191</v>
      </c>
      <c r="Q615" s="2">
        <v>80.930000000000007</v>
      </c>
      <c r="R615" s="2">
        <f t="shared" si="48"/>
        <v>194.26960000000008</v>
      </c>
      <c r="S615" s="1" t="s">
        <v>1003</v>
      </c>
      <c r="T615" s="1" t="s">
        <v>1007</v>
      </c>
      <c r="U615" s="1" t="str">
        <f t="shared" si="49"/>
        <v>NO</v>
      </c>
    </row>
    <row r="616" spans="1:21" x14ac:dyDescent="0.3">
      <c r="A616" s="1" t="s">
        <v>801</v>
      </c>
      <c r="B616" s="1" t="s">
        <v>77</v>
      </c>
      <c r="C616" s="1" t="s">
        <v>78</v>
      </c>
      <c r="D616" s="1" t="s">
        <v>47</v>
      </c>
      <c r="E616" s="1" t="s">
        <v>1629</v>
      </c>
      <c r="F616" s="1" t="s">
        <v>1001</v>
      </c>
      <c r="G616" s="1" t="s">
        <v>1002</v>
      </c>
      <c r="H616" s="1">
        <v>7</v>
      </c>
      <c r="I616" s="1">
        <v>4</v>
      </c>
      <c r="J616" s="1" t="s">
        <v>2593</v>
      </c>
      <c r="K616" s="2">
        <v>347.71</v>
      </c>
      <c r="L616" s="6">
        <v>3</v>
      </c>
      <c r="M616" s="2">
        <f t="shared" si="45"/>
        <v>2433.9699999999998</v>
      </c>
      <c r="N616" s="2">
        <f t="shared" si="46"/>
        <v>73.019099999999995</v>
      </c>
      <c r="O616" s="2">
        <f t="shared" si="47"/>
        <v>2360.9508999999998</v>
      </c>
      <c r="P616" s="1">
        <v>188</v>
      </c>
      <c r="Q616" s="2">
        <v>243.4</v>
      </c>
      <c r="R616" s="2">
        <f t="shared" si="48"/>
        <v>657.15089999999987</v>
      </c>
      <c r="S616" s="1" t="s">
        <v>1011</v>
      </c>
      <c r="T616" s="1" t="s">
        <v>1007</v>
      </c>
      <c r="U616" s="1" t="str">
        <f t="shared" si="49"/>
        <v>NO</v>
      </c>
    </row>
    <row r="617" spans="1:21" x14ac:dyDescent="0.3">
      <c r="A617" s="1" t="s">
        <v>802</v>
      </c>
      <c r="B617" s="1" t="s">
        <v>189</v>
      </c>
      <c r="C617" s="1" t="s">
        <v>190</v>
      </c>
      <c r="D617" s="1" t="s">
        <v>59</v>
      </c>
      <c r="E617" s="1" t="s">
        <v>1630</v>
      </c>
      <c r="F617" s="1" t="s">
        <v>1013</v>
      </c>
      <c r="G617" s="1" t="s">
        <v>1023</v>
      </c>
      <c r="H617" s="1">
        <v>13</v>
      </c>
      <c r="I617" s="1">
        <v>6</v>
      </c>
      <c r="J617" s="1" t="s">
        <v>2646</v>
      </c>
      <c r="K617" s="2">
        <v>181.15</v>
      </c>
      <c r="L617" s="6">
        <v>25</v>
      </c>
      <c r="M617" s="2">
        <f t="shared" si="45"/>
        <v>2354.9500000000003</v>
      </c>
      <c r="N617" s="2">
        <f t="shared" si="46"/>
        <v>588.73750000000007</v>
      </c>
      <c r="O617" s="2">
        <f t="shared" si="47"/>
        <v>1766.2125000000001</v>
      </c>
      <c r="P617" s="1">
        <v>169</v>
      </c>
      <c r="Q617" s="2">
        <v>126.8</v>
      </c>
      <c r="R617" s="2">
        <f t="shared" si="48"/>
        <v>117.81250000000023</v>
      </c>
      <c r="S617" s="1" t="s">
        <v>1016</v>
      </c>
      <c r="T617" s="1" t="s">
        <v>1004</v>
      </c>
      <c r="U617" s="1" t="str">
        <f t="shared" si="49"/>
        <v>YES</v>
      </c>
    </row>
    <row r="618" spans="1:21" x14ac:dyDescent="0.3">
      <c r="A618" s="1" t="s">
        <v>803</v>
      </c>
      <c r="B618" s="1" t="s">
        <v>118</v>
      </c>
      <c r="C618" s="1" t="s">
        <v>119</v>
      </c>
      <c r="D618" s="1" t="s">
        <v>97</v>
      </c>
      <c r="E618" s="1" t="s">
        <v>1631</v>
      </c>
      <c r="F618" s="1" t="s">
        <v>1015</v>
      </c>
      <c r="G618" s="1" t="s">
        <v>1023</v>
      </c>
      <c r="H618" s="1">
        <v>1</v>
      </c>
      <c r="I618" s="1">
        <v>6</v>
      </c>
      <c r="J618" s="1" t="s">
        <v>2804</v>
      </c>
      <c r="K618" s="2">
        <v>114.03</v>
      </c>
      <c r="L618" s="6">
        <v>9</v>
      </c>
      <c r="M618" s="2">
        <f t="shared" si="45"/>
        <v>114.03</v>
      </c>
      <c r="N618" s="2">
        <f t="shared" si="46"/>
        <v>10.262700000000001</v>
      </c>
      <c r="O618" s="2">
        <f t="shared" si="47"/>
        <v>103.76730000000001</v>
      </c>
      <c r="P618" s="1">
        <v>201</v>
      </c>
      <c r="Q618" s="2">
        <v>79.819999999999993</v>
      </c>
      <c r="R618" s="2">
        <f t="shared" si="48"/>
        <v>23.947300000000013</v>
      </c>
      <c r="S618" s="1" t="s">
        <v>1016</v>
      </c>
      <c r="T618" s="1" t="s">
        <v>1004</v>
      </c>
      <c r="U618" s="1" t="str">
        <f t="shared" si="49"/>
        <v>YES</v>
      </c>
    </row>
    <row r="619" spans="1:21" x14ac:dyDescent="0.3">
      <c r="A619" s="1" t="s">
        <v>804</v>
      </c>
      <c r="B619" s="1" t="s">
        <v>83</v>
      </c>
      <c r="C619" s="1" t="s">
        <v>84</v>
      </c>
      <c r="D619" s="1" t="s">
        <v>85</v>
      </c>
      <c r="E619" s="1" t="s">
        <v>1632</v>
      </c>
      <c r="F619" s="1" t="s">
        <v>1020</v>
      </c>
      <c r="G619" s="1" t="s">
        <v>1010</v>
      </c>
      <c r="H619" s="1">
        <v>10</v>
      </c>
      <c r="I619" s="1">
        <v>4</v>
      </c>
      <c r="J619" s="1" t="s">
        <v>2832</v>
      </c>
      <c r="K619" s="2">
        <v>94.1</v>
      </c>
      <c r="L619" s="6">
        <v>14</v>
      </c>
      <c r="M619" s="2">
        <f t="shared" si="45"/>
        <v>941</v>
      </c>
      <c r="N619" s="2">
        <f t="shared" si="46"/>
        <v>131.74</v>
      </c>
      <c r="O619" s="2">
        <f t="shared" si="47"/>
        <v>809.26</v>
      </c>
      <c r="P619" s="1">
        <v>178</v>
      </c>
      <c r="Q619" s="2">
        <v>65.87</v>
      </c>
      <c r="R619" s="2">
        <f t="shared" si="48"/>
        <v>150.55999999999995</v>
      </c>
      <c r="S619" s="1" t="s">
        <v>1003</v>
      </c>
      <c r="T619" s="1" t="s">
        <v>1004</v>
      </c>
      <c r="U619" s="1" t="str">
        <f t="shared" si="49"/>
        <v>NO</v>
      </c>
    </row>
    <row r="620" spans="1:21" x14ac:dyDescent="0.3">
      <c r="A620" s="1" t="s">
        <v>805</v>
      </c>
      <c r="B620" s="1" t="s">
        <v>176</v>
      </c>
      <c r="C620" s="1" t="s">
        <v>177</v>
      </c>
      <c r="D620" s="1" t="s">
        <v>39</v>
      </c>
      <c r="E620" s="1" t="s">
        <v>1633</v>
      </c>
      <c r="F620" s="1" t="s">
        <v>1009</v>
      </c>
      <c r="G620" s="1" t="s">
        <v>1010</v>
      </c>
      <c r="H620" s="1">
        <v>10</v>
      </c>
      <c r="I620" s="1">
        <v>5</v>
      </c>
      <c r="J620" s="1" t="s">
        <v>2688</v>
      </c>
      <c r="K620" s="2">
        <v>145.51</v>
      </c>
      <c r="L620" s="6">
        <v>13</v>
      </c>
      <c r="M620" s="2">
        <f t="shared" si="45"/>
        <v>1455.1</v>
      </c>
      <c r="N620" s="2">
        <f t="shared" si="46"/>
        <v>189.16299999999998</v>
      </c>
      <c r="O620" s="2">
        <f t="shared" si="47"/>
        <v>1265.9369999999999</v>
      </c>
      <c r="P620" s="1">
        <v>208</v>
      </c>
      <c r="Q620" s="2">
        <v>101.86</v>
      </c>
      <c r="R620" s="2">
        <f t="shared" si="48"/>
        <v>247.33699999999988</v>
      </c>
      <c r="S620" s="1" t="s">
        <v>1011</v>
      </c>
      <c r="T620" s="1" t="s">
        <v>1007</v>
      </c>
      <c r="U620" s="1" t="str">
        <f t="shared" si="49"/>
        <v>NO</v>
      </c>
    </row>
    <row r="621" spans="1:21" x14ac:dyDescent="0.3">
      <c r="A621" s="1" t="s">
        <v>806</v>
      </c>
      <c r="B621" s="1" t="s">
        <v>26</v>
      </c>
      <c r="C621" s="1" t="s">
        <v>27</v>
      </c>
      <c r="D621" s="1" t="s">
        <v>28</v>
      </c>
      <c r="E621" s="1" t="s">
        <v>1634</v>
      </c>
      <c r="F621" s="1" t="s">
        <v>1006</v>
      </c>
      <c r="G621" s="1" t="s">
        <v>1010</v>
      </c>
      <c r="H621" s="1">
        <v>6</v>
      </c>
      <c r="I621" s="1">
        <v>2</v>
      </c>
      <c r="J621" s="1" t="s">
        <v>2833</v>
      </c>
      <c r="K621" s="2">
        <v>156.75</v>
      </c>
      <c r="L621" s="6">
        <v>7</v>
      </c>
      <c r="M621" s="2">
        <f t="shared" si="45"/>
        <v>940.5</v>
      </c>
      <c r="N621" s="2">
        <f t="shared" si="46"/>
        <v>65.834999999999994</v>
      </c>
      <c r="O621" s="2">
        <f t="shared" si="47"/>
        <v>874.66499999999996</v>
      </c>
      <c r="P621" s="1">
        <v>185</v>
      </c>
      <c r="Q621" s="2">
        <v>109.72</v>
      </c>
      <c r="R621" s="2">
        <f t="shared" si="48"/>
        <v>216.34500000000003</v>
      </c>
      <c r="S621" s="1" t="s">
        <v>1016</v>
      </c>
      <c r="T621" s="1" t="s">
        <v>1004</v>
      </c>
      <c r="U621" s="1" t="str">
        <f t="shared" si="49"/>
        <v>YES</v>
      </c>
    </row>
    <row r="622" spans="1:21" x14ac:dyDescent="0.3">
      <c r="A622" s="1" t="s">
        <v>807</v>
      </c>
      <c r="B622" s="1" t="s">
        <v>126</v>
      </c>
      <c r="C622" s="1" t="s">
        <v>127</v>
      </c>
      <c r="D622" s="1" t="s">
        <v>85</v>
      </c>
      <c r="E622" s="1" t="s">
        <v>1635</v>
      </c>
      <c r="F622" s="1" t="s">
        <v>1009</v>
      </c>
      <c r="G622" s="1" t="s">
        <v>1002</v>
      </c>
      <c r="H622" s="1">
        <v>1</v>
      </c>
      <c r="I622" s="1">
        <v>6</v>
      </c>
      <c r="J622" s="1" t="s">
        <v>2804</v>
      </c>
      <c r="K622" s="2">
        <v>434.49</v>
      </c>
      <c r="L622" s="6">
        <v>6</v>
      </c>
      <c r="M622" s="2">
        <f t="shared" si="45"/>
        <v>434.49</v>
      </c>
      <c r="N622" s="2">
        <f t="shared" si="46"/>
        <v>26.069400000000002</v>
      </c>
      <c r="O622" s="2">
        <f t="shared" si="47"/>
        <v>408.42060000000004</v>
      </c>
      <c r="P622" s="1">
        <v>229</v>
      </c>
      <c r="Q622" s="2">
        <v>304.14</v>
      </c>
      <c r="R622" s="2">
        <f t="shared" si="48"/>
        <v>104.28060000000005</v>
      </c>
      <c r="S622" s="1" t="s">
        <v>1011</v>
      </c>
      <c r="T622" s="1" t="s">
        <v>1007</v>
      </c>
      <c r="U622" s="1" t="str">
        <f t="shared" si="49"/>
        <v>NO</v>
      </c>
    </row>
    <row r="623" spans="1:21" x14ac:dyDescent="0.3">
      <c r="A623" s="1" t="s">
        <v>808</v>
      </c>
      <c r="B623" s="1" t="s">
        <v>77</v>
      </c>
      <c r="C623" s="1" t="s">
        <v>78</v>
      </c>
      <c r="D623" s="1" t="s">
        <v>47</v>
      </c>
      <c r="E623" s="1" t="s">
        <v>1636</v>
      </c>
      <c r="F623" s="1" t="s">
        <v>1006</v>
      </c>
      <c r="G623" s="1" t="s">
        <v>1023</v>
      </c>
      <c r="H623" s="1">
        <v>10</v>
      </c>
      <c r="I623" s="1">
        <v>5</v>
      </c>
      <c r="J623" s="1" t="s">
        <v>2591</v>
      </c>
      <c r="K623" s="2">
        <v>347.03</v>
      </c>
      <c r="L623" s="6">
        <v>25</v>
      </c>
      <c r="M623" s="2">
        <f t="shared" si="45"/>
        <v>3470.2999999999997</v>
      </c>
      <c r="N623" s="2">
        <f t="shared" si="46"/>
        <v>867.57500000000005</v>
      </c>
      <c r="O623" s="2">
        <f t="shared" si="47"/>
        <v>2602.7249999999995</v>
      </c>
      <c r="P623" s="1">
        <v>133</v>
      </c>
      <c r="Q623" s="2">
        <v>242.92</v>
      </c>
      <c r="R623" s="2">
        <f t="shared" si="48"/>
        <v>173.52499999999964</v>
      </c>
      <c r="S623" s="1" t="s">
        <v>1016</v>
      </c>
      <c r="T623" s="1" t="s">
        <v>1007</v>
      </c>
      <c r="U623" s="1" t="str">
        <f t="shared" si="49"/>
        <v>YES</v>
      </c>
    </row>
    <row r="624" spans="1:21" x14ac:dyDescent="0.3">
      <c r="A624" s="1" t="s">
        <v>809</v>
      </c>
      <c r="B624" s="1" t="s">
        <v>102</v>
      </c>
      <c r="C624" s="1" t="s">
        <v>103</v>
      </c>
      <c r="D624" s="1" t="s">
        <v>104</v>
      </c>
      <c r="E624" s="1" t="s">
        <v>1637</v>
      </c>
      <c r="F624" s="1" t="s">
        <v>1027</v>
      </c>
      <c r="G624" s="1" t="s">
        <v>1023</v>
      </c>
      <c r="H624" s="1">
        <v>9</v>
      </c>
      <c r="I624" s="1">
        <v>1</v>
      </c>
      <c r="J624" s="1" t="s">
        <v>2564</v>
      </c>
      <c r="K624" s="2">
        <v>52.62</v>
      </c>
      <c r="L624" s="6">
        <v>23</v>
      </c>
      <c r="M624" s="2">
        <f t="shared" si="45"/>
        <v>473.58</v>
      </c>
      <c r="N624" s="2">
        <f t="shared" si="46"/>
        <v>108.9234</v>
      </c>
      <c r="O624" s="2">
        <f t="shared" si="47"/>
        <v>364.65659999999997</v>
      </c>
      <c r="P624" s="1">
        <v>113</v>
      </c>
      <c r="Q624" s="2">
        <v>36.83</v>
      </c>
      <c r="R624" s="2">
        <f t="shared" si="48"/>
        <v>33.186599999999999</v>
      </c>
      <c r="S624" s="1" t="s">
        <v>1003</v>
      </c>
      <c r="T624" s="1" t="s">
        <v>1004</v>
      </c>
      <c r="U624" s="1" t="str">
        <f t="shared" si="49"/>
        <v>NO</v>
      </c>
    </row>
    <row r="625" spans="1:21" x14ac:dyDescent="0.3">
      <c r="A625" s="1" t="s">
        <v>810</v>
      </c>
      <c r="B625" s="1" t="s">
        <v>189</v>
      </c>
      <c r="C625" s="1" t="s">
        <v>190</v>
      </c>
      <c r="D625" s="1" t="s">
        <v>59</v>
      </c>
      <c r="E625" s="1" t="s">
        <v>1638</v>
      </c>
      <c r="F625" s="1" t="s">
        <v>1013</v>
      </c>
      <c r="G625" s="1" t="s">
        <v>1023</v>
      </c>
      <c r="H625" s="1">
        <v>8</v>
      </c>
      <c r="I625" s="1">
        <v>5</v>
      </c>
      <c r="J625" s="1" t="s">
        <v>2815</v>
      </c>
      <c r="K625" s="2">
        <v>473.55</v>
      </c>
      <c r="L625" s="6">
        <v>4</v>
      </c>
      <c r="M625" s="2">
        <f t="shared" si="45"/>
        <v>3788.4</v>
      </c>
      <c r="N625" s="2">
        <f t="shared" si="46"/>
        <v>151.536</v>
      </c>
      <c r="O625" s="2">
        <f t="shared" si="47"/>
        <v>3636.864</v>
      </c>
      <c r="P625" s="1">
        <v>82</v>
      </c>
      <c r="Q625" s="2">
        <v>331.49</v>
      </c>
      <c r="R625" s="2">
        <f t="shared" si="48"/>
        <v>984.94399999999996</v>
      </c>
      <c r="S625" s="1" t="s">
        <v>1011</v>
      </c>
      <c r="T625" s="1" t="s">
        <v>1004</v>
      </c>
      <c r="U625" s="1" t="str">
        <f t="shared" si="49"/>
        <v>NO</v>
      </c>
    </row>
    <row r="626" spans="1:21" x14ac:dyDescent="0.3">
      <c r="A626" s="1" t="s">
        <v>811</v>
      </c>
      <c r="B626" s="1" t="s">
        <v>69</v>
      </c>
      <c r="C626" s="1" t="s">
        <v>70</v>
      </c>
      <c r="D626" s="1" t="s">
        <v>59</v>
      </c>
      <c r="E626" s="1" t="s">
        <v>1639</v>
      </c>
      <c r="F626" s="1" t="s">
        <v>1020</v>
      </c>
      <c r="G626" s="1" t="s">
        <v>1010</v>
      </c>
      <c r="H626" s="1">
        <v>1</v>
      </c>
      <c r="I626" s="1">
        <v>3</v>
      </c>
      <c r="J626" s="1" t="s">
        <v>2583</v>
      </c>
      <c r="K626" s="2">
        <v>483.62</v>
      </c>
      <c r="L626" s="6">
        <v>22</v>
      </c>
      <c r="M626" s="2">
        <f t="shared" si="45"/>
        <v>483.62</v>
      </c>
      <c r="N626" s="2">
        <f t="shared" si="46"/>
        <v>106.3964</v>
      </c>
      <c r="O626" s="2">
        <f t="shared" si="47"/>
        <v>377.22360000000003</v>
      </c>
      <c r="P626" s="1">
        <v>179</v>
      </c>
      <c r="Q626" s="2">
        <v>338.53</v>
      </c>
      <c r="R626" s="2">
        <f t="shared" si="48"/>
        <v>38.69360000000006</v>
      </c>
      <c r="S626" s="1" t="s">
        <v>1011</v>
      </c>
      <c r="T626" s="1" t="s">
        <v>1004</v>
      </c>
      <c r="U626" s="1" t="str">
        <f t="shared" si="49"/>
        <v>NO</v>
      </c>
    </row>
    <row r="627" spans="1:21" x14ac:dyDescent="0.3">
      <c r="A627" s="1" t="s">
        <v>812</v>
      </c>
      <c r="B627" s="1" t="s">
        <v>130</v>
      </c>
      <c r="C627" s="1" t="s">
        <v>131</v>
      </c>
      <c r="D627" s="1" t="s">
        <v>132</v>
      </c>
      <c r="E627" s="1" t="s">
        <v>1640</v>
      </c>
      <c r="F627" s="1" t="s">
        <v>1015</v>
      </c>
      <c r="G627" s="1" t="s">
        <v>1002</v>
      </c>
      <c r="H627" s="1">
        <v>2</v>
      </c>
      <c r="I627" s="1">
        <v>3</v>
      </c>
      <c r="J627" s="1" t="s">
        <v>2834</v>
      </c>
      <c r="K627" s="2">
        <v>69.849999999999994</v>
      </c>
      <c r="L627" s="6">
        <v>8</v>
      </c>
      <c r="M627" s="2">
        <f t="shared" si="45"/>
        <v>139.69999999999999</v>
      </c>
      <c r="N627" s="2">
        <f t="shared" si="46"/>
        <v>11.175999999999998</v>
      </c>
      <c r="O627" s="2">
        <f t="shared" si="47"/>
        <v>128.524</v>
      </c>
      <c r="P627" s="1">
        <v>268</v>
      </c>
      <c r="Q627" s="2">
        <v>48.89</v>
      </c>
      <c r="R627" s="2">
        <f t="shared" si="48"/>
        <v>30.744</v>
      </c>
      <c r="S627" s="1" t="s">
        <v>1016</v>
      </c>
      <c r="T627" s="1" t="s">
        <v>1007</v>
      </c>
      <c r="U627" s="1" t="str">
        <f t="shared" si="49"/>
        <v>YES</v>
      </c>
    </row>
    <row r="628" spans="1:21" x14ac:dyDescent="0.3">
      <c r="A628" s="1" t="s">
        <v>813</v>
      </c>
      <c r="B628" s="1" t="s">
        <v>52</v>
      </c>
      <c r="C628" s="1" t="s">
        <v>53</v>
      </c>
      <c r="D628" s="1" t="s">
        <v>47</v>
      </c>
      <c r="E628" s="1" t="s">
        <v>1641</v>
      </c>
      <c r="F628" s="1" t="s">
        <v>1015</v>
      </c>
      <c r="G628" s="1" t="s">
        <v>1023</v>
      </c>
      <c r="H628" s="1">
        <v>6</v>
      </c>
      <c r="I628" s="1">
        <v>3</v>
      </c>
      <c r="J628" s="1" t="s">
        <v>2576</v>
      </c>
      <c r="K628" s="2">
        <v>147.25</v>
      </c>
      <c r="L628" s="6">
        <v>7</v>
      </c>
      <c r="M628" s="2">
        <f t="shared" si="45"/>
        <v>883.5</v>
      </c>
      <c r="N628" s="2">
        <f t="shared" si="46"/>
        <v>61.844999999999999</v>
      </c>
      <c r="O628" s="2">
        <f t="shared" si="47"/>
        <v>821.65499999999997</v>
      </c>
      <c r="P628" s="1">
        <v>60</v>
      </c>
      <c r="Q628" s="2">
        <v>103.07</v>
      </c>
      <c r="R628" s="2">
        <f t="shared" si="48"/>
        <v>203.23500000000001</v>
      </c>
      <c r="S628" s="1" t="s">
        <v>1011</v>
      </c>
      <c r="T628" s="1" t="s">
        <v>1004</v>
      </c>
      <c r="U628" s="1" t="str">
        <f t="shared" si="49"/>
        <v>NO</v>
      </c>
    </row>
    <row r="629" spans="1:21" x14ac:dyDescent="0.3">
      <c r="A629" s="1" t="s">
        <v>814</v>
      </c>
      <c r="B629" s="1" t="s">
        <v>52</v>
      </c>
      <c r="C629" s="1" t="s">
        <v>53</v>
      </c>
      <c r="D629" s="1" t="s">
        <v>47</v>
      </c>
      <c r="E629" s="1" t="s">
        <v>1642</v>
      </c>
      <c r="F629" s="1" t="s">
        <v>1020</v>
      </c>
      <c r="G629" s="1" t="s">
        <v>1023</v>
      </c>
      <c r="H629" s="1">
        <v>12</v>
      </c>
      <c r="I629" s="1">
        <v>1</v>
      </c>
      <c r="J629" s="1" t="s">
        <v>2835</v>
      </c>
      <c r="K629" s="2">
        <v>113.53</v>
      </c>
      <c r="L629" s="6">
        <v>18</v>
      </c>
      <c r="M629" s="2">
        <f t="shared" si="45"/>
        <v>1362.3600000000001</v>
      </c>
      <c r="N629" s="2">
        <f t="shared" si="46"/>
        <v>245.22480000000004</v>
      </c>
      <c r="O629" s="2">
        <f t="shared" si="47"/>
        <v>1117.1352000000002</v>
      </c>
      <c r="P629" s="1">
        <v>185</v>
      </c>
      <c r="Q629" s="2">
        <v>79.47</v>
      </c>
      <c r="R629" s="2">
        <f t="shared" si="48"/>
        <v>163.49520000000018</v>
      </c>
      <c r="S629" s="1" t="s">
        <v>1016</v>
      </c>
      <c r="T629" s="1" t="s">
        <v>1007</v>
      </c>
      <c r="U629" s="1" t="str">
        <f t="shared" si="49"/>
        <v>YES</v>
      </c>
    </row>
    <row r="630" spans="1:21" x14ac:dyDescent="0.3">
      <c r="A630" s="1" t="s">
        <v>815</v>
      </c>
      <c r="B630" s="1" t="s">
        <v>57</v>
      </c>
      <c r="C630" s="1" t="s">
        <v>58</v>
      </c>
      <c r="D630" s="1" t="s">
        <v>59</v>
      </c>
      <c r="E630" s="1" t="s">
        <v>1643</v>
      </c>
      <c r="F630" s="1" t="s">
        <v>1001</v>
      </c>
      <c r="G630" s="1" t="s">
        <v>1010</v>
      </c>
      <c r="H630" s="1">
        <v>2</v>
      </c>
      <c r="I630" s="1">
        <v>3</v>
      </c>
      <c r="J630" s="1" t="s">
        <v>2670</v>
      </c>
      <c r="K630" s="2">
        <v>140.1</v>
      </c>
      <c r="L630" s="6">
        <v>13</v>
      </c>
      <c r="M630" s="2">
        <f t="shared" si="45"/>
        <v>280.2</v>
      </c>
      <c r="N630" s="2">
        <f t="shared" si="46"/>
        <v>36.426000000000002</v>
      </c>
      <c r="O630" s="2">
        <f t="shared" si="47"/>
        <v>243.774</v>
      </c>
      <c r="P630" s="1">
        <v>81</v>
      </c>
      <c r="Q630" s="2">
        <v>98.07</v>
      </c>
      <c r="R630" s="2">
        <f t="shared" si="48"/>
        <v>47.634000000000015</v>
      </c>
      <c r="S630" s="1" t="s">
        <v>1016</v>
      </c>
      <c r="T630" s="1" t="s">
        <v>1007</v>
      </c>
      <c r="U630" s="1" t="str">
        <f t="shared" si="49"/>
        <v>YES</v>
      </c>
    </row>
    <row r="631" spans="1:21" x14ac:dyDescent="0.3">
      <c r="A631" s="1" t="s">
        <v>816</v>
      </c>
      <c r="B631" s="1" t="s">
        <v>26</v>
      </c>
      <c r="C631" s="1" t="s">
        <v>27</v>
      </c>
      <c r="D631" s="1" t="s">
        <v>28</v>
      </c>
      <c r="E631" s="1" t="s">
        <v>1644</v>
      </c>
      <c r="F631" s="1" t="s">
        <v>1015</v>
      </c>
      <c r="G631" s="1" t="s">
        <v>1002</v>
      </c>
      <c r="H631" s="1">
        <v>11</v>
      </c>
      <c r="I631" s="1">
        <v>3</v>
      </c>
      <c r="J631" s="1" t="s">
        <v>2836</v>
      </c>
      <c r="K631" s="2">
        <v>141.21</v>
      </c>
      <c r="L631" s="6">
        <v>20</v>
      </c>
      <c r="M631" s="2">
        <f t="shared" si="45"/>
        <v>1553.3100000000002</v>
      </c>
      <c r="N631" s="2">
        <f t="shared" si="46"/>
        <v>310.66200000000003</v>
      </c>
      <c r="O631" s="2">
        <f t="shared" si="47"/>
        <v>1242.6480000000001</v>
      </c>
      <c r="P631" s="1">
        <v>162</v>
      </c>
      <c r="Q631" s="2">
        <v>98.85</v>
      </c>
      <c r="R631" s="2">
        <f t="shared" si="48"/>
        <v>155.29800000000023</v>
      </c>
      <c r="S631" s="1" t="s">
        <v>1003</v>
      </c>
      <c r="T631" s="1" t="s">
        <v>1007</v>
      </c>
      <c r="U631" s="1" t="str">
        <f t="shared" si="49"/>
        <v>NO</v>
      </c>
    </row>
    <row r="632" spans="1:21" x14ac:dyDescent="0.3">
      <c r="A632" s="1" t="s">
        <v>817</v>
      </c>
      <c r="B632" s="1" t="s">
        <v>77</v>
      </c>
      <c r="C632" s="1" t="s">
        <v>78</v>
      </c>
      <c r="D632" s="1" t="s">
        <v>47</v>
      </c>
      <c r="E632" s="1" t="s">
        <v>1645</v>
      </c>
      <c r="F632" s="1" t="s">
        <v>1020</v>
      </c>
      <c r="G632" s="1" t="s">
        <v>1023</v>
      </c>
      <c r="H632" s="1">
        <v>10</v>
      </c>
      <c r="I632" s="1">
        <v>5</v>
      </c>
      <c r="J632" s="1" t="s">
        <v>2790</v>
      </c>
      <c r="K632" s="2">
        <v>333.68</v>
      </c>
      <c r="L632" s="6">
        <v>18</v>
      </c>
      <c r="M632" s="2">
        <f t="shared" si="45"/>
        <v>3336.8</v>
      </c>
      <c r="N632" s="2">
        <f t="shared" si="46"/>
        <v>600.62400000000002</v>
      </c>
      <c r="O632" s="2">
        <f t="shared" si="47"/>
        <v>2736.1760000000004</v>
      </c>
      <c r="P632" s="1">
        <v>102</v>
      </c>
      <c r="Q632" s="2">
        <v>233.58</v>
      </c>
      <c r="R632" s="2">
        <f t="shared" si="48"/>
        <v>400.3760000000002</v>
      </c>
      <c r="S632" s="1" t="s">
        <v>1011</v>
      </c>
      <c r="T632" s="1" t="s">
        <v>1007</v>
      </c>
      <c r="U632" s="1" t="str">
        <f t="shared" si="49"/>
        <v>NO</v>
      </c>
    </row>
    <row r="633" spans="1:21" x14ac:dyDescent="0.3">
      <c r="A633" s="1" t="s">
        <v>818</v>
      </c>
      <c r="B633" s="1" t="s">
        <v>72</v>
      </c>
      <c r="C633" s="1" t="s">
        <v>73</v>
      </c>
      <c r="D633" s="1" t="s">
        <v>47</v>
      </c>
      <c r="E633" s="1" t="s">
        <v>1646</v>
      </c>
      <c r="F633" s="1" t="s">
        <v>1027</v>
      </c>
      <c r="G633" s="1" t="s">
        <v>1023</v>
      </c>
      <c r="H633" s="1">
        <v>2</v>
      </c>
      <c r="I633" s="1">
        <v>2</v>
      </c>
      <c r="J633" s="1" t="s">
        <v>2531</v>
      </c>
      <c r="K633" s="2">
        <v>389.6</v>
      </c>
      <c r="L633" s="6">
        <v>16</v>
      </c>
      <c r="M633" s="2">
        <f t="shared" si="45"/>
        <v>779.2</v>
      </c>
      <c r="N633" s="2">
        <f t="shared" si="46"/>
        <v>124.67200000000001</v>
      </c>
      <c r="O633" s="2">
        <f t="shared" si="47"/>
        <v>654.52800000000002</v>
      </c>
      <c r="P633" s="1">
        <v>181</v>
      </c>
      <c r="Q633" s="2">
        <v>272.72000000000003</v>
      </c>
      <c r="R633" s="2">
        <f t="shared" si="48"/>
        <v>109.08799999999997</v>
      </c>
      <c r="S633" s="1" t="s">
        <v>1016</v>
      </c>
      <c r="T633" s="1" t="s">
        <v>1004</v>
      </c>
      <c r="U633" s="1" t="str">
        <f t="shared" si="49"/>
        <v>YES</v>
      </c>
    </row>
    <row r="634" spans="1:21" x14ac:dyDescent="0.3">
      <c r="A634" s="1" t="s">
        <v>819</v>
      </c>
      <c r="B634" s="1" t="s">
        <v>262</v>
      </c>
      <c r="C634" s="1" t="s">
        <v>263</v>
      </c>
      <c r="D634" s="1" t="s">
        <v>104</v>
      </c>
      <c r="E634" s="1" t="s">
        <v>1647</v>
      </c>
      <c r="F634" s="1" t="s">
        <v>1020</v>
      </c>
      <c r="G634" s="1" t="s">
        <v>1002</v>
      </c>
      <c r="H634" s="1">
        <v>2</v>
      </c>
      <c r="I634" s="1">
        <v>2</v>
      </c>
      <c r="J634" s="1" t="s">
        <v>2634</v>
      </c>
      <c r="K634" s="2">
        <v>101.2</v>
      </c>
      <c r="L634" s="6">
        <v>3</v>
      </c>
      <c r="M634" s="2">
        <f t="shared" si="45"/>
        <v>202.4</v>
      </c>
      <c r="N634" s="2">
        <f t="shared" si="46"/>
        <v>6.0720000000000001</v>
      </c>
      <c r="O634" s="2">
        <f t="shared" si="47"/>
        <v>196.328</v>
      </c>
      <c r="P634" s="1">
        <v>94</v>
      </c>
      <c r="Q634" s="2">
        <v>70.84</v>
      </c>
      <c r="R634" s="2">
        <f t="shared" si="48"/>
        <v>54.647999999999996</v>
      </c>
      <c r="S634" s="1" t="s">
        <v>1003</v>
      </c>
      <c r="T634" s="1" t="s">
        <v>1004</v>
      </c>
      <c r="U634" s="1" t="str">
        <f t="shared" si="49"/>
        <v>NO</v>
      </c>
    </row>
    <row r="635" spans="1:21" x14ac:dyDescent="0.3">
      <c r="A635" s="1" t="s">
        <v>820</v>
      </c>
      <c r="B635" s="1" t="s">
        <v>197</v>
      </c>
      <c r="C635" s="1" t="s">
        <v>198</v>
      </c>
      <c r="D635" s="1" t="s">
        <v>104</v>
      </c>
      <c r="E635" s="1" t="s">
        <v>1648</v>
      </c>
      <c r="F635" s="1" t="s">
        <v>1009</v>
      </c>
      <c r="G635" s="1" t="s">
        <v>1002</v>
      </c>
      <c r="H635" s="1">
        <v>15</v>
      </c>
      <c r="I635" s="1">
        <v>3</v>
      </c>
      <c r="J635" s="1" t="s">
        <v>2837</v>
      </c>
      <c r="K635" s="2">
        <v>364.19</v>
      </c>
      <c r="L635" s="6">
        <v>2</v>
      </c>
      <c r="M635" s="2">
        <f t="shared" si="45"/>
        <v>5462.85</v>
      </c>
      <c r="N635" s="2">
        <f t="shared" si="46"/>
        <v>109.25700000000001</v>
      </c>
      <c r="O635" s="2">
        <f t="shared" si="47"/>
        <v>5353.5930000000008</v>
      </c>
      <c r="P635" s="1">
        <v>183</v>
      </c>
      <c r="Q635" s="2">
        <v>254.93</v>
      </c>
      <c r="R635" s="2">
        <f t="shared" si="48"/>
        <v>1529.6430000000005</v>
      </c>
      <c r="S635" s="1" t="s">
        <v>1003</v>
      </c>
      <c r="T635" s="1" t="s">
        <v>1004</v>
      </c>
      <c r="U635" s="1" t="str">
        <f t="shared" si="49"/>
        <v>NO</v>
      </c>
    </row>
    <row r="636" spans="1:21" x14ac:dyDescent="0.3">
      <c r="A636" s="1" t="s">
        <v>821</v>
      </c>
      <c r="B636" s="1" t="s">
        <v>197</v>
      </c>
      <c r="C636" s="1" t="s">
        <v>198</v>
      </c>
      <c r="D636" s="1" t="s">
        <v>104</v>
      </c>
      <c r="E636" s="1" t="s">
        <v>1649</v>
      </c>
      <c r="F636" s="1" t="s">
        <v>1027</v>
      </c>
      <c r="G636" s="1" t="s">
        <v>1010</v>
      </c>
      <c r="H636" s="1">
        <v>15</v>
      </c>
      <c r="I636" s="1">
        <v>7</v>
      </c>
      <c r="J636" s="1" t="s">
        <v>2745</v>
      </c>
      <c r="K636" s="2">
        <v>294.77999999999997</v>
      </c>
      <c r="L636" s="6">
        <v>15</v>
      </c>
      <c r="M636" s="2">
        <f t="shared" si="45"/>
        <v>4421.7</v>
      </c>
      <c r="N636" s="2">
        <f t="shared" si="46"/>
        <v>663.255</v>
      </c>
      <c r="O636" s="2">
        <f t="shared" si="47"/>
        <v>3758.4449999999997</v>
      </c>
      <c r="P636" s="1">
        <v>128</v>
      </c>
      <c r="Q636" s="2">
        <v>206.35</v>
      </c>
      <c r="R636" s="2">
        <f t="shared" si="48"/>
        <v>663.19499999999971</v>
      </c>
      <c r="S636" s="1" t="s">
        <v>1011</v>
      </c>
      <c r="T636" s="1" t="s">
        <v>1004</v>
      </c>
      <c r="U636" s="1" t="str">
        <f t="shared" si="49"/>
        <v>NO</v>
      </c>
    </row>
    <row r="637" spans="1:21" x14ac:dyDescent="0.3">
      <c r="A637" s="1" t="s">
        <v>822</v>
      </c>
      <c r="B637" s="1" t="s">
        <v>26</v>
      </c>
      <c r="C637" s="1" t="s">
        <v>27</v>
      </c>
      <c r="D637" s="1" t="s">
        <v>28</v>
      </c>
      <c r="E637" s="1" t="s">
        <v>1650</v>
      </c>
      <c r="F637" s="1" t="s">
        <v>1006</v>
      </c>
      <c r="G637" s="1" t="s">
        <v>1002</v>
      </c>
      <c r="H637" s="1">
        <v>13</v>
      </c>
      <c r="I637" s="1">
        <v>6</v>
      </c>
      <c r="J637" s="1" t="s">
        <v>2838</v>
      </c>
      <c r="K637" s="2">
        <v>149.94999999999999</v>
      </c>
      <c r="L637" s="6">
        <v>20</v>
      </c>
      <c r="M637" s="2">
        <f t="shared" si="45"/>
        <v>1949.35</v>
      </c>
      <c r="N637" s="2">
        <f t="shared" si="46"/>
        <v>389.87</v>
      </c>
      <c r="O637" s="2">
        <f t="shared" si="47"/>
        <v>1559.48</v>
      </c>
      <c r="P637" s="1">
        <v>278</v>
      </c>
      <c r="Q637" s="2">
        <v>104.96</v>
      </c>
      <c r="R637" s="2">
        <f t="shared" si="48"/>
        <v>195</v>
      </c>
      <c r="S637" s="1" t="s">
        <v>1003</v>
      </c>
      <c r="T637" s="1" t="s">
        <v>1007</v>
      </c>
      <c r="U637" s="1" t="str">
        <f t="shared" si="49"/>
        <v>NO</v>
      </c>
    </row>
    <row r="638" spans="1:21" x14ac:dyDescent="0.3">
      <c r="A638" s="1" t="s">
        <v>823</v>
      </c>
      <c r="B638" s="1" t="s">
        <v>192</v>
      </c>
      <c r="C638" s="1" t="s">
        <v>193</v>
      </c>
      <c r="D638" s="1" t="s">
        <v>85</v>
      </c>
      <c r="E638" s="1" t="s">
        <v>1651</v>
      </c>
      <c r="F638" s="1" t="s">
        <v>1027</v>
      </c>
      <c r="G638" s="1" t="s">
        <v>1002</v>
      </c>
      <c r="H638" s="1">
        <v>10</v>
      </c>
      <c r="I638" s="1">
        <v>2</v>
      </c>
      <c r="J638" s="1" t="s">
        <v>2839</v>
      </c>
      <c r="K638" s="2">
        <v>67.16</v>
      </c>
      <c r="L638" s="6">
        <v>4</v>
      </c>
      <c r="M638" s="2">
        <f t="shared" si="45"/>
        <v>671.59999999999991</v>
      </c>
      <c r="N638" s="2">
        <f t="shared" si="46"/>
        <v>26.863999999999997</v>
      </c>
      <c r="O638" s="2">
        <f t="shared" si="47"/>
        <v>644.73599999999988</v>
      </c>
      <c r="P638" s="1">
        <v>87</v>
      </c>
      <c r="Q638" s="2">
        <v>47.01</v>
      </c>
      <c r="R638" s="2">
        <f t="shared" si="48"/>
        <v>174.63599999999991</v>
      </c>
      <c r="S638" s="1" t="s">
        <v>1011</v>
      </c>
      <c r="T638" s="1" t="s">
        <v>1007</v>
      </c>
      <c r="U638" s="1" t="str">
        <f t="shared" si="49"/>
        <v>NO</v>
      </c>
    </row>
    <row r="639" spans="1:21" x14ac:dyDescent="0.3">
      <c r="A639" s="1" t="s">
        <v>824</v>
      </c>
      <c r="B639" s="1" t="s">
        <v>118</v>
      </c>
      <c r="C639" s="1" t="s">
        <v>119</v>
      </c>
      <c r="D639" s="1" t="s">
        <v>97</v>
      </c>
      <c r="E639" s="1" t="s">
        <v>1652</v>
      </c>
      <c r="F639" s="1" t="s">
        <v>1027</v>
      </c>
      <c r="G639" s="1" t="s">
        <v>1002</v>
      </c>
      <c r="H639" s="1">
        <v>4</v>
      </c>
      <c r="I639" s="1">
        <v>2</v>
      </c>
      <c r="J639" s="1" t="s">
        <v>2583</v>
      </c>
      <c r="K639" s="2">
        <v>245.83</v>
      </c>
      <c r="L639" s="6">
        <v>2</v>
      </c>
      <c r="M639" s="2">
        <f t="shared" si="45"/>
        <v>983.32</v>
      </c>
      <c r="N639" s="2">
        <f t="shared" si="46"/>
        <v>19.666399999999999</v>
      </c>
      <c r="O639" s="2">
        <f t="shared" si="47"/>
        <v>963.6536000000001</v>
      </c>
      <c r="P639" s="1">
        <v>104</v>
      </c>
      <c r="Q639" s="2">
        <v>172.08</v>
      </c>
      <c r="R639" s="2">
        <f t="shared" si="48"/>
        <v>275.33360000000005</v>
      </c>
      <c r="S639" s="1" t="s">
        <v>1011</v>
      </c>
      <c r="T639" s="1" t="s">
        <v>1007</v>
      </c>
      <c r="U639" s="1" t="str">
        <f t="shared" si="49"/>
        <v>NO</v>
      </c>
    </row>
    <row r="640" spans="1:21" x14ac:dyDescent="0.3">
      <c r="A640" s="1" t="s">
        <v>825</v>
      </c>
      <c r="B640" s="1" t="s">
        <v>197</v>
      </c>
      <c r="C640" s="1" t="s">
        <v>198</v>
      </c>
      <c r="D640" s="1" t="s">
        <v>104</v>
      </c>
      <c r="E640" s="1" t="s">
        <v>1653</v>
      </c>
      <c r="F640" s="1" t="s">
        <v>1020</v>
      </c>
      <c r="G640" s="1" t="s">
        <v>1002</v>
      </c>
      <c r="H640" s="1">
        <v>11</v>
      </c>
      <c r="I640" s="1">
        <v>4</v>
      </c>
      <c r="J640" s="1" t="s">
        <v>2538</v>
      </c>
      <c r="K640" s="2">
        <v>388.85</v>
      </c>
      <c r="L640" s="6">
        <v>19</v>
      </c>
      <c r="M640" s="2">
        <f t="shared" si="45"/>
        <v>4277.3500000000004</v>
      </c>
      <c r="N640" s="2">
        <f t="shared" si="46"/>
        <v>812.69650000000013</v>
      </c>
      <c r="O640" s="2">
        <f t="shared" si="47"/>
        <v>3464.6535000000003</v>
      </c>
      <c r="P640" s="1">
        <v>82</v>
      </c>
      <c r="Q640" s="2">
        <v>272.19</v>
      </c>
      <c r="R640" s="2">
        <f t="shared" si="48"/>
        <v>470.5635000000002</v>
      </c>
      <c r="S640" s="1" t="s">
        <v>1016</v>
      </c>
      <c r="T640" s="1" t="s">
        <v>1004</v>
      </c>
      <c r="U640" s="1" t="str">
        <f t="shared" si="49"/>
        <v>YES</v>
      </c>
    </row>
    <row r="641" spans="1:21" x14ac:dyDescent="0.3">
      <c r="A641" s="1" t="s">
        <v>826</v>
      </c>
      <c r="B641" s="1" t="s">
        <v>192</v>
      </c>
      <c r="C641" s="1" t="s">
        <v>193</v>
      </c>
      <c r="D641" s="1" t="s">
        <v>85</v>
      </c>
      <c r="E641" s="1" t="s">
        <v>1654</v>
      </c>
      <c r="F641" s="1" t="s">
        <v>1015</v>
      </c>
      <c r="G641" s="1" t="s">
        <v>1023</v>
      </c>
      <c r="H641" s="1">
        <v>5</v>
      </c>
      <c r="I641" s="1">
        <v>7</v>
      </c>
      <c r="J641" s="1" t="s">
        <v>2543</v>
      </c>
      <c r="K641" s="2">
        <v>49.46</v>
      </c>
      <c r="L641" s="6">
        <v>10</v>
      </c>
      <c r="M641" s="2">
        <f t="shared" si="45"/>
        <v>247.3</v>
      </c>
      <c r="N641" s="2">
        <f t="shared" si="46"/>
        <v>24.73</v>
      </c>
      <c r="O641" s="2">
        <f t="shared" si="47"/>
        <v>222.57000000000002</v>
      </c>
      <c r="P641" s="1">
        <v>196</v>
      </c>
      <c r="Q641" s="2">
        <v>34.619999999999997</v>
      </c>
      <c r="R641" s="2">
        <f t="shared" si="48"/>
        <v>49.470000000000027</v>
      </c>
      <c r="S641" s="1" t="s">
        <v>1011</v>
      </c>
      <c r="T641" s="1" t="s">
        <v>1004</v>
      </c>
      <c r="U641" s="1" t="str">
        <f t="shared" si="49"/>
        <v>NO</v>
      </c>
    </row>
    <row r="642" spans="1:21" x14ac:dyDescent="0.3">
      <c r="A642" s="1" t="s">
        <v>827</v>
      </c>
      <c r="B642" s="1" t="s">
        <v>52</v>
      </c>
      <c r="C642" s="1" t="s">
        <v>53</v>
      </c>
      <c r="D642" s="1" t="s">
        <v>47</v>
      </c>
      <c r="E642" s="1" t="s">
        <v>1655</v>
      </c>
      <c r="F642" s="1" t="s">
        <v>1009</v>
      </c>
      <c r="G642" s="1" t="s">
        <v>1023</v>
      </c>
      <c r="H642" s="1">
        <v>6</v>
      </c>
      <c r="I642" s="1">
        <v>2</v>
      </c>
      <c r="J642" s="1" t="s">
        <v>2649</v>
      </c>
      <c r="K642" s="2">
        <v>440.67</v>
      </c>
      <c r="L642" s="6">
        <v>23</v>
      </c>
      <c r="M642" s="2">
        <f t="shared" ref="M642:M705" si="50">H642*K642</f>
        <v>2644.02</v>
      </c>
      <c r="N642" s="2">
        <f t="shared" ref="N642:N705" si="51">M642*L642/100</f>
        <v>608.12459999999999</v>
      </c>
      <c r="O642" s="2">
        <f t="shared" ref="O642:O705" si="52">M642-N642</f>
        <v>2035.8953999999999</v>
      </c>
      <c r="P642" s="1">
        <v>262</v>
      </c>
      <c r="Q642" s="2">
        <v>308.47000000000003</v>
      </c>
      <c r="R642" s="2">
        <f t="shared" ref="R642:R705" si="53">O642-(H642*Q642)</f>
        <v>185.07539999999972</v>
      </c>
      <c r="S642" s="1" t="s">
        <v>1003</v>
      </c>
      <c r="T642" s="1" t="s">
        <v>1007</v>
      </c>
      <c r="U642" s="1" t="str">
        <f t="shared" ref="U642:U705" si="54">IF(S642="Delivered","YES","NO")</f>
        <v>NO</v>
      </c>
    </row>
    <row r="643" spans="1:21" x14ac:dyDescent="0.3">
      <c r="A643" s="1" t="s">
        <v>828</v>
      </c>
      <c r="B643" s="1" t="s">
        <v>197</v>
      </c>
      <c r="C643" s="1" t="s">
        <v>198</v>
      </c>
      <c r="D643" s="1" t="s">
        <v>104</v>
      </c>
      <c r="E643" s="1" t="s">
        <v>1656</v>
      </c>
      <c r="F643" s="1" t="s">
        <v>1027</v>
      </c>
      <c r="G643" s="1" t="s">
        <v>1023</v>
      </c>
      <c r="H643" s="1">
        <v>3</v>
      </c>
      <c r="I643" s="1">
        <v>3</v>
      </c>
      <c r="J643" s="1" t="s">
        <v>2726</v>
      </c>
      <c r="K643" s="2">
        <v>77.19</v>
      </c>
      <c r="L643" s="6">
        <v>15</v>
      </c>
      <c r="M643" s="2">
        <f t="shared" si="50"/>
        <v>231.57</v>
      </c>
      <c r="N643" s="2">
        <f t="shared" si="51"/>
        <v>34.735499999999995</v>
      </c>
      <c r="O643" s="2">
        <f t="shared" si="52"/>
        <v>196.83449999999999</v>
      </c>
      <c r="P643" s="1">
        <v>42</v>
      </c>
      <c r="Q643" s="2">
        <v>54.03</v>
      </c>
      <c r="R643" s="2">
        <f t="shared" si="53"/>
        <v>34.744499999999988</v>
      </c>
      <c r="S643" s="1" t="s">
        <v>1003</v>
      </c>
      <c r="T643" s="1" t="s">
        <v>1004</v>
      </c>
      <c r="U643" s="1" t="str">
        <f t="shared" si="54"/>
        <v>NO</v>
      </c>
    </row>
    <row r="644" spans="1:21" x14ac:dyDescent="0.3">
      <c r="A644" s="1" t="s">
        <v>829</v>
      </c>
      <c r="B644" s="1" t="s">
        <v>63</v>
      </c>
      <c r="C644" s="1" t="s">
        <v>64</v>
      </c>
      <c r="D644" s="1" t="s">
        <v>28</v>
      </c>
      <c r="E644" s="1" t="s">
        <v>1657</v>
      </c>
      <c r="F644" s="1" t="s">
        <v>1013</v>
      </c>
      <c r="G644" s="1" t="s">
        <v>1010</v>
      </c>
      <c r="H644" s="1">
        <v>7</v>
      </c>
      <c r="I644" s="1">
        <v>2</v>
      </c>
      <c r="J644" s="1" t="s">
        <v>2550</v>
      </c>
      <c r="K644" s="2">
        <v>266.02999999999997</v>
      </c>
      <c r="L644" s="6">
        <v>10</v>
      </c>
      <c r="M644" s="2">
        <f t="shared" si="50"/>
        <v>1862.2099999999998</v>
      </c>
      <c r="N644" s="2">
        <f t="shared" si="51"/>
        <v>186.22099999999998</v>
      </c>
      <c r="O644" s="2">
        <f t="shared" si="52"/>
        <v>1675.9889999999998</v>
      </c>
      <c r="P644" s="1">
        <v>83</v>
      </c>
      <c r="Q644" s="2">
        <v>186.22</v>
      </c>
      <c r="R644" s="2">
        <f t="shared" si="53"/>
        <v>372.44899999999984</v>
      </c>
      <c r="S644" s="1" t="s">
        <v>1003</v>
      </c>
      <c r="T644" s="1" t="s">
        <v>1004</v>
      </c>
      <c r="U644" s="1" t="str">
        <f t="shared" si="54"/>
        <v>NO</v>
      </c>
    </row>
    <row r="645" spans="1:21" x14ac:dyDescent="0.3">
      <c r="A645" s="1" t="s">
        <v>830</v>
      </c>
      <c r="B645" s="1" t="s">
        <v>69</v>
      </c>
      <c r="C645" s="1" t="s">
        <v>70</v>
      </c>
      <c r="D645" s="1" t="s">
        <v>59</v>
      </c>
      <c r="E645" s="1" t="s">
        <v>1658</v>
      </c>
      <c r="F645" s="1" t="s">
        <v>1009</v>
      </c>
      <c r="G645" s="1" t="s">
        <v>1002</v>
      </c>
      <c r="H645" s="1">
        <v>11</v>
      </c>
      <c r="I645" s="1">
        <v>2</v>
      </c>
      <c r="J645" s="1" t="s">
        <v>2825</v>
      </c>
      <c r="K645" s="2">
        <v>345.73</v>
      </c>
      <c r="L645" s="6">
        <v>10</v>
      </c>
      <c r="M645" s="2">
        <f t="shared" si="50"/>
        <v>3803.03</v>
      </c>
      <c r="N645" s="2">
        <f t="shared" si="51"/>
        <v>380.30300000000005</v>
      </c>
      <c r="O645" s="2">
        <f t="shared" si="52"/>
        <v>3422.7270000000003</v>
      </c>
      <c r="P645" s="1">
        <v>216</v>
      </c>
      <c r="Q645" s="2">
        <v>242.01</v>
      </c>
      <c r="R645" s="2">
        <f t="shared" si="53"/>
        <v>760.61700000000064</v>
      </c>
      <c r="S645" s="1" t="s">
        <v>1011</v>
      </c>
      <c r="T645" s="1" t="s">
        <v>1004</v>
      </c>
      <c r="U645" s="1" t="str">
        <f t="shared" si="54"/>
        <v>NO</v>
      </c>
    </row>
    <row r="646" spans="1:21" x14ac:dyDescent="0.3">
      <c r="A646" s="1" t="s">
        <v>831</v>
      </c>
      <c r="B646" s="1" t="s">
        <v>143</v>
      </c>
      <c r="C646" s="1" t="s">
        <v>144</v>
      </c>
      <c r="D646" s="1" t="s">
        <v>47</v>
      </c>
      <c r="E646" s="1" t="s">
        <v>1659</v>
      </c>
      <c r="F646" s="1" t="s">
        <v>1020</v>
      </c>
      <c r="G646" s="1" t="s">
        <v>1002</v>
      </c>
      <c r="H646" s="1">
        <v>9</v>
      </c>
      <c r="I646" s="1">
        <v>1</v>
      </c>
      <c r="J646" s="1" t="s">
        <v>2581</v>
      </c>
      <c r="K646" s="2">
        <v>219.85</v>
      </c>
      <c r="L646" s="6">
        <v>4</v>
      </c>
      <c r="M646" s="2">
        <f t="shared" si="50"/>
        <v>1978.6499999999999</v>
      </c>
      <c r="N646" s="2">
        <f t="shared" si="51"/>
        <v>79.146000000000001</v>
      </c>
      <c r="O646" s="2">
        <f t="shared" si="52"/>
        <v>1899.5039999999999</v>
      </c>
      <c r="P646" s="1">
        <v>116</v>
      </c>
      <c r="Q646" s="2">
        <v>153.88999999999999</v>
      </c>
      <c r="R646" s="2">
        <f t="shared" si="53"/>
        <v>514.49400000000014</v>
      </c>
      <c r="S646" s="1" t="s">
        <v>1011</v>
      </c>
      <c r="T646" s="1" t="s">
        <v>1004</v>
      </c>
      <c r="U646" s="1" t="str">
        <f t="shared" si="54"/>
        <v>NO</v>
      </c>
    </row>
    <row r="647" spans="1:21" x14ac:dyDescent="0.3">
      <c r="A647" s="1" t="s">
        <v>832</v>
      </c>
      <c r="B647" s="1" t="s">
        <v>189</v>
      </c>
      <c r="C647" s="1" t="s">
        <v>190</v>
      </c>
      <c r="D647" s="1" t="s">
        <v>59</v>
      </c>
      <c r="E647" s="1" t="s">
        <v>1660</v>
      </c>
      <c r="F647" s="1" t="s">
        <v>1001</v>
      </c>
      <c r="G647" s="1" t="s">
        <v>1002</v>
      </c>
      <c r="H647" s="1">
        <v>14</v>
      </c>
      <c r="I647" s="1">
        <v>5</v>
      </c>
      <c r="J647" s="1" t="s">
        <v>2724</v>
      </c>
      <c r="K647" s="2">
        <v>313.32</v>
      </c>
      <c r="L647" s="6">
        <v>8</v>
      </c>
      <c r="M647" s="2">
        <f t="shared" si="50"/>
        <v>4386.4799999999996</v>
      </c>
      <c r="N647" s="2">
        <f t="shared" si="51"/>
        <v>350.91839999999996</v>
      </c>
      <c r="O647" s="2">
        <f t="shared" si="52"/>
        <v>4035.5615999999995</v>
      </c>
      <c r="P647" s="1">
        <v>88</v>
      </c>
      <c r="Q647" s="2">
        <v>219.32</v>
      </c>
      <c r="R647" s="2">
        <f t="shared" si="53"/>
        <v>965.08159999999953</v>
      </c>
      <c r="S647" s="1" t="s">
        <v>1016</v>
      </c>
      <c r="T647" s="1" t="s">
        <v>1004</v>
      </c>
      <c r="U647" s="1" t="str">
        <f t="shared" si="54"/>
        <v>YES</v>
      </c>
    </row>
    <row r="648" spans="1:21" x14ac:dyDescent="0.3">
      <c r="A648" s="1" t="s">
        <v>833</v>
      </c>
      <c r="B648" s="1" t="s">
        <v>45</v>
      </c>
      <c r="C648" s="1" t="s">
        <v>46</v>
      </c>
      <c r="D648" s="1" t="s">
        <v>47</v>
      </c>
      <c r="E648" s="1" t="s">
        <v>1661</v>
      </c>
      <c r="F648" s="1" t="s">
        <v>1009</v>
      </c>
      <c r="G648" s="1" t="s">
        <v>1010</v>
      </c>
      <c r="H648" s="1">
        <v>13</v>
      </c>
      <c r="I648" s="1">
        <v>4</v>
      </c>
      <c r="J648" s="1" t="s">
        <v>2660</v>
      </c>
      <c r="K648" s="2">
        <v>107.36</v>
      </c>
      <c r="L648" s="6">
        <v>6</v>
      </c>
      <c r="M648" s="2">
        <f t="shared" si="50"/>
        <v>1395.68</v>
      </c>
      <c r="N648" s="2">
        <f t="shared" si="51"/>
        <v>83.740799999999993</v>
      </c>
      <c r="O648" s="2">
        <f t="shared" si="52"/>
        <v>1311.9392</v>
      </c>
      <c r="P648" s="1">
        <v>279</v>
      </c>
      <c r="Q648" s="2">
        <v>75.150000000000006</v>
      </c>
      <c r="R648" s="2">
        <f t="shared" si="53"/>
        <v>334.98919999999998</v>
      </c>
      <c r="S648" s="1" t="s">
        <v>1003</v>
      </c>
      <c r="T648" s="1" t="s">
        <v>1004</v>
      </c>
      <c r="U648" s="1" t="str">
        <f t="shared" si="54"/>
        <v>NO</v>
      </c>
    </row>
    <row r="649" spans="1:21" x14ac:dyDescent="0.3">
      <c r="A649" s="1" t="s">
        <v>834</v>
      </c>
      <c r="B649" s="1" t="s">
        <v>130</v>
      </c>
      <c r="C649" s="1" t="s">
        <v>131</v>
      </c>
      <c r="D649" s="1" t="s">
        <v>132</v>
      </c>
      <c r="E649" s="1" t="s">
        <v>1662</v>
      </c>
      <c r="F649" s="1" t="s">
        <v>1009</v>
      </c>
      <c r="G649" s="1" t="s">
        <v>1023</v>
      </c>
      <c r="H649" s="1">
        <v>11</v>
      </c>
      <c r="I649" s="1">
        <v>5</v>
      </c>
      <c r="J649" s="1" t="s">
        <v>2722</v>
      </c>
      <c r="K649" s="2">
        <v>97.23</v>
      </c>
      <c r="L649" s="6">
        <v>8</v>
      </c>
      <c r="M649" s="2">
        <f t="shared" si="50"/>
        <v>1069.53</v>
      </c>
      <c r="N649" s="2">
        <f t="shared" si="51"/>
        <v>85.562399999999997</v>
      </c>
      <c r="O649" s="2">
        <f t="shared" si="52"/>
        <v>983.96759999999995</v>
      </c>
      <c r="P649" s="1">
        <v>67</v>
      </c>
      <c r="Q649" s="2">
        <v>68.06</v>
      </c>
      <c r="R649" s="2">
        <f t="shared" si="53"/>
        <v>235.30759999999987</v>
      </c>
      <c r="S649" s="1" t="s">
        <v>1003</v>
      </c>
      <c r="T649" s="1" t="s">
        <v>1007</v>
      </c>
      <c r="U649" s="1" t="str">
        <f t="shared" si="54"/>
        <v>NO</v>
      </c>
    </row>
    <row r="650" spans="1:21" x14ac:dyDescent="0.3">
      <c r="A650" s="1" t="s">
        <v>835</v>
      </c>
      <c r="B650" s="1" t="s">
        <v>26</v>
      </c>
      <c r="C650" s="1" t="s">
        <v>27</v>
      </c>
      <c r="D650" s="1" t="s">
        <v>28</v>
      </c>
      <c r="E650" s="1" t="s">
        <v>1663</v>
      </c>
      <c r="F650" s="1" t="s">
        <v>1027</v>
      </c>
      <c r="G650" s="1" t="s">
        <v>1010</v>
      </c>
      <c r="H650" s="1">
        <v>12</v>
      </c>
      <c r="I650" s="1">
        <v>7</v>
      </c>
      <c r="J650" s="1" t="s">
        <v>2740</v>
      </c>
      <c r="K650" s="2">
        <v>277.13</v>
      </c>
      <c r="L650" s="6">
        <v>21</v>
      </c>
      <c r="M650" s="2">
        <f t="shared" si="50"/>
        <v>3325.56</v>
      </c>
      <c r="N650" s="2">
        <f t="shared" si="51"/>
        <v>698.36759999999992</v>
      </c>
      <c r="O650" s="2">
        <f t="shared" si="52"/>
        <v>2627.1923999999999</v>
      </c>
      <c r="P650" s="1">
        <v>194</v>
      </c>
      <c r="Q650" s="2">
        <v>193.99</v>
      </c>
      <c r="R650" s="2">
        <f t="shared" si="53"/>
        <v>299.3123999999998</v>
      </c>
      <c r="S650" s="1" t="s">
        <v>1016</v>
      </c>
      <c r="T650" s="1" t="s">
        <v>1004</v>
      </c>
      <c r="U650" s="1" t="str">
        <f t="shared" si="54"/>
        <v>YES</v>
      </c>
    </row>
    <row r="651" spans="1:21" x14ac:dyDescent="0.3">
      <c r="A651" s="1" t="s">
        <v>836</v>
      </c>
      <c r="B651" s="1" t="s">
        <v>83</v>
      </c>
      <c r="C651" s="1" t="s">
        <v>84</v>
      </c>
      <c r="D651" s="1" t="s">
        <v>85</v>
      </c>
      <c r="E651" s="1" t="s">
        <v>1664</v>
      </c>
      <c r="F651" s="1" t="s">
        <v>1006</v>
      </c>
      <c r="G651" s="1" t="s">
        <v>1002</v>
      </c>
      <c r="H651" s="1">
        <v>11</v>
      </c>
      <c r="I651" s="1">
        <v>4</v>
      </c>
      <c r="J651" s="1" t="s">
        <v>2690</v>
      </c>
      <c r="K651" s="2">
        <v>92.6</v>
      </c>
      <c r="L651" s="6">
        <v>19</v>
      </c>
      <c r="M651" s="2">
        <f t="shared" si="50"/>
        <v>1018.5999999999999</v>
      </c>
      <c r="N651" s="2">
        <f t="shared" si="51"/>
        <v>193.53399999999999</v>
      </c>
      <c r="O651" s="2">
        <f t="shared" si="52"/>
        <v>825.06599999999992</v>
      </c>
      <c r="P651" s="1">
        <v>184</v>
      </c>
      <c r="Q651" s="2">
        <v>64.819999999999993</v>
      </c>
      <c r="R651" s="2">
        <f t="shared" si="53"/>
        <v>112.04599999999994</v>
      </c>
      <c r="S651" s="1" t="s">
        <v>1011</v>
      </c>
      <c r="T651" s="1" t="s">
        <v>1004</v>
      </c>
      <c r="U651" s="1" t="str">
        <f t="shared" si="54"/>
        <v>NO</v>
      </c>
    </row>
    <row r="652" spans="1:21" x14ac:dyDescent="0.3">
      <c r="A652" s="1" t="s">
        <v>837</v>
      </c>
      <c r="B652" s="1" t="s">
        <v>237</v>
      </c>
      <c r="C652" s="1" t="s">
        <v>238</v>
      </c>
      <c r="D652" s="1" t="s">
        <v>85</v>
      </c>
      <c r="E652" s="1" t="s">
        <v>1665</v>
      </c>
      <c r="F652" s="1" t="s">
        <v>1006</v>
      </c>
      <c r="G652" s="1" t="s">
        <v>1010</v>
      </c>
      <c r="H652" s="1">
        <v>3</v>
      </c>
      <c r="I652" s="1">
        <v>7</v>
      </c>
      <c r="J652" s="1" t="s">
        <v>2664</v>
      </c>
      <c r="K652" s="2">
        <v>175.02</v>
      </c>
      <c r="L652" s="6">
        <v>11</v>
      </c>
      <c r="M652" s="2">
        <f t="shared" si="50"/>
        <v>525.06000000000006</v>
      </c>
      <c r="N652" s="2">
        <f t="shared" si="51"/>
        <v>57.756600000000006</v>
      </c>
      <c r="O652" s="2">
        <f t="shared" si="52"/>
        <v>467.30340000000007</v>
      </c>
      <c r="P652" s="1">
        <v>205</v>
      </c>
      <c r="Q652" s="2">
        <v>122.51</v>
      </c>
      <c r="R652" s="2">
        <f t="shared" si="53"/>
        <v>99.773400000000038</v>
      </c>
      <c r="S652" s="1" t="s">
        <v>1016</v>
      </c>
      <c r="T652" s="1" t="s">
        <v>1004</v>
      </c>
      <c r="U652" s="1" t="str">
        <f t="shared" si="54"/>
        <v>YES</v>
      </c>
    </row>
    <row r="653" spans="1:21" x14ac:dyDescent="0.3">
      <c r="A653" s="1" t="s">
        <v>838</v>
      </c>
      <c r="B653" s="1" t="s">
        <v>26</v>
      </c>
      <c r="C653" s="1" t="s">
        <v>27</v>
      </c>
      <c r="D653" s="1" t="s">
        <v>28</v>
      </c>
      <c r="E653" s="1" t="s">
        <v>1666</v>
      </c>
      <c r="F653" s="1" t="s">
        <v>1001</v>
      </c>
      <c r="G653" s="1" t="s">
        <v>1010</v>
      </c>
      <c r="H653" s="1">
        <v>10</v>
      </c>
      <c r="I653" s="1">
        <v>6</v>
      </c>
      <c r="J653" s="1" t="s">
        <v>2781</v>
      </c>
      <c r="K653" s="2">
        <v>186.97</v>
      </c>
      <c r="L653" s="6">
        <v>23</v>
      </c>
      <c r="M653" s="2">
        <f t="shared" si="50"/>
        <v>1869.7</v>
      </c>
      <c r="N653" s="2">
        <f t="shared" si="51"/>
        <v>430.03100000000001</v>
      </c>
      <c r="O653" s="2">
        <f t="shared" si="52"/>
        <v>1439.6690000000001</v>
      </c>
      <c r="P653" s="1">
        <v>125</v>
      </c>
      <c r="Q653" s="2">
        <v>130.88</v>
      </c>
      <c r="R653" s="2">
        <f t="shared" si="53"/>
        <v>130.86900000000014</v>
      </c>
      <c r="S653" s="1" t="s">
        <v>1016</v>
      </c>
      <c r="T653" s="1" t="s">
        <v>1004</v>
      </c>
      <c r="U653" s="1" t="str">
        <f t="shared" si="54"/>
        <v>YES</v>
      </c>
    </row>
    <row r="654" spans="1:21" x14ac:dyDescent="0.3">
      <c r="A654" s="1" t="s">
        <v>839</v>
      </c>
      <c r="B654" s="1" t="s">
        <v>63</v>
      </c>
      <c r="C654" s="1" t="s">
        <v>64</v>
      </c>
      <c r="D654" s="1" t="s">
        <v>28</v>
      </c>
      <c r="E654" s="1" t="s">
        <v>1667</v>
      </c>
      <c r="F654" s="1" t="s">
        <v>1020</v>
      </c>
      <c r="G654" s="1" t="s">
        <v>1010</v>
      </c>
      <c r="H654" s="1">
        <v>2</v>
      </c>
      <c r="I654" s="1">
        <v>1</v>
      </c>
      <c r="J654" s="1" t="s">
        <v>2682</v>
      </c>
      <c r="K654" s="2">
        <v>230.36</v>
      </c>
      <c r="L654" s="6">
        <v>17</v>
      </c>
      <c r="M654" s="2">
        <f t="shared" si="50"/>
        <v>460.72</v>
      </c>
      <c r="N654" s="2">
        <f t="shared" si="51"/>
        <v>78.322400000000002</v>
      </c>
      <c r="O654" s="2">
        <f t="shared" si="52"/>
        <v>382.39760000000001</v>
      </c>
      <c r="P654" s="1">
        <v>214</v>
      </c>
      <c r="Q654" s="2">
        <v>161.25</v>
      </c>
      <c r="R654" s="2">
        <f t="shared" si="53"/>
        <v>59.897600000000011</v>
      </c>
      <c r="S654" s="1" t="s">
        <v>1011</v>
      </c>
      <c r="T654" s="1" t="s">
        <v>1007</v>
      </c>
      <c r="U654" s="1" t="str">
        <f t="shared" si="54"/>
        <v>NO</v>
      </c>
    </row>
    <row r="655" spans="1:21" x14ac:dyDescent="0.3">
      <c r="A655" s="1" t="s">
        <v>840</v>
      </c>
      <c r="B655" s="1" t="s">
        <v>77</v>
      </c>
      <c r="C655" s="1" t="s">
        <v>78</v>
      </c>
      <c r="D655" s="1" t="s">
        <v>47</v>
      </c>
      <c r="E655" s="1" t="s">
        <v>1668</v>
      </c>
      <c r="F655" s="1" t="s">
        <v>1020</v>
      </c>
      <c r="G655" s="1" t="s">
        <v>1010</v>
      </c>
      <c r="H655" s="1">
        <v>6</v>
      </c>
      <c r="I655" s="1">
        <v>5</v>
      </c>
      <c r="J655" s="1" t="s">
        <v>2548</v>
      </c>
      <c r="K655" s="2">
        <v>236.63</v>
      </c>
      <c r="L655" s="6">
        <v>24</v>
      </c>
      <c r="M655" s="2">
        <f t="shared" si="50"/>
        <v>1419.78</v>
      </c>
      <c r="N655" s="2">
        <f t="shared" si="51"/>
        <v>340.74720000000002</v>
      </c>
      <c r="O655" s="2">
        <f t="shared" si="52"/>
        <v>1079.0328</v>
      </c>
      <c r="P655" s="1">
        <v>168</v>
      </c>
      <c r="Q655" s="2">
        <v>165.64</v>
      </c>
      <c r="R655" s="2">
        <f t="shared" si="53"/>
        <v>85.192800000000034</v>
      </c>
      <c r="S655" s="1" t="s">
        <v>1016</v>
      </c>
      <c r="T655" s="1" t="s">
        <v>1004</v>
      </c>
      <c r="U655" s="1" t="str">
        <f t="shared" si="54"/>
        <v>YES</v>
      </c>
    </row>
    <row r="656" spans="1:21" x14ac:dyDescent="0.3">
      <c r="A656" s="1" t="s">
        <v>841</v>
      </c>
      <c r="B656" s="1" t="s">
        <v>126</v>
      </c>
      <c r="C656" s="1" t="s">
        <v>127</v>
      </c>
      <c r="D656" s="1" t="s">
        <v>85</v>
      </c>
      <c r="E656" s="1" t="s">
        <v>1669</v>
      </c>
      <c r="F656" s="1" t="s">
        <v>1006</v>
      </c>
      <c r="G656" s="1" t="s">
        <v>1002</v>
      </c>
      <c r="H656" s="1">
        <v>10</v>
      </c>
      <c r="I656" s="1">
        <v>3</v>
      </c>
      <c r="J656" s="1" t="s">
        <v>2797</v>
      </c>
      <c r="K656" s="2">
        <v>123.77</v>
      </c>
      <c r="L656" s="6">
        <v>2</v>
      </c>
      <c r="M656" s="2">
        <f t="shared" si="50"/>
        <v>1237.7</v>
      </c>
      <c r="N656" s="2">
        <f t="shared" si="51"/>
        <v>24.754000000000001</v>
      </c>
      <c r="O656" s="2">
        <f t="shared" si="52"/>
        <v>1212.9460000000001</v>
      </c>
      <c r="P656" s="1">
        <v>193</v>
      </c>
      <c r="Q656" s="2">
        <v>86.64</v>
      </c>
      <c r="R656" s="2">
        <f t="shared" si="53"/>
        <v>346.54600000000016</v>
      </c>
      <c r="S656" s="1" t="s">
        <v>1011</v>
      </c>
      <c r="T656" s="1" t="s">
        <v>1007</v>
      </c>
      <c r="U656" s="1" t="str">
        <f t="shared" si="54"/>
        <v>NO</v>
      </c>
    </row>
    <row r="657" spans="1:21" x14ac:dyDescent="0.3">
      <c r="A657" s="1" t="s">
        <v>842</v>
      </c>
      <c r="B657" s="1" t="s">
        <v>299</v>
      </c>
      <c r="C657" s="1" t="s">
        <v>300</v>
      </c>
      <c r="D657" s="1" t="s">
        <v>39</v>
      </c>
      <c r="E657" s="1" t="s">
        <v>1670</v>
      </c>
      <c r="F657" s="1" t="s">
        <v>1001</v>
      </c>
      <c r="G657" s="1" t="s">
        <v>1002</v>
      </c>
      <c r="H657" s="1">
        <v>15</v>
      </c>
      <c r="I657" s="1">
        <v>1</v>
      </c>
      <c r="J657" s="1" t="s">
        <v>2554</v>
      </c>
      <c r="K657" s="2">
        <v>430.54</v>
      </c>
      <c r="L657" s="6">
        <v>21</v>
      </c>
      <c r="M657" s="2">
        <f t="shared" si="50"/>
        <v>6458.1</v>
      </c>
      <c r="N657" s="2">
        <f t="shared" si="51"/>
        <v>1356.201</v>
      </c>
      <c r="O657" s="2">
        <f t="shared" si="52"/>
        <v>5101.8990000000003</v>
      </c>
      <c r="P657" s="1">
        <v>207</v>
      </c>
      <c r="Q657" s="2">
        <v>301.38</v>
      </c>
      <c r="R657" s="2">
        <f t="shared" si="53"/>
        <v>581.19900000000052</v>
      </c>
      <c r="S657" s="1" t="s">
        <v>1011</v>
      </c>
      <c r="T657" s="1" t="s">
        <v>1007</v>
      </c>
      <c r="U657" s="1" t="str">
        <f t="shared" si="54"/>
        <v>NO</v>
      </c>
    </row>
    <row r="658" spans="1:21" x14ac:dyDescent="0.3">
      <c r="A658" s="1" t="s">
        <v>843</v>
      </c>
      <c r="B658" s="1" t="s">
        <v>299</v>
      </c>
      <c r="C658" s="1" t="s">
        <v>300</v>
      </c>
      <c r="D658" s="1" t="s">
        <v>39</v>
      </c>
      <c r="E658" s="1" t="s">
        <v>1671</v>
      </c>
      <c r="F658" s="1" t="s">
        <v>1006</v>
      </c>
      <c r="G658" s="1" t="s">
        <v>1023</v>
      </c>
      <c r="H658" s="1">
        <v>2</v>
      </c>
      <c r="I658" s="1">
        <v>7</v>
      </c>
      <c r="J658" s="1" t="s">
        <v>2840</v>
      </c>
      <c r="K658" s="2">
        <v>129.04</v>
      </c>
      <c r="L658" s="6">
        <v>6</v>
      </c>
      <c r="M658" s="2">
        <f t="shared" si="50"/>
        <v>258.08</v>
      </c>
      <c r="N658" s="2">
        <f t="shared" si="51"/>
        <v>15.4848</v>
      </c>
      <c r="O658" s="2">
        <f t="shared" si="52"/>
        <v>242.59519999999998</v>
      </c>
      <c r="P658" s="1">
        <v>221</v>
      </c>
      <c r="Q658" s="2">
        <v>90.33</v>
      </c>
      <c r="R658" s="2">
        <f t="shared" si="53"/>
        <v>61.93519999999998</v>
      </c>
      <c r="S658" s="1" t="s">
        <v>1011</v>
      </c>
      <c r="T658" s="1" t="s">
        <v>1007</v>
      </c>
      <c r="U658" s="1" t="str">
        <f t="shared" si="54"/>
        <v>NO</v>
      </c>
    </row>
    <row r="659" spans="1:21" x14ac:dyDescent="0.3">
      <c r="A659" s="1" t="s">
        <v>844</v>
      </c>
      <c r="B659" s="1" t="s">
        <v>189</v>
      </c>
      <c r="C659" s="1" t="s">
        <v>190</v>
      </c>
      <c r="D659" s="1" t="s">
        <v>59</v>
      </c>
      <c r="E659" s="1" t="s">
        <v>1672</v>
      </c>
      <c r="F659" s="1" t="s">
        <v>1006</v>
      </c>
      <c r="G659" s="1" t="s">
        <v>1023</v>
      </c>
      <c r="H659" s="1">
        <v>5</v>
      </c>
      <c r="I659" s="1">
        <v>7</v>
      </c>
      <c r="J659" s="1" t="s">
        <v>2695</v>
      </c>
      <c r="K659" s="2">
        <v>229.25</v>
      </c>
      <c r="L659" s="6">
        <v>22</v>
      </c>
      <c r="M659" s="2">
        <f t="shared" si="50"/>
        <v>1146.25</v>
      </c>
      <c r="N659" s="2">
        <f t="shared" si="51"/>
        <v>252.17500000000001</v>
      </c>
      <c r="O659" s="2">
        <f t="shared" si="52"/>
        <v>894.07500000000005</v>
      </c>
      <c r="P659" s="1">
        <v>241</v>
      </c>
      <c r="Q659" s="2">
        <v>160.47</v>
      </c>
      <c r="R659" s="2">
        <f t="shared" si="53"/>
        <v>91.725000000000023</v>
      </c>
      <c r="S659" s="1" t="s">
        <v>1011</v>
      </c>
      <c r="T659" s="1" t="s">
        <v>1007</v>
      </c>
      <c r="U659" s="1" t="str">
        <f t="shared" si="54"/>
        <v>NO</v>
      </c>
    </row>
    <row r="660" spans="1:21" x14ac:dyDescent="0.3">
      <c r="A660" s="1" t="s">
        <v>845</v>
      </c>
      <c r="B660" s="1" t="s">
        <v>52</v>
      </c>
      <c r="C660" s="1" t="s">
        <v>53</v>
      </c>
      <c r="D660" s="1" t="s">
        <v>47</v>
      </c>
      <c r="E660" s="1" t="s">
        <v>1673</v>
      </c>
      <c r="F660" s="1" t="s">
        <v>1020</v>
      </c>
      <c r="G660" s="1" t="s">
        <v>1010</v>
      </c>
      <c r="H660" s="1">
        <v>8</v>
      </c>
      <c r="I660" s="1">
        <v>1</v>
      </c>
      <c r="J660" s="1" t="s">
        <v>2643</v>
      </c>
      <c r="K660" s="2">
        <v>89.19</v>
      </c>
      <c r="L660" s="6">
        <v>25</v>
      </c>
      <c r="M660" s="2">
        <f t="shared" si="50"/>
        <v>713.52</v>
      </c>
      <c r="N660" s="2">
        <f t="shared" si="51"/>
        <v>178.38</v>
      </c>
      <c r="O660" s="2">
        <f t="shared" si="52"/>
        <v>535.14</v>
      </c>
      <c r="P660" s="1">
        <v>92</v>
      </c>
      <c r="Q660" s="2">
        <v>62.43</v>
      </c>
      <c r="R660" s="2">
        <f t="shared" si="53"/>
        <v>35.699999999999989</v>
      </c>
      <c r="S660" s="1" t="s">
        <v>1011</v>
      </c>
      <c r="T660" s="1" t="s">
        <v>1007</v>
      </c>
      <c r="U660" s="1" t="str">
        <f t="shared" si="54"/>
        <v>NO</v>
      </c>
    </row>
    <row r="661" spans="1:21" x14ac:dyDescent="0.3">
      <c r="A661" s="1" t="s">
        <v>846</v>
      </c>
      <c r="B661" s="1" t="s">
        <v>69</v>
      </c>
      <c r="C661" s="1" t="s">
        <v>70</v>
      </c>
      <c r="D661" s="1" t="s">
        <v>59</v>
      </c>
      <c r="E661" s="1" t="s">
        <v>1674</v>
      </c>
      <c r="F661" s="1" t="s">
        <v>1027</v>
      </c>
      <c r="G661" s="1" t="s">
        <v>1023</v>
      </c>
      <c r="H661" s="1">
        <v>4</v>
      </c>
      <c r="I661" s="1">
        <v>4</v>
      </c>
      <c r="J661" s="1" t="s">
        <v>2549</v>
      </c>
      <c r="K661" s="2">
        <v>462.5</v>
      </c>
      <c r="L661" s="6">
        <v>1</v>
      </c>
      <c r="M661" s="2">
        <f t="shared" si="50"/>
        <v>1850</v>
      </c>
      <c r="N661" s="2">
        <f t="shared" si="51"/>
        <v>18.5</v>
      </c>
      <c r="O661" s="2">
        <f t="shared" si="52"/>
        <v>1831.5</v>
      </c>
      <c r="P661" s="1">
        <v>133</v>
      </c>
      <c r="Q661" s="2">
        <v>323.75</v>
      </c>
      <c r="R661" s="2">
        <f t="shared" si="53"/>
        <v>536.5</v>
      </c>
      <c r="S661" s="1" t="s">
        <v>1016</v>
      </c>
      <c r="T661" s="1" t="s">
        <v>1007</v>
      </c>
      <c r="U661" s="1" t="str">
        <f t="shared" si="54"/>
        <v>YES</v>
      </c>
    </row>
    <row r="662" spans="1:21" x14ac:dyDescent="0.3">
      <c r="A662" s="1" t="s">
        <v>847</v>
      </c>
      <c r="B662" s="1" t="s">
        <v>118</v>
      </c>
      <c r="C662" s="1" t="s">
        <v>119</v>
      </c>
      <c r="D662" s="1" t="s">
        <v>97</v>
      </c>
      <c r="E662" s="1" t="s">
        <v>1675</v>
      </c>
      <c r="F662" s="1" t="s">
        <v>1001</v>
      </c>
      <c r="G662" s="1" t="s">
        <v>1023</v>
      </c>
      <c r="H662" s="1">
        <v>1</v>
      </c>
      <c r="I662" s="1">
        <v>1</v>
      </c>
      <c r="J662" s="1" t="s">
        <v>2659</v>
      </c>
      <c r="K662" s="2">
        <v>399.95</v>
      </c>
      <c r="L662" s="6">
        <v>0</v>
      </c>
      <c r="M662" s="2">
        <f t="shared" si="50"/>
        <v>399.95</v>
      </c>
      <c r="N662" s="2">
        <f t="shared" si="51"/>
        <v>0</v>
      </c>
      <c r="O662" s="2">
        <f t="shared" si="52"/>
        <v>399.95</v>
      </c>
      <c r="P662" s="1">
        <v>204</v>
      </c>
      <c r="Q662" s="2">
        <v>279.95999999999998</v>
      </c>
      <c r="R662" s="2">
        <f t="shared" si="53"/>
        <v>119.99000000000001</v>
      </c>
      <c r="S662" s="1" t="s">
        <v>1011</v>
      </c>
      <c r="T662" s="1" t="s">
        <v>1004</v>
      </c>
      <c r="U662" s="1" t="str">
        <f t="shared" si="54"/>
        <v>NO</v>
      </c>
    </row>
    <row r="663" spans="1:21" x14ac:dyDescent="0.3">
      <c r="A663" s="1" t="s">
        <v>848</v>
      </c>
      <c r="B663" s="1" t="s">
        <v>172</v>
      </c>
      <c r="C663" s="1" t="s">
        <v>173</v>
      </c>
      <c r="D663" s="1" t="s">
        <v>132</v>
      </c>
      <c r="E663" s="1" t="s">
        <v>1676</v>
      </c>
      <c r="F663" s="1" t="s">
        <v>1015</v>
      </c>
      <c r="G663" s="1" t="s">
        <v>1010</v>
      </c>
      <c r="H663" s="1">
        <v>2</v>
      </c>
      <c r="I663" s="1">
        <v>2</v>
      </c>
      <c r="J663" s="1" t="s">
        <v>2841</v>
      </c>
      <c r="K663" s="2">
        <v>477.44</v>
      </c>
      <c r="L663" s="6">
        <v>21</v>
      </c>
      <c r="M663" s="2">
        <f t="shared" si="50"/>
        <v>954.88</v>
      </c>
      <c r="N663" s="2">
        <f t="shared" si="51"/>
        <v>200.5248</v>
      </c>
      <c r="O663" s="2">
        <f t="shared" si="52"/>
        <v>754.35519999999997</v>
      </c>
      <c r="P663" s="1">
        <v>44</v>
      </c>
      <c r="Q663" s="2">
        <v>334.21</v>
      </c>
      <c r="R663" s="2">
        <f t="shared" si="53"/>
        <v>85.935200000000009</v>
      </c>
      <c r="S663" s="1" t="s">
        <v>1016</v>
      </c>
      <c r="T663" s="1" t="s">
        <v>1004</v>
      </c>
      <c r="U663" s="1" t="str">
        <f t="shared" si="54"/>
        <v>YES</v>
      </c>
    </row>
    <row r="664" spans="1:21" x14ac:dyDescent="0.3">
      <c r="A664" s="1" t="s">
        <v>849</v>
      </c>
      <c r="B664" s="1" t="s">
        <v>118</v>
      </c>
      <c r="C664" s="1" t="s">
        <v>119</v>
      </c>
      <c r="D664" s="1" t="s">
        <v>97</v>
      </c>
      <c r="E664" s="1" t="s">
        <v>1677</v>
      </c>
      <c r="F664" s="1" t="s">
        <v>1006</v>
      </c>
      <c r="G664" s="1" t="s">
        <v>1002</v>
      </c>
      <c r="H664" s="1">
        <v>7</v>
      </c>
      <c r="I664" s="1">
        <v>6</v>
      </c>
      <c r="J664" s="1" t="s">
        <v>2842</v>
      </c>
      <c r="K664" s="2">
        <v>449.45</v>
      </c>
      <c r="L664" s="6">
        <v>4</v>
      </c>
      <c r="M664" s="2">
        <f t="shared" si="50"/>
        <v>3146.15</v>
      </c>
      <c r="N664" s="2">
        <f t="shared" si="51"/>
        <v>125.846</v>
      </c>
      <c r="O664" s="2">
        <f t="shared" si="52"/>
        <v>3020.3040000000001</v>
      </c>
      <c r="P664" s="1">
        <v>275</v>
      </c>
      <c r="Q664" s="2">
        <v>314.61</v>
      </c>
      <c r="R664" s="2">
        <f t="shared" si="53"/>
        <v>818.03400000000011</v>
      </c>
      <c r="S664" s="1" t="s">
        <v>1016</v>
      </c>
      <c r="T664" s="1" t="s">
        <v>1007</v>
      </c>
      <c r="U664" s="1" t="str">
        <f t="shared" si="54"/>
        <v>YES</v>
      </c>
    </row>
    <row r="665" spans="1:21" x14ac:dyDescent="0.3">
      <c r="A665" s="1" t="s">
        <v>850</v>
      </c>
      <c r="B665" s="1" t="s">
        <v>77</v>
      </c>
      <c r="C665" s="1" t="s">
        <v>78</v>
      </c>
      <c r="D665" s="1" t="s">
        <v>47</v>
      </c>
      <c r="E665" s="1" t="s">
        <v>1678</v>
      </c>
      <c r="F665" s="1" t="s">
        <v>1015</v>
      </c>
      <c r="G665" s="1" t="s">
        <v>1023</v>
      </c>
      <c r="H665" s="1">
        <v>13</v>
      </c>
      <c r="I665" s="1">
        <v>5</v>
      </c>
      <c r="J665" s="1" t="s">
        <v>2668</v>
      </c>
      <c r="K665" s="2">
        <v>238.25</v>
      </c>
      <c r="L665" s="6">
        <v>21</v>
      </c>
      <c r="M665" s="2">
        <f t="shared" si="50"/>
        <v>3097.25</v>
      </c>
      <c r="N665" s="2">
        <f t="shared" si="51"/>
        <v>650.42250000000001</v>
      </c>
      <c r="O665" s="2">
        <f t="shared" si="52"/>
        <v>2446.8274999999999</v>
      </c>
      <c r="P665" s="1">
        <v>171</v>
      </c>
      <c r="Q665" s="2">
        <v>166.77</v>
      </c>
      <c r="R665" s="2">
        <f t="shared" si="53"/>
        <v>278.81749999999965</v>
      </c>
      <c r="S665" s="1" t="s">
        <v>1011</v>
      </c>
      <c r="T665" s="1" t="s">
        <v>1007</v>
      </c>
      <c r="U665" s="1" t="str">
        <f t="shared" si="54"/>
        <v>NO</v>
      </c>
    </row>
    <row r="666" spans="1:21" x14ac:dyDescent="0.3">
      <c r="A666" s="1" t="s">
        <v>851</v>
      </c>
      <c r="B666" s="1" t="s">
        <v>95</v>
      </c>
      <c r="C666" s="1" t="s">
        <v>96</v>
      </c>
      <c r="D666" s="1" t="s">
        <v>97</v>
      </c>
      <c r="E666" s="1" t="s">
        <v>1679</v>
      </c>
      <c r="F666" s="1" t="s">
        <v>1020</v>
      </c>
      <c r="G666" s="1" t="s">
        <v>1002</v>
      </c>
      <c r="H666" s="1">
        <v>10</v>
      </c>
      <c r="I666" s="1">
        <v>7</v>
      </c>
      <c r="J666" s="1" t="s">
        <v>2741</v>
      </c>
      <c r="K666" s="2">
        <v>58</v>
      </c>
      <c r="L666" s="6">
        <v>20</v>
      </c>
      <c r="M666" s="2">
        <f t="shared" si="50"/>
        <v>580</v>
      </c>
      <c r="N666" s="2">
        <f t="shared" si="51"/>
        <v>116</v>
      </c>
      <c r="O666" s="2">
        <f t="shared" si="52"/>
        <v>464</v>
      </c>
      <c r="P666" s="1">
        <v>184</v>
      </c>
      <c r="Q666" s="2">
        <v>40.6</v>
      </c>
      <c r="R666" s="2">
        <f t="shared" si="53"/>
        <v>58</v>
      </c>
      <c r="S666" s="1" t="s">
        <v>1011</v>
      </c>
      <c r="T666" s="1" t="s">
        <v>1007</v>
      </c>
      <c r="U666" s="1" t="str">
        <f t="shared" si="54"/>
        <v>NO</v>
      </c>
    </row>
    <row r="667" spans="1:21" x14ac:dyDescent="0.3">
      <c r="A667" s="1" t="s">
        <v>852</v>
      </c>
      <c r="B667" s="1" t="s">
        <v>57</v>
      </c>
      <c r="C667" s="1" t="s">
        <v>58</v>
      </c>
      <c r="D667" s="1" t="s">
        <v>59</v>
      </c>
      <c r="E667" s="1" t="s">
        <v>1680</v>
      </c>
      <c r="F667" s="1" t="s">
        <v>1013</v>
      </c>
      <c r="G667" s="1" t="s">
        <v>1023</v>
      </c>
      <c r="H667" s="1">
        <v>3</v>
      </c>
      <c r="I667" s="1">
        <v>4</v>
      </c>
      <c r="J667" s="1" t="s">
        <v>2691</v>
      </c>
      <c r="K667" s="2">
        <v>339.69</v>
      </c>
      <c r="L667" s="6">
        <v>0</v>
      </c>
      <c r="M667" s="2">
        <f t="shared" si="50"/>
        <v>1019.0699999999999</v>
      </c>
      <c r="N667" s="2">
        <f t="shared" si="51"/>
        <v>0</v>
      </c>
      <c r="O667" s="2">
        <f t="shared" si="52"/>
        <v>1019.0699999999999</v>
      </c>
      <c r="P667" s="1">
        <v>116</v>
      </c>
      <c r="Q667" s="2">
        <v>237.78</v>
      </c>
      <c r="R667" s="2">
        <f t="shared" si="53"/>
        <v>305.7299999999999</v>
      </c>
      <c r="S667" s="1" t="s">
        <v>1003</v>
      </c>
      <c r="T667" s="1" t="s">
        <v>1007</v>
      </c>
      <c r="U667" s="1" t="str">
        <f t="shared" si="54"/>
        <v>NO</v>
      </c>
    </row>
    <row r="668" spans="1:21" x14ac:dyDescent="0.3">
      <c r="A668" s="1" t="s">
        <v>853</v>
      </c>
      <c r="B668" s="1" t="s">
        <v>77</v>
      </c>
      <c r="C668" s="1" t="s">
        <v>78</v>
      </c>
      <c r="D668" s="1" t="s">
        <v>47</v>
      </c>
      <c r="E668" s="1" t="s">
        <v>1681</v>
      </c>
      <c r="F668" s="1" t="s">
        <v>1015</v>
      </c>
      <c r="G668" s="1" t="s">
        <v>1002</v>
      </c>
      <c r="H668" s="1">
        <v>15</v>
      </c>
      <c r="I668" s="1">
        <v>7</v>
      </c>
      <c r="J668" s="1" t="s">
        <v>2520</v>
      </c>
      <c r="K668" s="2">
        <v>474.7</v>
      </c>
      <c r="L668" s="6">
        <v>20</v>
      </c>
      <c r="M668" s="2">
        <f t="shared" si="50"/>
        <v>7120.5</v>
      </c>
      <c r="N668" s="2">
        <f t="shared" si="51"/>
        <v>1424.1</v>
      </c>
      <c r="O668" s="2">
        <f t="shared" si="52"/>
        <v>5696.4</v>
      </c>
      <c r="P668" s="1">
        <v>235</v>
      </c>
      <c r="Q668" s="2">
        <v>332.29</v>
      </c>
      <c r="R668" s="2">
        <f t="shared" si="53"/>
        <v>712.04999999999927</v>
      </c>
      <c r="S668" s="1" t="s">
        <v>1011</v>
      </c>
      <c r="T668" s="1" t="s">
        <v>1004</v>
      </c>
      <c r="U668" s="1" t="str">
        <f t="shared" si="54"/>
        <v>NO</v>
      </c>
    </row>
    <row r="669" spans="1:21" x14ac:dyDescent="0.3">
      <c r="A669" s="1" t="s">
        <v>854</v>
      </c>
      <c r="B669" s="1" t="s">
        <v>126</v>
      </c>
      <c r="C669" s="1" t="s">
        <v>127</v>
      </c>
      <c r="D669" s="1" t="s">
        <v>85</v>
      </c>
      <c r="E669" s="1" t="s">
        <v>1682</v>
      </c>
      <c r="F669" s="1" t="s">
        <v>1001</v>
      </c>
      <c r="G669" s="1" t="s">
        <v>1010</v>
      </c>
      <c r="H669" s="1">
        <v>2</v>
      </c>
      <c r="I669" s="1">
        <v>6</v>
      </c>
      <c r="J669" s="1" t="s">
        <v>2843</v>
      </c>
      <c r="K669" s="2">
        <v>286.12</v>
      </c>
      <c r="L669" s="6">
        <v>5</v>
      </c>
      <c r="M669" s="2">
        <f t="shared" si="50"/>
        <v>572.24</v>
      </c>
      <c r="N669" s="2">
        <f t="shared" si="51"/>
        <v>28.611999999999998</v>
      </c>
      <c r="O669" s="2">
        <f t="shared" si="52"/>
        <v>543.62800000000004</v>
      </c>
      <c r="P669" s="1">
        <v>138</v>
      </c>
      <c r="Q669" s="2">
        <v>200.28</v>
      </c>
      <c r="R669" s="2">
        <f t="shared" si="53"/>
        <v>143.06800000000004</v>
      </c>
      <c r="S669" s="1" t="s">
        <v>1011</v>
      </c>
      <c r="T669" s="1" t="s">
        <v>1004</v>
      </c>
      <c r="U669" s="1" t="str">
        <f t="shared" si="54"/>
        <v>NO</v>
      </c>
    </row>
    <row r="670" spans="1:21" x14ac:dyDescent="0.3">
      <c r="A670" s="1" t="s">
        <v>855</v>
      </c>
      <c r="B670" s="1" t="s">
        <v>37</v>
      </c>
      <c r="C670" s="1" t="s">
        <v>38</v>
      </c>
      <c r="D670" s="1" t="s">
        <v>39</v>
      </c>
      <c r="E670" s="1" t="s">
        <v>1683</v>
      </c>
      <c r="F670" s="1" t="s">
        <v>1027</v>
      </c>
      <c r="G670" s="1" t="s">
        <v>1002</v>
      </c>
      <c r="H670" s="1">
        <v>8</v>
      </c>
      <c r="I670" s="1">
        <v>2</v>
      </c>
      <c r="J670" s="1" t="s">
        <v>2844</v>
      </c>
      <c r="K670" s="2">
        <v>48.88</v>
      </c>
      <c r="L670" s="6">
        <v>17</v>
      </c>
      <c r="M670" s="2">
        <f t="shared" si="50"/>
        <v>391.04</v>
      </c>
      <c r="N670" s="2">
        <f t="shared" si="51"/>
        <v>66.476799999999997</v>
      </c>
      <c r="O670" s="2">
        <f t="shared" si="52"/>
        <v>324.56320000000005</v>
      </c>
      <c r="P670" s="1">
        <v>121</v>
      </c>
      <c r="Q670" s="2">
        <v>34.22</v>
      </c>
      <c r="R670" s="2">
        <f t="shared" si="53"/>
        <v>50.803200000000061</v>
      </c>
      <c r="S670" s="1" t="s">
        <v>1003</v>
      </c>
      <c r="T670" s="1" t="s">
        <v>1004</v>
      </c>
      <c r="U670" s="1" t="str">
        <f t="shared" si="54"/>
        <v>NO</v>
      </c>
    </row>
    <row r="671" spans="1:21" x14ac:dyDescent="0.3">
      <c r="A671" s="1" t="s">
        <v>856</v>
      </c>
      <c r="B671" s="1" t="s">
        <v>262</v>
      </c>
      <c r="C671" s="1" t="s">
        <v>263</v>
      </c>
      <c r="D671" s="1" t="s">
        <v>104</v>
      </c>
      <c r="E671" s="1" t="s">
        <v>1684</v>
      </c>
      <c r="F671" s="1" t="s">
        <v>1020</v>
      </c>
      <c r="G671" s="1" t="s">
        <v>1023</v>
      </c>
      <c r="H671" s="1">
        <v>1</v>
      </c>
      <c r="I671" s="1">
        <v>4</v>
      </c>
      <c r="J671" s="1" t="s">
        <v>2580</v>
      </c>
      <c r="K671" s="2">
        <v>392.32</v>
      </c>
      <c r="L671" s="6">
        <v>19</v>
      </c>
      <c r="M671" s="2">
        <f t="shared" si="50"/>
        <v>392.32</v>
      </c>
      <c r="N671" s="2">
        <f t="shared" si="51"/>
        <v>74.540800000000004</v>
      </c>
      <c r="O671" s="2">
        <f t="shared" si="52"/>
        <v>317.7792</v>
      </c>
      <c r="P671" s="1">
        <v>174</v>
      </c>
      <c r="Q671" s="2">
        <v>274.62</v>
      </c>
      <c r="R671" s="2">
        <f t="shared" si="53"/>
        <v>43.159199999999998</v>
      </c>
      <c r="S671" s="1" t="s">
        <v>1011</v>
      </c>
      <c r="T671" s="1" t="s">
        <v>1007</v>
      </c>
      <c r="U671" s="1" t="str">
        <f t="shared" si="54"/>
        <v>NO</v>
      </c>
    </row>
    <row r="672" spans="1:21" x14ac:dyDescent="0.3">
      <c r="A672" s="1" t="s">
        <v>858</v>
      </c>
      <c r="B672" s="1" t="s">
        <v>143</v>
      </c>
      <c r="C672" s="1" t="s">
        <v>144</v>
      </c>
      <c r="D672" s="1" t="s">
        <v>47</v>
      </c>
      <c r="E672" s="1" t="s">
        <v>1685</v>
      </c>
      <c r="F672" s="1" t="s">
        <v>1006</v>
      </c>
      <c r="G672" s="1" t="s">
        <v>1010</v>
      </c>
      <c r="H672" s="1">
        <v>13</v>
      </c>
      <c r="I672" s="1">
        <v>6</v>
      </c>
      <c r="J672" s="1" t="s">
        <v>2545</v>
      </c>
      <c r="K672" s="2">
        <v>438.21</v>
      </c>
      <c r="L672" s="6">
        <v>18</v>
      </c>
      <c r="M672" s="2">
        <f t="shared" si="50"/>
        <v>5696.73</v>
      </c>
      <c r="N672" s="2">
        <f t="shared" si="51"/>
        <v>1025.4114</v>
      </c>
      <c r="O672" s="2">
        <f t="shared" si="52"/>
        <v>4671.3185999999996</v>
      </c>
      <c r="P672" s="1">
        <v>235</v>
      </c>
      <c r="Q672" s="2">
        <v>306.75</v>
      </c>
      <c r="R672" s="2">
        <f t="shared" si="53"/>
        <v>683.56859999999961</v>
      </c>
      <c r="S672" s="1" t="s">
        <v>1011</v>
      </c>
      <c r="T672" s="1" t="s">
        <v>1004</v>
      </c>
      <c r="U672" s="1" t="str">
        <f t="shared" si="54"/>
        <v>NO</v>
      </c>
    </row>
    <row r="673" spans="1:21" x14ac:dyDescent="0.3">
      <c r="A673" s="1" t="s">
        <v>859</v>
      </c>
      <c r="B673" s="1" t="s">
        <v>123</v>
      </c>
      <c r="C673" s="1" t="s">
        <v>124</v>
      </c>
      <c r="D673" s="1" t="s">
        <v>47</v>
      </c>
      <c r="E673" s="1" t="s">
        <v>1686</v>
      </c>
      <c r="F673" s="1" t="s">
        <v>1027</v>
      </c>
      <c r="G673" s="1" t="s">
        <v>1023</v>
      </c>
      <c r="H673" s="1">
        <v>11</v>
      </c>
      <c r="I673" s="1">
        <v>2</v>
      </c>
      <c r="J673" s="1" t="s">
        <v>2747</v>
      </c>
      <c r="K673" s="2">
        <v>491.16</v>
      </c>
      <c r="L673" s="6">
        <v>10</v>
      </c>
      <c r="M673" s="2">
        <f t="shared" si="50"/>
        <v>5402.76</v>
      </c>
      <c r="N673" s="2">
        <f t="shared" si="51"/>
        <v>540.27600000000007</v>
      </c>
      <c r="O673" s="2">
        <f t="shared" si="52"/>
        <v>4862.4840000000004</v>
      </c>
      <c r="P673" s="1">
        <v>260</v>
      </c>
      <c r="Q673" s="2">
        <v>343.81</v>
      </c>
      <c r="R673" s="2">
        <f t="shared" si="53"/>
        <v>1080.5740000000005</v>
      </c>
      <c r="S673" s="1" t="s">
        <v>1011</v>
      </c>
      <c r="T673" s="1" t="s">
        <v>1007</v>
      </c>
      <c r="U673" s="1" t="str">
        <f t="shared" si="54"/>
        <v>NO</v>
      </c>
    </row>
    <row r="674" spans="1:21" x14ac:dyDescent="0.3">
      <c r="A674" s="1" t="s">
        <v>860</v>
      </c>
      <c r="B674" s="1" t="s">
        <v>176</v>
      </c>
      <c r="C674" s="1" t="s">
        <v>177</v>
      </c>
      <c r="D674" s="1" t="s">
        <v>39</v>
      </c>
      <c r="E674" s="1" t="s">
        <v>1687</v>
      </c>
      <c r="F674" s="1" t="s">
        <v>1020</v>
      </c>
      <c r="G674" s="1" t="s">
        <v>1002</v>
      </c>
      <c r="H674" s="1">
        <v>9</v>
      </c>
      <c r="I674" s="1">
        <v>2</v>
      </c>
      <c r="J674" s="1" t="s">
        <v>2582</v>
      </c>
      <c r="K674" s="2">
        <v>442</v>
      </c>
      <c r="L674" s="6">
        <v>1</v>
      </c>
      <c r="M674" s="2">
        <f t="shared" si="50"/>
        <v>3978</v>
      </c>
      <c r="N674" s="2">
        <f t="shared" si="51"/>
        <v>39.78</v>
      </c>
      <c r="O674" s="2">
        <f t="shared" si="52"/>
        <v>3938.22</v>
      </c>
      <c r="P674" s="1">
        <v>43</v>
      </c>
      <c r="Q674" s="2">
        <v>309.39999999999998</v>
      </c>
      <c r="R674" s="2">
        <f t="shared" si="53"/>
        <v>1153.6199999999999</v>
      </c>
      <c r="S674" s="1" t="s">
        <v>1003</v>
      </c>
      <c r="T674" s="1" t="s">
        <v>1004</v>
      </c>
      <c r="U674" s="1" t="str">
        <f t="shared" si="54"/>
        <v>NO</v>
      </c>
    </row>
    <row r="675" spans="1:21" x14ac:dyDescent="0.3">
      <c r="A675" s="1" t="s">
        <v>861</v>
      </c>
      <c r="B675" s="1" t="s">
        <v>126</v>
      </c>
      <c r="C675" s="1" t="s">
        <v>127</v>
      </c>
      <c r="D675" s="1" t="s">
        <v>85</v>
      </c>
      <c r="E675" s="1" t="s">
        <v>1688</v>
      </c>
      <c r="F675" s="1" t="s">
        <v>1006</v>
      </c>
      <c r="G675" s="1" t="s">
        <v>1010</v>
      </c>
      <c r="H675" s="1">
        <v>1</v>
      </c>
      <c r="I675" s="1">
        <v>4</v>
      </c>
      <c r="J675" s="1" t="s">
        <v>2845</v>
      </c>
      <c r="K675" s="2">
        <v>41.42</v>
      </c>
      <c r="L675" s="6">
        <v>22</v>
      </c>
      <c r="M675" s="2">
        <f t="shared" si="50"/>
        <v>41.42</v>
      </c>
      <c r="N675" s="2">
        <f t="shared" si="51"/>
        <v>9.1124000000000009</v>
      </c>
      <c r="O675" s="2">
        <f t="shared" si="52"/>
        <v>32.307600000000001</v>
      </c>
      <c r="P675" s="1">
        <v>215</v>
      </c>
      <c r="Q675" s="2">
        <v>28.99</v>
      </c>
      <c r="R675" s="2">
        <f t="shared" si="53"/>
        <v>3.3176000000000023</v>
      </c>
      <c r="S675" s="1" t="s">
        <v>1011</v>
      </c>
      <c r="T675" s="1" t="s">
        <v>1004</v>
      </c>
      <c r="U675" s="1" t="str">
        <f t="shared" si="54"/>
        <v>NO</v>
      </c>
    </row>
    <row r="676" spans="1:21" x14ac:dyDescent="0.3">
      <c r="A676" s="1" t="s">
        <v>862</v>
      </c>
      <c r="B676" s="1" t="s">
        <v>63</v>
      </c>
      <c r="C676" s="1" t="s">
        <v>64</v>
      </c>
      <c r="D676" s="1" t="s">
        <v>28</v>
      </c>
      <c r="E676" s="1" t="s">
        <v>1689</v>
      </c>
      <c r="F676" s="1" t="s">
        <v>1020</v>
      </c>
      <c r="G676" s="1" t="s">
        <v>1010</v>
      </c>
      <c r="H676" s="1">
        <v>13</v>
      </c>
      <c r="I676" s="1">
        <v>5</v>
      </c>
      <c r="J676" s="1" t="s">
        <v>2846</v>
      </c>
      <c r="K676" s="2">
        <v>57.84</v>
      </c>
      <c r="L676" s="6">
        <v>14</v>
      </c>
      <c r="M676" s="2">
        <f t="shared" si="50"/>
        <v>751.92000000000007</v>
      </c>
      <c r="N676" s="2">
        <f t="shared" si="51"/>
        <v>105.26880000000001</v>
      </c>
      <c r="O676" s="2">
        <f t="shared" si="52"/>
        <v>646.65120000000002</v>
      </c>
      <c r="P676" s="1">
        <v>61</v>
      </c>
      <c r="Q676" s="2">
        <v>40.49</v>
      </c>
      <c r="R676" s="2">
        <f t="shared" si="53"/>
        <v>120.28120000000001</v>
      </c>
      <c r="S676" s="1" t="s">
        <v>1011</v>
      </c>
      <c r="T676" s="1" t="s">
        <v>1004</v>
      </c>
      <c r="U676" s="1" t="str">
        <f t="shared" si="54"/>
        <v>NO</v>
      </c>
    </row>
    <row r="677" spans="1:21" x14ac:dyDescent="0.3">
      <c r="A677" s="1" t="s">
        <v>863</v>
      </c>
      <c r="B677" s="1" t="s">
        <v>63</v>
      </c>
      <c r="C677" s="1" t="s">
        <v>64</v>
      </c>
      <c r="D677" s="1" t="s">
        <v>28</v>
      </c>
      <c r="E677" s="1" t="s">
        <v>1690</v>
      </c>
      <c r="F677" s="1" t="s">
        <v>1020</v>
      </c>
      <c r="G677" s="1" t="s">
        <v>1002</v>
      </c>
      <c r="H677" s="1">
        <v>1</v>
      </c>
      <c r="I677" s="1">
        <v>6</v>
      </c>
      <c r="J677" s="1" t="s">
        <v>2847</v>
      </c>
      <c r="K677" s="2">
        <v>371.2</v>
      </c>
      <c r="L677" s="6">
        <v>5</v>
      </c>
      <c r="M677" s="2">
        <f t="shared" si="50"/>
        <v>371.2</v>
      </c>
      <c r="N677" s="2">
        <f t="shared" si="51"/>
        <v>18.559999999999999</v>
      </c>
      <c r="O677" s="2">
        <f t="shared" si="52"/>
        <v>352.64</v>
      </c>
      <c r="P677" s="1">
        <v>258</v>
      </c>
      <c r="Q677" s="2">
        <v>259.83999999999997</v>
      </c>
      <c r="R677" s="2">
        <f t="shared" si="53"/>
        <v>92.800000000000011</v>
      </c>
      <c r="S677" s="1" t="s">
        <v>1003</v>
      </c>
      <c r="T677" s="1" t="s">
        <v>1007</v>
      </c>
      <c r="U677" s="1" t="str">
        <f t="shared" si="54"/>
        <v>NO</v>
      </c>
    </row>
    <row r="678" spans="1:21" x14ac:dyDescent="0.3">
      <c r="A678" s="1" t="s">
        <v>864</v>
      </c>
      <c r="B678" s="1" t="s">
        <v>197</v>
      </c>
      <c r="C678" s="1" t="s">
        <v>198</v>
      </c>
      <c r="D678" s="1" t="s">
        <v>104</v>
      </c>
      <c r="E678" s="1" t="s">
        <v>1691</v>
      </c>
      <c r="F678" s="1" t="s">
        <v>1001</v>
      </c>
      <c r="G678" s="1" t="s">
        <v>1002</v>
      </c>
      <c r="H678" s="1">
        <v>11</v>
      </c>
      <c r="I678" s="1">
        <v>6</v>
      </c>
      <c r="J678" s="1" t="s">
        <v>2727</v>
      </c>
      <c r="K678" s="2">
        <v>376.54</v>
      </c>
      <c r="L678" s="6">
        <v>3</v>
      </c>
      <c r="M678" s="2">
        <f t="shared" si="50"/>
        <v>4141.9400000000005</v>
      </c>
      <c r="N678" s="2">
        <f t="shared" si="51"/>
        <v>124.25820000000002</v>
      </c>
      <c r="O678" s="2">
        <f t="shared" si="52"/>
        <v>4017.6818000000003</v>
      </c>
      <c r="P678" s="1">
        <v>203</v>
      </c>
      <c r="Q678" s="2">
        <v>263.58</v>
      </c>
      <c r="R678" s="2">
        <f t="shared" si="53"/>
        <v>1118.3018000000006</v>
      </c>
      <c r="S678" s="1" t="s">
        <v>1011</v>
      </c>
      <c r="T678" s="1" t="s">
        <v>1004</v>
      </c>
      <c r="U678" s="1" t="str">
        <f t="shared" si="54"/>
        <v>NO</v>
      </c>
    </row>
    <row r="679" spans="1:21" x14ac:dyDescent="0.3">
      <c r="A679" s="1" t="s">
        <v>865</v>
      </c>
      <c r="B679" s="1" t="s">
        <v>69</v>
      </c>
      <c r="C679" s="1" t="s">
        <v>70</v>
      </c>
      <c r="D679" s="1" t="s">
        <v>59</v>
      </c>
      <c r="E679" s="1" t="s">
        <v>1692</v>
      </c>
      <c r="F679" s="1" t="s">
        <v>1006</v>
      </c>
      <c r="G679" s="1" t="s">
        <v>1023</v>
      </c>
      <c r="H679" s="1">
        <v>3</v>
      </c>
      <c r="I679" s="1">
        <v>6</v>
      </c>
      <c r="J679" s="1" t="s">
        <v>2541</v>
      </c>
      <c r="K679" s="2">
        <v>267.63</v>
      </c>
      <c r="L679" s="6">
        <v>13</v>
      </c>
      <c r="M679" s="2">
        <f t="shared" si="50"/>
        <v>802.89</v>
      </c>
      <c r="N679" s="2">
        <f t="shared" si="51"/>
        <v>104.37569999999999</v>
      </c>
      <c r="O679" s="2">
        <f t="shared" si="52"/>
        <v>698.51430000000005</v>
      </c>
      <c r="P679" s="1">
        <v>257</v>
      </c>
      <c r="Q679" s="2">
        <v>187.34</v>
      </c>
      <c r="R679" s="2">
        <f t="shared" si="53"/>
        <v>136.49430000000007</v>
      </c>
      <c r="S679" s="1" t="s">
        <v>1016</v>
      </c>
      <c r="T679" s="1" t="s">
        <v>1004</v>
      </c>
      <c r="U679" s="1" t="str">
        <f t="shared" si="54"/>
        <v>YES</v>
      </c>
    </row>
    <row r="680" spans="1:21" x14ac:dyDescent="0.3">
      <c r="A680" s="1" t="s">
        <v>866</v>
      </c>
      <c r="B680" s="1" t="s">
        <v>37</v>
      </c>
      <c r="C680" s="1" t="s">
        <v>38</v>
      </c>
      <c r="D680" s="1" t="s">
        <v>39</v>
      </c>
      <c r="E680" s="1" t="s">
        <v>1693</v>
      </c>
      <c r="F680" s="1" t="s">
        <v>1027</v>
      </c>
      <c r="G680" s="1" t="s">
        <v>1002</v>
      </c>
      <c r="H680" s="1">
        <v>11</v>
      </c>
      <c r="I680" s="1">
        <v>4</v>
      </c>
      <c r="J680" s="1" t="s">
        <v>2616</v>
      </c>
      <c r="K680" s="2">
        <v>353.91</v>
      </c>
      <c r="L680" s="6">
        <v>16</v>
      </c>
      <c r="M680" s="2">
        <f t="shared" si="50"/>
        <v>3893.01</v>
      </c>
      <c r="N680" s="2">
        <f t="shared" si="51"/>
        <v>622.88160000000005</v>
      </c>
      <c r="O680" s="2">
        <f t="shared" si="52"/>
        <v>3270.1284000000001</v>
      </c>
      <c r="P680" s="1">
        <v>127</v>
      </c>
      <c r="Q680" s="2">
        <v>247.74</v>
      </c>
      <c r="R680" s="2">
        <f t="shared" si="53"/>
        <v>544.98839999999973</v>
      </c>
      <c r="S680" s="1" t="s">
        <v>1016</v>
      </c>
      <c r="T680" s="1" t="s">
        <v>1007</v>
      </c>
      <c r="U680" s="1" t="str">
        <f t="shared" si="54"/>
        <v>YES</v>
      </c>
    </row>
    <row r="681" spans="1:21" x14ac:dyDescent="0.3">
      <c r="A681" s="1" t="s">
        <v>867</v>
      </c>
      <c r="B681" s="1" t="s">
        <v>102</v>
      </c>
      <c r="C681" s="1" t="s">
        <v>103</v>
      </c>
      <c r="D681" s="1" t="s">
        <v>104</v>
      </c>
      <c r="E681" s="1" t="s">
        <v>1694</v>
      </c>
      <c r="F681" s="1" t="s">
        <v>1015</v>
      </c>
      <c r="G681" s="1" t="s">
        <v>1010</v>
      </c>
      <c r="H681" s="1">
        <v>14</v>
      </c>
      <c r="I681" s="1">
        <v>4</v>
      </c>
      <c r="J681" s="1" t="s">
        <v>2641</v>
      </c>
      <c r="K681" s="2">
        <v>164.35</v>
      </c>
      <c r="L681" s="6">
        <v>20</v>
      </c>
      <c r="M681" s="2">
        <f t="shared" si="50"/>
        <v>2300.9</v>
      </c>
      <c r="N681" s="2">
        <f t="shared" si="51"/>
        <v>460.18</v>
      </c>
      <c r="O681" s="2">
        <f t="shared" si="52"/>
        <v>1840.72</v>
      </c>
      <c r="P681" s="1">
        <v>169</v>
      </c>
      <c r="Q681" s="2">
        <v>115.04</v>
      </c>
      <c r="R681" s="2">
        <f t="shared" si="53"/>
        <v>230.15999999999985</v>
      </c>
      <c r="S681" s="1" t="s">
        <v>1011</v>
      </c>
      <c r="T681" s="1" t="s">
        <v>1004</v>
      </c>
      <c r="U681" s="1" t="str">
        <f t="shared" si="54"/>
        <v>NO</v>
      </c>
    </row>
    <row r="682" spans="1:21" x14ac:dyDescent="0.3">
      <c r="A682" s="1" t="s">
        <v>868</v>
      </c>
      <c r="B682" s="1" t="s">
        <v>102</v>
      </c>
      <c r="C682" s="1" t="s">
        <v>103</v>
      </c>
      <c r="D682" s="1" t="s">
        <v>104</v>
      </c>
      <c r="E682" s="1" t="s">
        <v>1695</v>
      </c>
      <c r="F682" s="1" t="s">
        <v>1009</v>
      </c>
      <c r="G682" s="1" t="s">
        <v>1010</v>
      </c>
      <c r="H682" s="1">
        <v>10</v>
      </c>
      <c r="I682" s="1">
        <v>6</v>
      </c>
      <c r="J682" s="1" t="s">
        <v>2848</v>
      </c>
      <c r="K682" s="2">
        <v>218.43</v>
      </c>
      <c r="L682" s="6">
        <v>20</v>
      </c>
      <c r="M682" s="2">
        <f t="shared" si="50"/>
        <v>2184.3000000000002</v>
      </c>
      <c r="N682" s="2">
        <f t="shared" si="51"/>
        <v>436.86</v>
      </c>
      <c r="O682" s="2">
        <f t="shared" si="52"/>
        <v>1747.44</v>
      </c>
      <c r="P682" s="1">
        <v>260</v>
      </c>
      <c r="Q682" s="2">
        <v>152.9</v>
      </c>
      <c r="R682" s="2">
        <f t="shared" si="53"/>
        <v>218.44000000000005</v>
      </c>
      <c r="S682" s="1" t="s">
        <v>1003</v>
      </c>
      <c r="T682" s="1" t="s">
        <v>1007</v>
      </c>
      <c r="U682" s="1" t="str">
        <f t="shared" si="54"/>
        <v>NO</v>
      </c>
    </row>
    <row r="683" spans="1:21" x14ac:dyDescent="0.3">
      <c r="A683" s="1" t="s">
        <v>869</v>
      </c>
      <c r="B683" s="1" t="s">
        <v>126</v>
      </c>
      <c r="C683" s="1" t="s">
        <v>127</v>
      </c>
      <c r="D683" s="1" t="s">
        <v>85</v>
      </c>
      <c r="E683" s="1" t="s">
        <v>1696</v>
      </c>
      <c r="F683" s="1" t="s">
        <v>1020</v>
      </c>
      <c r="G683" s="1" t="s">
        <v>1023</v>
      </c>
      <c r="H683" s="1">
        <v>2</v>
      </c>
      <c r="I683" s="1">
        <v>1</v>
      </c>
      <c r="J683" s="1" t="s">
        <v>2849</v>
      </c>
      <c r="K683" s="2">
        <v>313.02999999999997</v>
      </c>
      <c r="L683" s="6">
        <v>3</v>
      </c>
      <c r="M683" s="2">
        <f t="shared" si="50"/>
        <v>626.05999999999995</v>
      </c>
      <c r="N683" s="2">
        <f t="shared" si="51"/>
        <v>18.781799999999997</v>
      </c>
      <c r="O683" s="2">
        <f t="shared" si="52"/>
        <v>607.27819999999997</v>
      </c>
      <c r="P683" s="1">
        <v>258</v>
      </c>
      <c r="Q683" s="2">
        <v>219.12</v>
      </c>
      <c r="R683" s="2">
        <f t="shared" si="53"/>
        <v>169.03819999999996</v>
      </c>
      <c r="S683" s="1" t="s">
        <v>1016</v>
      </c>
      <c r="T683" s="1" t="s">
        <v>1004</v>
      </c>
      <c r="U683" s="1" t="str">
        <f t="shared" si="54"/>
        <v>YES</v>
      </c>
    </row>
    <row r="684" spans="1:21" x14ac:dyDescent="0.3">
      <c r="A684" s="1" t="s">
        <v>870</v>
      </c>
      <c r="B684" s="1" t="s">
        <v>123</v>
      </c>
      <c r="C684" s="1" t="s">
        <v>124</v>
      </c>
      <c r="D684" s="1" t="s">
        <v>47</v>
      </c>
      <c r="E684" s="1" t="s">
        <v>1697</v>
      </c>
      <c r="F684" s="1" t="s">
        <v>1020</v>
      </c>
      <c r="G684" s="1" t="s">
        <v>1023</v>
      </c>
      <c r="H684" s="1">
        <v>14</v>
      </c>
      <c r="I684" s="1">
        <v>1</v>
      </c>
      <c r="J684" s="1" t="s">
        <v>2850</v>
      </c>
      <c r="K684" s="2">
        <v>220.42</v>
      </c>
      <c r="L684" s="6">
        <v>2</v>
      </c>
      <c r="M684" s="2">
        <f t="shared" si="50"/>
        <v>3085.8799999999997</v>
      </c>
      <c r="N684" s="2">
        <f t="shared" si="51"/>
        <v>61.71759999999999</v>
      </c>
      <c r="O684" s="2">
        <f t="shared" si="52"/>
        <v>3024.1623999999997</v>
      </c>
      <c r="P684" s="1">
        <v>127</v>
      </c>
      <c r="Q684" s="2">
        <v>154.29</v>
      </c>
      <c r="R684" s="2">
        <f t="shared" si="53"/>
        <v>864.10239999999976</v>
      </c>
      <c r="S684" s="1" t="s">
        <v>1011</v>
      </c>
      <c r="T684" s="1" t="s">
        <v>1004</v>
      </c>
      <c r="U684" s="1" t="str">
        <f t="shared" si="54"/>
        <v>NO</v>
      </c>
    </row>
    <row r="685" spans="1:21" x14ac:dyDescent="0.3">
      <c r="A685" s="1" t="s">
        <v>871</v>
      </c>
      <c r="B685" s="1" t="s">
        <v>57</v>
      </c>
      <c r="C685" s="1" t="s">
        <v>58</v>
      </c>
      <c r="D685" s="1" t="s">
        <v>59</v>
      </c>
      <c r="E685" s="1" t="s">
        <v>1698</v>
      </c>
      <c r="F685" s="1" t="s">
        <v>1006</v>
      </c>
      <c r="G685" s="1" t="s">
        <v>1002</v>
      </c>
      <c r="H685" s="1">
        <v>12</v>
      </c>
      <c r="I685" s="1">
        <v>5</v>
      </c>
      <c r="J685" s="1" t="s">
        <v>2633</v>
      </c>
      <c r="K685" s="2">
        <v>198.69</v>
      </c>
      <c r="L685" s="6">
        <v>14</v>
      </c>
      <c r="M685" s="2">
        <f t="shared" si="50"/>
        <v>2384.2799999999997</v>
      </c>
      <c r="N685" s="2">
        <f t="shared" si="51"/>
        <v>333.79919999999998</v>
      </c>
      <c r="O685" s="2">
        <f t="shared" si="52"/>
        <v>2050.4807999999998</v>
      </c>
      <c r="P685" s="1">
        <v>265</v>
      </c>
      <c r="Q685" s="2">
        <v>139.08000000000001</v>
      </c>
      <c r="R685" s="2">
        <f t="shared" si="53"/>
        <v>381.52079999999978</v>
      </c>
      <c r="S685" s="1" t="s">
        <v>1016</v>
      </c>
      <c r="T685" s="1" t="s">
        <v>1004</v>
      </c>
      <c r="U685" s="1" t="str">
        <f t="shared" si="54"/>
        <v>YES</v>
      </c>
    </row>
    <row r="686" spans="1:21" x14ac:dyDescent="0.3">
      <c r="A686" s="1" t="s">
        <v>872</v>
      </c>
      <c r="B686" s="1" t="s">
        <v>118</v>
      </c>
      <c r="C686" s="1" t="s">
        <v>119</v>
      </c>
      <c r="D686" s="1" t="s">
        <v>97</v>
      </c>
      <c r="E686" s="1" t="s">
        <v>1699</v>
      </c>
      <c r="F686" s="1" t="s">
        <v>1001</v>
      </c>
      <c r="G686" s="1" t="s">
        <v>1002</v>
      </c>
      <c r="H686" s="1">
        <v>1</v>
      </c>
      <c r="I686" s="1">
        <v>5</v>
      </c>
      <c r="J686" s="1" t="s">
        <v>2635</v>
      </c>
      <c r="K686" s="2">
        <v>265.74</v>
      </c>
      <c r="L686" s="6">
        <v>25</v>
      </c>
      <c r="M686" s="2">
        <f t="shared" si="50"/>
        <v>265.74</v>
      </c>
      <c r="N686" s="2">
        <f t="shared" si="51"/>
        <v>66.435000000000002</v>
      </c>
      <c r="O686" s="2">
        <f t="shared" si="52"/>
        <v>199.30500000000001</v>
      </c>
      <c r="P686" s="1">
        <v>179</v>
      </c>
      <c r="Q686" s="2">
        <v>186.02</v>
      </c>
      <c r="R686" s="2">
        <f t="shared" si="53"/>
        <v>13.284999999999997</v>
      </c>
      <c r="S686" s="1" t="s">
        <v>1011</v>
      </c>
      <c r="T686" s="1" t="s">
        <v>1007</v>
      </c>
      <c r="U686" s="1" t="str">
        <f t="shared" si="54"/>
        <v>NO</v>
      </c>
    </row>
    <row r="687" spans="1:21" x14ac:dyDescent="0.3">
      <c r="A687" s="1" t="s">
        <v>873</v>
      </c>
      <c r="B687" s="1" t="s">
        <v>69</v>
      </c>
      <c r="C687" s="1" t="s">
        <v>70</v>
      </c>
      <c r="D687" s="1" t="s">
        <v>59</v>
      </c>
      <c r="E687" s="1" t="s">
        <v>1700</v>
      </c>
      <c r="F687" s="1" t="s">
        <v>1006</v>
      </c>
      <c r="G687" s="1" t="s">
        <v>1023</v>
      </c>
      <c r="H687" s="1">
        <v>1</v>
      </c>
      <c r="I687" s="1">
        <v>5</v>
      </c>
      <c r="J687" s="1" t="s">
        <v>2790</v>
      </c>
      <c r="K687" s="2">
        <v>211.97</v>
      </c>
      <c r="L687" s="6">
        <v>0</v>
      </c>
      <c r="M687" s="2">
        <f t="shared" si="50"/>
        <v>211.97</v>
      </c>
      <c r="N687" s="2">
        <f t="shared" si="51"/>
        <v>0</v>
      </c>
      <c r="O687" s="2">
        <f t="shared" si="52"/>
        <v>211.97</v>
      </c>
      <c r="P687" s="1">
        <v>84</v>
      </c>
      <c r="Q687" s="2">
        <v>148.38</v>
      </c>
      <c r="R687" s="2">
        <f t="shared" si="53"/>
        <v>63.59</v>
      </c>
      <c r="S687" s="1" t="s">
        <v>1003</v>
      </c>
      <c r="T687" s="1" t="s">
        <v>1004</v>
      </c>
      <c r="U687" s="1" t="str">
        <f t="shared" si="54"/>
        <v>NO</v>
      </c>
    </row>
    <row r="688" spans="1:21" x14ac:dyDescent="0.3">
      <c r="A688" s="1" t="s">
        <v>874</v>
      </c>
      <c r="B688" s="1" t="s">
        <v>77</v>
      </c>
      <c r="C688" s="1" t="s">
        <v>78</v>
      </c>
      <c r="D688" s="1" t="s">
        <v>47</v>
      </c>
      <c r="E688" s="1" t="s">
        <v>1701</v>
      </c>
      <c r="F688" s="1" t="s">
        <v>1013</v>
      </c>
      <c r="G688" s="1" t="s">
        <v>1002</v>
      </c>
      <c r="H688" s="1">
        <v>7</v>
      </c>
      <c r="I688" s="1">
        <v>7</v>
      </c>
      <c r="J688" s="1" t="s">
        <v>2601</v>
      </c>
      <c r="K688" s="2">
        <v>193.05</v>
      </c>
      <c r="L688" s="6">
        <v>4</v>
      </c>
      <c r="M688" s="2">
        <f t="shared" si="50"/>
        <v>1351.3500000000001</v>
      </c>
      <c r="N688" s="2">
        <f t="shared" si="51"/>
        <v>54.054000000000002</v>
      </c>
      <c r="O688" s="2">
        <f t="shared" si="52"/>
        <v>1297.296</v>
      </c>
      <c r="P688" s="1">
        <v>130</v>
      </c>
      <c r="Q688" s="2">
        <v>135.13</v>
      </c>
      <c r="R688" s="2">
        <f t="shared" si="53"/>
        <v>351.38600000000008</v>
      </c>
      <c r="S688" s="1" t="s">
        <v>1016</v>
      </c>
      <c r="T688" s="1" t="s">
        <v>1007</v>
      </c>
      <c r="U688" s="1" t="str">
        <f t="shared" si="54"/>
        <v>YES</v>
      </c>
    </row>
    <row r="689" spans="1:21" x14ac:dyDescent="0.3">
      <c r="A689" s="1" t="s">
        <v>875</v>
      </c>
      <c r="B689" s="1" t="s">
        <v>72</v>
      </c>
      <c r="C689" s="1" t="s">
        <v>73</v>
      </c>
      <c r="D689" s="1" t="s">
        <v>47</v>
      </c>
      <c r="E689" s="1" t="s">
        <v>1702</v>
      </c>
      <c r="F689" s="1" t="s">
        <v>1009</v>
      </c>
      <c r="G689" s="1" t="s">
        <v>1010</v>
      </c>
      <c r="H689" s="1">
        <v>10</v>
      </c>
      <c r="I689" s="1">
        <v>6</v>
      </c>
      <c r="J689" s="1" t="s">
        <v>2834</v>
      </c>
      <c r="K689" s="2">
        <v>110.63</v>
      </c>
      <c r="L689" s="6">
        <v>3</v>
      </c>
      <c r="M689" s="2">
        <f t="shared" si="50"/>
        <v>1106.3</v>
      </c>
      <c r="N689" s="2">
        <f t="shared" si="51"/>
        <v>33.188999999999993</v>
      </c>
      <c r="O689" s="2">
        <f t="shared" si="52"/>
        <v>1073.1109999999999</v>
      </c>
      <c r="P689" s="1">
        <v>232</v>
      </c>
      <c r="Q689" s="2">
        <v>77.44</v>
      </c>
      <c r="R689" s="2">
        <f t="shared" si="53"/>
        <v>298.7109999999999</v>
      </c>
      <c r="S689" s="1" t="s">
        <v>1016</v>
      </c>
      <c r="T689" s="1" t="s">
        <v>1007</v>
      </c>
      <c r="U689" s="1" t="str">
        <f t="shared" si="54"/>
        <v>YES</v>
      </c>
    </row>
    <row r="690" spans="1:21" x14ac:dyDescent="0.3">
      <c r="A690" s="1" t="s">
        <v>876</v>
      </c>
      <c r="B690" s="1" t="s">
        <v>95</v>
      </c>
      <c r="C690" s="1" t="s">
        <v>96</v>
      </c>
      <c r="D690" s="1" t="s">
        <v>97</v>
      </c>
      <c r="E690" s="1" t="s">
        <v>1703</v>
      </c>
      <c r="F690" s="1" t="s">
        <v>1013</v>
      </c>
      <c r="G690" s="1" t="s">
        <v>1010</v>
      </c>
      <c r="H690" s="1">
        <v>12</v>
      </c>
      <c r="I690" s="1">
        <v>4</v>
      </c>
      <c r="J690" s="1" t="s">
        <v>2851</v>
      </c>
      <c r="K690" s="2">
        <v>242.61</v>
      </c>
      <c r="L690" s="6">
        <v>3</v>
      </c>
      <c r="M690" s="2">
        <f t="shared" si="50"/>
        <v>2911.32</v>
      </c>
      <c r="N690" s="2">
        <f t="shared" si="51"/>
        <v>87.339600000000004</v>
      </c>
      <c r="O690" s="2">
        <f t="shared" si="52"/>
        <v>2823.9804000000004</v>
      </c>
      <c r="P690" s="1">
        <v>193</v>
      </c>
      <c r="Q690" s="2">
        <v>169.83</v>
      </c>
      <c r="R690" s="2">
        <f t="shared" si="53"/>
        <v>786.02040000000034</v>
      </c>
      <c r="S690" s="1" t="s">
        <v>1016</v>
      </c>
      <c r="T690" s="1" t="s">
        <v>1004</v>
      </c>
      <c r="U690" s="1" t="str">
        <f t="shared" si="54"/>
        <v>YES</v>
      </c>
    </row>
    <row r="691" spans="1:21" x14ac:dyDescent="0.3">
      <c r="A691" s="1" t="s">
        <v>877</v>
      </c>
      <c r="B691" s="1" t="s">
        <v>63</v>
      </c>
      <c r="C691" s="1" t="s">
        <v>64</v>
      </c>
      <c r="D691" s="1" t="s">
        <v>28</v>
      </c>
      <c r="E691" s="1" t="s">
        <v>1704</v>
      </c>
      <c r="F691" s="1" t="s">
        <v>1006</v>
      </c>
      <c r="G691" s="1" t="s">
        <v>1023</v>
      </c>
      <c r="H691" s="1">
        <v>14</v>
      </c>
      <c r="I691" s="1">
        <v>4</v>
      </c>
      <c r="J691" s="1" t="s">
        <v>2628</v>
      </c>
      <c r="K691" s="2">
        <v>405.08</v>
      </c>
      <c r="L691" s="6">
        <v>25</v>
      </c>
      <c r="M691" s="2">
        <f t="shared" si="50"/>
        <v>5671.12</v>
      </c>
      <c r="N691" s="2">
        <f t="shared" si="51"/>
        <v>1417.78</v>
      </c>
      <c r="O691" s="2">
        <f t="shared" si="52"/>
        <v>4253.34</v>
      </c>
      <c r="P691" s="1">
        <v>50</v>
      </c>
      <c r="Q691" s="2">
        <v>283.56</v>
      </c>
      <c r="R691" s="2">
        <f t="shared" si="53"/>
        <v>283.5</v>
      </c>
      <c r="S691" s="1" t="s">
        <v>1011</v>
      </c>
      <c r="T691" s="1" t="s">
        <v>1004</v>
      </c>
      <c r="U691" s="1" t="str">
        <f t="shared" si="54"/>
        <v>NO</v>
      </c>
    </row>
    <row r="692" spans="1:21" x14ac:dyDescent="0.3">
      <c r="A692" s="1" t="s">
        <v>878</v>
      </c>
      <c r="B692" s="1" t="s">
        <v>95</v>
      </c>
      <c r="C692" s="1" t="s">
        <v>96</v>
      </c>
      <c r="D692" s="1" t="s">
        <v>97</v>
      </c>
      <c r="E692" s="1" t="s">
        <v>1705</v>
      </c>
      <c r="F692" s="1" t="s">
        <v>1009</v>
      </c>
      <c r="G692" s="1" t="s">
        <v>1002</v>
      </c>
      <c r="H692" s="1">
        <v>13</v>
      </c>
      <c r="I692" s="1">
        <v>4</v>
      </c>
      <c r="J692" s="1" t="s">
        <v>2517</v>
      </c>
      <c r="K692" s="2">
        <v>126.83</v>
      </c>
      <c r="L692" s="6">
        <v>8</v>
      </c>
      <c r="M692" s="2">
        <f t="shared" si="50"/>
        <v>1648.79</v>
      </c>
      <c r="N692" s="2">
        <f t="shared" si="51"/>
        <v>131.9032</v>
      </c>
      <c r="O692" s="2">
        <f t="shared" si="52"/>
        <v>1516.8868</v>
      </c>
      <c r="P692" s="1">
        <v>71</v>
      </c>
      <c r="Q692" s="2">
        <v>88.78</v>
      </c>
      <c r="R692" s="2">
        <f t="shared" si="53"/>
        <v>362.74679999999989</v>
      </c>
      <c r="S692" s="1" t="s">
        <v>1011</v>
      </c>
      <c r="T692" s="1" t="s">
        <v>1004</v>
      </c>
      <c r="U692" s="1" t="str">
        <f t="shared" si="54"/>
        <v>NO</v>
      </c>
    </row>
    <row r="693" spans="1:21" x14ac:dyDescent="0.3">
      <c r="A693" s="1" t="s">
        <v>879</v>
      </c>
      <c r="B693" s="1" t="s">
        <v>197</v>
      </c>
      <c r="C693" s="1" t="s">
        <v>198</v>
      </c>
      <c r="D693" s="1" t="s">
        <v>104</v>
      </c>
      <c r="E693" s="1" t="s">
        <v>1706</v>
      </c>
      <c r="F693" s="1" t="s">
        <v>1001</v>
      </c>
      <c r="G693" s="1" t="s">
        <v>1010</v>
      </c>
      <c r="H693" s="1">
        <v>12</v>
      </c>
      <c r="I693" s="1">
        <v>7</v>
      </c>
      <c r="J693" s="1" t="s">
        <v>2852</v>
      </c>
      <c r="K693" s="2">
        <v>469.69</v>
      </c>
      <c r="L693" s="6">
        <v>7</v>
      </c>
      <c r="M693" s="2">
        <f t="shared" si="50"/>
        <v>5636.28</v>
      </c>
      <c r="N693" s="2">
        <f t="shared" si="51"/>
        <v>394.53960000000001</v>
      </c>
      <c r="O693" s="2">
        <f t="shared" si="52"/>
        <v>5241.7403999999997</v>
      </c>
      <c r="P693" s="1">
        <v>270</v>
      </c>
      <c r="Q693" s="2">
        <v>328.78</v>
      </c>
      <c r="R693" s="2">
        <f t="shared" si="53"/>
        <v>1296.3804</v>
      </c>
      <c r="S693" s="1" t="s">
        <v>1003</v>
      </c>
      <c r="T693" s="1" t="s">
        <v>1004</v>
      </c>
      <c r="U693" s="1" t="str">
        <f t="shared" si="54"/>
        <v>NO</v>
      </c>
    </row>
    <row r="694" spans="1:21" x14ac:dyDescent="0.3">
      <c r="A694" s="1" t="s">
        <v>880</v>
      </c>
      <c r="B694" s="1" t="s">
        <v>262</v>
      </c>
      <c r="C694" s="1" t="s">
        <v>263</v>
      </c>
      <c r="D694" s="1" t="s">
        <v>104</v>
      </c>
      <c r="E694" s="1" t="s">
        <v>1707</v>
      </c>
      <c r="F694" s="1" t="s">
        <v>1015</v>
      </c>
      <c r="G694" s="1" t="s">
        <v>1002</v>
      </c>
      <c r="H694" s="1">
        <v>6</v>
      </c>
      <c r="I694" s="1">
        <v>4</v>
      </c>
      <c r="J694" s="1" t="s">
        <v>2702</v>
      </c>
      <c r="K694" s="2">
        <v>341.69</v>
      </c>
      <c r="L694" s="6">
        <v>14</v>
      </c>
      <c r="M694" s="2">
        <f t="shared" si="50"/>
        <v>2050.14</v>
      </c>
      <c r="N694" s="2">
        <f t="shared" si="51"/>
        <v>287.01959999999997</v>
      </c>
      <c r="O694" s="2">
        <f t="shared" si="52"/>
        <v>1763.1203999999998</v>
      </c>
      <c r="P694" s="1">
        <v>251</v>
      </c>
      <c r="Q694" s="2">
        <v>239.18</v>
      </c>
      <c r="R694" s="2">
        <f t="shared" si="53"/>
        <v>328.04039999999986</v>
      </c>
      <c r="S694" s="1" t="s">
        <v>1016</v>
      </c>
      <c r="T694" s="1" t="s">
        <v>1007</v>
      </c>
      <c r="U694" s="1" t="str">
        <f t="shared" si="54"/>
        <v>YES</v>
      </c>
    </row>
    <row r="695" spans="1:21" x14ac:dyDescent="0.3">
      <c r="A695" s="1" t="s">
        <v>881</v>
      </c>
      <c r="B695" s="1" t="s">
        <v>45</v>
      </c>
      <c r="C695" s="1" t="s">
        <v>46</v>
      </c>
      <c r="D695" s="1" t="s">
        <v>47</v>
      </c>
      <c r="E695" s="1" t="s">
        <v>1708</v>
      </c>
      <c r="F695" s="1" t="s">
        <v>1006</v>
      </c>
      <c r="G695" s="1" t="s">
        <v>1002</v>
      </c>
      <c r="H695" s="1">
        <v>15</v>
      </c>
      <c r="I695" s="1">
        <v>1</v>
      </c>
      <c r="J695" s="1" t="s">
        <v>2755</v>
      </c>
      <c r="K695" s="2">
        <v>282.10000000000002</v>
      </c>
      <c r="L695" s="6">
        <v>25</v>
      </c>
      <c r="M695" s="2">
        <f t="shared" si="50"/>
        <v>4231.5</v>
      </c>
      <c r="N695" s="2">
        <f t="shared" si="51"/>
        <v>1057.875</v>
      </c>
      <c r="O695" s="2">
        <f t="shared" si="52"/>
        <v>3173.625</v>
      </c>
      <c r="P695" s="1">
        <v>205</v>
      </c>
      <c r="Q695" s="2">
        <v>197.47</v>
      </c>
      <c r="R695" s="2">
        <f t="shared" si="53"/>
        <v>211.57499999999982</v>
      </c>
      <c r="S695" s="1" t="s">
        <v>1003</v>
      </c>
      <c r="T695" s="1" t="s">
        <v>1004</v>
      </c>
      <c r="U695" s="1" t="str">
        <f t="shared" si="54"/>
        <v>NO</v>
      </c>
    </row>
    <row r="696" spans="1:21" x14ac:dyDescent="0.3">
      <c r="A696" s="1" t="s">
        <v>882</v>
      </c>
      <c r="B696" s="1" t="s">
        <v>37</v>
      </c>
      <c r="C696" s="1" t="s">
        <v>38</v>
      </c>
      <c r="D696" s="1" t="s">
        <v>39</v>
      </c>
      <c r="E696" s="1" t="s">
        <v>1709</v>
      </c>
      <c r="F696" s="1" t="s">
        <v>1020</v>
      </c>
      <c r="G696" s="1" t="s">
        <v>1010</v>
      </c>
      <c r="H696" s="1">
        <v>4</v>
      </c>
      <c r="I696" s="1">
        <v>4</v>
      </c>
      <c r="J696" s="1" t="s">
        <v>2853</v>
      </c>
      <c r="K696" s="2">
        <v>392.06</v>
      </c>
      <c r="L696" s="6">
        <v>21</v>
      </c>
      <c r="M696" s="2">
        <f t="shared" si="50"/>
        <v>1568.24</v>
      </c>
      <c r="N696" s="2">
        <f t="shared" si="51"/>
        <v>329.3304</v>
      </c>
      <c r="O696" s="2">
        <f t="shared" si="52"/>
        <v>1238.9096</v>
      </c>
      <c r="P696" s="1">
        <v>44</v>
      </c>
      <c r="Q696" s="2">
        <v>274.44</v>
      </c>
      <c r="R696" s="2">
        <f t="shared" si="53"/>
        <v>141.14959999999996</v>
      </c>
      <c r="S696" s="1" t="s">
        <v>1016</v>
      </c>
      <c r="T696" s="1" t="s">
        <v>1004</v>
      </c>
      <c r="U696" s="1" t="str">
        <f t="shared" si="54"/>
        <v>YES</v>
      </c>
    </row>
    <row r="697" spans="1:21" x14ac:dyDescent="0.3">
      <c r="A697" s="1" t="s">
        <v>883</v>
      </c>
      <c r="B697" s="1" t="s">
        <v>192</v>
      </c>
      <c r="C697" s="1" t="s">
        <v>193</v>
      </c>
      <c r="D697" s="1" t="s">
        <v>85</v>
      </c>
      <c r="E697" s="1" t="s">
        <v>1710</v>
      </c>
      <c r="F697" s="1" t="s">
        <v>1006</v>
      </c>
      <c r="G697" s="1" t="s">
        <v>1023</v>
      </c>
      <c r="H697" s="1">
        <v>11</v>
      </c>
      <c r="I697" s="1">
        <v>1</v>
      </c>
      <c r="J697" s="1" t="s">
        <v>2699</v>
      </c>
      <c r="K697" s="2">
        <v>316.5</v>
      </c>
      <c r="L697" s="6">
        <v>8</v>
      </c>
      <c r="M697" s="2">
        <f t="shared" si="50"/>
        <v>3481.5</v>
      </c>
      <c r="N697" s="2">
        <f t="shared" si="51"/>
        <v>278.52</v>
      </c>
      <c r="O697" s="2">
        <f t="shared" si="52"/>
        <v>3202.98</v>
      </c>
      <c r="P697" s="1">
        <v>75</v>
      </c>
      <c r="Q697" s="2">
        <v>221.55</v>
      </c>
      <c r="R697" s="2">
        <f t="shared" si="53"/>
        <v>765.92999999999984</v>
      </c>
      <c r="S697" s="1" t="s">
        <v>1016</v>
      </c>
      <c r="T697" s="1" t="s">
        <v>1007</v>
      </c>
      <c r="U697" s="1" t="str">
        <f t="shared" si="54"/>
        <v>YES</v>
      </c>
    </row>
    <row r="698" spans="1:21" x14ac:dyDescent="0.3">
      <c r="A698" s="1" t="s">
        <v>884</v>
      </c>
      <c r="B698" s="1" t="s">
        <v>192</v>
      </c>
      <c r="C698" s="1" t="s">
        <v>193</v>
      </c>
      <c r="D698" s="1" t="s">
        <v>85</v>
      </c>
      <c r="E698" s="1" t="s">
        <v>1711</v>
      </c>
      <c r="F698" s="1" t="s">
        <v>1027</v>
      </c>
      <c r="G698" s="1" t="s">
        <v>1023</v>
      </c>
      <c r="H698" s="1">
        <v>10</v>
      </c>
      <c r="I698" s="1">
        <v>4</v>
      </c>
      <c r="J698" s="1" t="s">
        <v>2809</v>
      </c>
      <c r="K698" s="2">
        <v>332.67</v>
      </c>
      <c r="L698" s="6">
        <v>5</v>
      </c>
      <c r="M698" s="2">
        <f t="shared" si="50"/>
        <v>3326.7000000000003</v>
      </c>
      <c r="N698" s="2">
        <f t="shared" si="51"/>
        <v>166.33500000000001</v>
      </c>
      <c r="O698" s="2">
        <f t="shared" si="52"/>
        <v>3160.3650000000002</v>
      </c>
      <c r="P698" s="1">
        <v>176</v>
      </c>
      <c r="Q698" s="2">
        <v>232.87</v>
      </c>
      <c r="R698" s="2">
        <f t="shared" si="53"/>
        <v>831.66500000000042</v>
      </c>
      <c r="S698" s="1" t="s">
        <v>1016</v>
      </c>
      <c r="T698" s="1" t="s">
        <v>1004</v>
      </c>
      <c r="U698" s="1" t="str">
        <f t="shared" si="54"/>
        <v>YES</v>
      </c>
    </row>
    <row r="699" spans="1:21" x14ac:dyDescent="0.3">
      <c r="A699" s="1" t="s">
        <v>885</v>
      </c>
      <c r="B699" s="1" t="s">
        <v>192</v>
      </c>
      <c r="C699" s="1" t="s">
        <v>193</v>
      </c>
      <c r="D699" s="1" t="s">
        <v>85</v>
      </c>
      <c r="E699" s="1" t="s">
        <v>1712</v>
      </c>
      <c r="F699" s="1" t="s">
        <v>1020</v>
      </c>
      <c r="G699" s="1" t="s">
        <v>1023</v>
      </c>
      <c r="H699" s="1">
        <v>7</v>
      </c>
      <c r="I699" s="1">
        <v>4</v>
      </c>
      <c r="J699" s="1" t="s">
        <v>2662</v>
      </c>
      <c r="K699" s="2">
        <v>134.26</v>
      </c>
      <c r="L699" s="6">
        <v>0</v>
      </c>
      <c r="M699" s="2">
        <f t="shared" si="50"/>
        <v>939.81999999999994</v>
      </c>
      <c r="N699" s="2">
        <f t="shared" si="51"/>
        <v>0</v>
      </c>
      <c r="O699" s="2">
        <f t="shared" si="52"/>
        <v>939.81999999999994</v>
      </c>
      <c r="P699" s="1">
        <v>75</v>
      </c>
      <c r="Q699" s="2">
        <v>93.98</v>
      </c>
      <c r="R699" s="2">
        <f t="shared" si="53"/>
        <v>281.95999999999992</v>
      </c>
      <c r="S699" s="1" t="s">
        <v>1011</v>
      </c>
      <c r="T699" s="1" t="s">
        <v>1007</v>
      </c>
      <c r="U699" s="1" t="str">
        <f t="shared" si="54"/>
        <v>NO</v>
      </c>
    </row>
    <row r="700" spans="1:21" x14ac:dyDescent="0.3">
      <c r="A700" s="1" t="s">
        <v>886</v>
      </c>
      <c r="B700" s="1" t="s">
        <v>237</v>
      </c>
      <c r="C700" s="1" t="s">
        <v>238</v>
      </c>
      <c r="D700" s="1" t="s">
        <v>85</v>
      </c>
      <c r="E700" s="1" t="s">
        <v>1713</v>
      </c>
      <c r="F700" s="1" t="s">
        <v>1009</v>
      </c>
      <c r="G700" s="1" t="s">
        <v>1002</v>
      </c>
      <c r="H700" s="1">
        <v>3</v>
      </c>
      <c r="I700" s="1">
        <v>6</v>
      </c>
      <c r="J700" s="1" t="s">
        <v>2725</v>
      </c>
      <c r="K700" s="2">
        <v>438.94</v>
      </c>
      <c r="L700" s="6">
        <v>21</v>
      </c>
      <c r="M700" s="2">
        <f t="shared" si="50"/>
        <v>1316.82</v>
      </c>
      <c r="N700" s="2">
        <f t="shared" si="51"/>
        <v>276.53219999999999</v>
      </c>
      <c r="O700" s="2">
        <f t="shared" si="52"/>
        <v>1040.2878000000001</v>
      </c>
      <c r="P700" s="1">
        <v>128</v>
      </c>
      <c r="Q700" s="2">
        <v>307.26</v>
      </c>
      <c r="R700" s="2">
        <f t="shared" si="53"/>
        <v>118.50780000000009</v>
      </c>
      <c r="S700" s="1" t="s">
        <v>1011</v>
      </c>
      <c r="T700" s="1" t="s">
        <v>1004</v>
      </c>
      <c r="U700" s="1" t="str">
        <f t="shared" si="54"/>
        <v>NO</v>
      </c>
    </row>
    <row r="701" spans="1:21" x14ac:dyDescent="0.3">
      <c r="A701" s="1" t="s">
        <v>887</v>
      </c>
      <c r="B701" s="1" t="s">
        <v>123</v>
      </c>
      <c r="C701" s="1" t="s">
        <v>124</v>
      </c>
      <c r="D701" s="1" t="s">
        <v>47</v>
      </c>
      <c r="E701" s="1" t="s">
        <v>1714</v>
      </c>
      <c r="F701" s="1" t="s">
        <v>1013</v>
      </c>
      <c r="G701" s="1" t="s">
        <v>1002</v>
      </c>
      <c r="H701" s="1">
        <v>12</v>
      </c>
      <c r="I701" s="1">
        <v>6</v>
      </c>
      <c r="J701" s="1" t="s">
        <v>2849</v>
      </c>
      <c r="K701" s="2">
        <v>141.43</v>
      </c>
      <c r="L701" s="6">
        <v>24</v>
      </c>
      <c r="M701" s="2">
        <f t="shared" si="50"/>
        <v>1697.16</v>
      </c>
      <c r="N701" s="2">
        <f t="shared" si="51"/>
        <v>407.31840000000005</v>
      </c>
      <c r="O701" s="2">
        <f t="shared" si="52"/>
        <v>1289.8416</v>
      </c>
      <c r="P701" s="1">
        <v>221</v>
      </c>
      <c r="Q701" s="2">
        <v>99</v>
      </c>
      <c r="R701" s="2">
        <f t="shared" si="53"/>
        <v>101.84159999999997</v>
      </c>
      <c r="S701" s="1" t="s">
        <v>1016</v>
      </c>
      <c r="T701" s="1" t="s">
        <v>1007</v>
      </c>
      <c r="U701" s="1" t="str">
        <f t="shared" si="54"/>
        <v>YES</v>
      </c>
    </row>
    <row r="702" spans="1:21" x14ac:dyDescent="0.3">
      <c r="A702" s="1" t="s">
        <v>888</v>
      </c>
      <c r="B702" s="1" t="s">
        <v>126</v>
      </c>
      <c r="C702" s="1" t="s">
        <v>127</v>
      </c>
      <c r="D702" s="1" t="s">
        <v>85</v>
      </c>
      <c r="E702" s="1" t="s">
        <v>1715</v>
      </c>
      <c r="F702" s="1" t="s">
        <v>1013</v>
      </c>
      <c r="G702" s="1" t="s">
        <v>1010</v>
      </c>
      <c r="H702" s="1">
        <v>11</v>
      </c>
      <c r="I702" s="1">
        <v>1</v>
      </c>
      <c r="J702" s="1" t="s">
        <v>2693</v>
      </c>
      <c r="K702" s="2">
        <v>224.6</v>
      </c>
      <c r="L702" s="6">
        <v>20</v>
      </c>
      <c r="M702" s="2">
        <f t="shared" si="50"/>
        <v>2470.6</v>
      </c>
      <c r="N702" s="2">
        <f t="shared" si="51"/>
        <v>494.12</v>
      </c>
      <c r="O702" s="2">
        <f t="shared" si="52"/>
        <v>1976.48</v>
      </c>
      <c r="P702" s="1">
        <v>154</v>
      </c>
      <c r="Q702" s="2">
        <v>157.22</v>
      </c>
      <c r="R702" s="2">
        <f t="shared" si="53"/>
        <v>247.05999999999995</v>
      </c>
      <c r="S702" s="1" t="s">
        <v>1011</v>
      </c>
      <c r="T702" s="1" t="s">
        <v>1004</v>
      </c>
      <c r="U702" s="1" t="str">
        <f t="shared" si="54"/>
        <v>NO</v>
      </c>
    </row>
    <row r="703" spans="1:21" x14ac:dyDescent="0.3">
      <c r="A703" s="1" t="s">
        <v>889</v>
      </c>
      <c r="B703" s="1" t="s">
        <v>95</v>
      </c>
      <c r="C703" s="1" t="s">
        <v>96</v>
      </c>
      <c r="D703" s="1" t="s">
        <v>97</v>
      </c>
      <c r="E703" s="1" t="s">
        <v>1716</v>
      </c>
      <c r="F703" s="1" t="s">
        <v>1015</v>
      </c>
      <c r="G703" s="1" t="s">
        <v>1010</v>
      </c>
      <c r="H703" s="1">
        <v>14</v>
      </c>
      <c r="I703" s="1">
        <v>7</v>
      </c>
      <c r="J703" s="1" t="s">
        <v>2854</v>
      </c>
      <c r="K703" s="2">
        <v>347.97</v>
      </c>
      <c r="L703" s="6">
        <v>6</v>
      </c>
      <c r="M703" s="2">
        <f t="shared" si="50"/>
        <v>4871.58</v>
      </c>
      <c r="N703" s="2">
        <f t="shared" si="51"/>
        <v>292.29480000000001</v>
      </c>
      <c r="O703" s="2">
        <f t="shared" si="52"/>
        <v>4579.2852000000003</v>
      </c>
      <c r="P703" s="1">
        <v>100</v>
      </c>
      <c r="Q703" s="2">
        <v>243.58</v>
      </c>
      <c r="R703" s="2">
        <f t="shared" si="53"/>
        <v>1169.1651999999999</v>
      </c>
      <c r="S703" s="1" t="s">
        <v>1003</v>
      </c>
      <c r="T703" s="1" t="s">
        <v>1007</v>
      </c>
      <c r="U703" s="1" t="str">
        <f t="shared" si="54"/>
        <v>NO</v>
      </c>
    </row>
    <row r="704" spans="1:21" x14ac:dyDescent="0.3">
      <c r="A704" s="1" t="s">
        <v>890</v>
      </c>
      <c r="B704" s="1" t="s">
        <v>83</v>
      </c>
      <c r="C704" s="1" t="s">
        <v>84</v>
      </c>
      <c r="D704" s="1" t="s">
        <v>85</v>
      </c>
      <c r="E704" s="1" t="s">
        <v>1717</v>
      </c>
      <c r="F704" s="1" t="s">
        <v>1001</v>
      </c>
      <c r="G704" s="1" t="s">
        <v>1023</v>
      </c>
      <c r="H704" s="1">
        <v>6</v>
      </c>
      <c r="I704" s="1">
        <v>5</v>
      </c>
      <c r="J704" s="1" t="s">
        <v>2855</v>
      </c>
      <c r="K704" s="2">
        <v>294.13</v>
      </c>
      <c r="L704" s="6">
        <v>18</v>
      </c>
      <c r="M704" s="2">
        <f t="shared" si="50"/>
        <v>1764.78</v>
      </c>
      <c r="N704" s="2">
        <f t="shared" si="51"/>
        <v>317.66039999999998</v>
      </c>
      <c r="O704" s="2">
        <f t="shared" si="52"/>
        <v>1447.1196</v>
      </c>
      <c r="P704" s="1">
        <v>226</v>
      </c>
      <c r="Q704" s="2">
        <v>205.89</v>
      </c>
      <c r="R704" s="2">
        <f t="shared" si="53"/>
        <v>211.77960000000007</v>
      </c>
      <c r="S704" s="1" t="s">
        <v>1003</v>
      </c>
      <c r="T704" s="1" t="s">
        <v>1004</v>
      </c>
      <c r="U704" s="1" t="str">
        <f t="shared" si="54"/>
        <v>NO</v>
      </c>
    </row>
    <row r="705" spans="1:21" x14ac:dyDescent="0.3">
      <c r="A705" s="1" t="s">
        <v>891</v>
      </c>
      <c r="B705" s="1" t="s">
        <v>83</v>
      </c>
      <c r="C705" s="1" t="s">
        <v>84</v>
      </c>
      <c r="D705" s="1" t="s">
        <v>85</v>
      </c>
      <c r="E705" s="1" t="s">
        <v>1718</v>
      </c>
      <c r="F705" s="1" t="s">
        <v>1001</v>
      </c>
      <c r="G705" s="1" t="s">
        <v>1023</v>
      </c>
      <c r="H705" s="1">
        <v>4</v>
      </c>
      <c r="I705" s="1">
        <v>4</v>
      </c>
      <c r="J705" s="1" t="s">
        <v>2793</v>
      </c>
      <c r="K705" s="2">
        <v>299.13</v>
      </c>
      <c r="L705" s="6">
        <v>10</v>
      </c>
      <c r="M705" s="2">
        <f t="shared" si="50"/>
        <v>1196.52</v>
      </c>
      <c r="N705" s="2">
        <f t="shared" si="51"/>
        <v>119.652</v>
      </c>
      <c r="O705" s="2">
        <f t="shared" si="52"/>
        <v>1076.8679999999999</v>
      </c>
      <c r="P705" s="1">
        <v>188</v>
      </c>
      <c r="Q705" s="2">
        <v>209.39</v>
      </c>
      <c r="R705" s="2">
        <f t="shared" si="53"/>
        <v>239.30799999999999</v>
      </c>
      <c r="S705" s="1" t="s">
        <v>1016</v>
      </c>
      <c r="T705" s="1" t="s">
        <v>1007</v>
      </c>
      <c r="U705" s="1" t="str">
        <f t="shared" si="54"/>
        <v>YES</v>
      </c>
    </row>
    <row r="706" spans="1:21" x14ac:dyDescent="0.3">
      <c r="A706" s="1" t="s">
        <v>892</v>
      </c>
      <c r="B706" s="1" t="s">
        <v>118</v>
      </c>
      <c r="C706" s="1" t="s">
        <v>119</v>
      </c>
      <c r="D706" s="1" t="s">
        <v>97</v>
      </c>
      <c r="E706" s="1" t="s">
        <v>1719</v>
      </c>
      <c r="F706" s="1" t="s">
        <v>1027</v>
      </c>
      <c r="G706" s="1" t="s">
        <v>1010</v>
      </c>
      <c r="H706" s="1">
        <v>6</v>
      </c>
      <c r="I706" s="1">
        <v>4</v>
      </c>
      <c r="J706" s="1" t="s">
        <v>2648</v>
      </c>
      <c r="K706" s="2">
        <v>307</v>
      </c>
      <c r="L706" s="6">
        <v>5</v>
      </c>
      <c r="M706" s="2">
        <f t="shared" ref="M706:M769" si="55">H706*K706</f>
        <v>1842</v>
      </c>
      <c r="N706" s="2">
        <f t="shared" ref="N706:N769" si="56">M706*L706/100</f>
        <v>92.1</v>
      </c>
      <c r="O706" s="2">
        <f t="shared" ref="O706:O769" si="57">M706-N706</f>
        <v>1749.9</v>
      </c>
      <c r="P706" s="1">
        <v>229</v>
      </c>
      <c r="Q706" s="2">
        <v>214.9</v>
      </c>
      <c r="R706" s="2">
        <f t="shared" ref="R706:R769" si="58">O706-(H706*Q706)</f>
        <v>460.5</v>
      </c>
      <c r="S706" s="1" t="s">
        <v>1011</v>
      </c>
      <c r="T706" s="1" t="s">
        <v>1007</v>
      </c>
      <c r="U706" s="1" t="str">
        <f t="shared" ref="U706:U769" si="59">IF(S706="Delivered","YES","NO")</f>
        <v>NO</v>
      </c>
    </row>
    <row r="707" spans="1:21" x14ac:dyDescent="0.3">
      <c r="A707" s="1" t="s">
        <v>893</v>
      </c>
      <c r="B707" s="1" t="s">
        <v>130</v>
      </c>
      <c r="C707" s="1" t="s">
        <v>131</v>
      </c>
      <c r="D707" s="1" t="s">
        <v>132</v>
      </c>
      <c r="E707" s="1" t="s">
        <v>1720</v>
      </c>
      <c r="F707" s="1" t="s">
        <v>1015</v>
      </c>
      <c r="G707" s="1" t="s">
        <v>1010</v>
      </c>
      <c r="H707" s="1">
        <v>5</v>
      </c>
      <c r="I707" s="1">
        <v>1</v>
      </c>
      <c r="J707" s="1" t="s">
        <v>2616</v>
      </c>
      <c r="K707" s="2">
        <v>196.98</v>
      </c>
      <c r="L707" s="6">
        <v>12</v>
      </c>
      <c r="M707" s="2">
        <f t="shared" si="55"/>
        <v>984.9</v>
      </c>
      <c r="N707" s="2">
        <f t="shared" si="56"/>
        <v>118.18799999999999</v>
      </c>
      <c r="O707" s="2">
        <f t="shared" si="57"/>
        <v>866.71199999999999</v>
      </c>
      <c r="P707" s="1">
        <v>235</v>
      </c>
      <c r="Q707" s="2">
        <v>137.88999999999999</v>
      </c>
      <c r="R707" s="2">
        <f t="shared" si="58"/>
        <v>177.26200000000006</v>
      </c>
      <c r="S707" s="1" t="s">
        <v>1011</v>
      </c>
      <c r="T707" s="1" t="s">
        <v>1004</v>
      </c>
      <c r="U707" s="1" t="str">
        <f t="shared" si="59"/>
        <v>NO</v>
      </c>
    </row>
    <row r="708" spans="1:21" x14ac:dyDescent="0.3">
      <c r="A708" s="1" t="s">
        <v>894</v>
      </c>
      <c r="B708" s="1" t="s">
        <v>166</v>
      </c>
      <c r="C708" s="1" t="s">
        <v>167</v>
      </c>
      <c r="D708" s="1" t="s">
        <v>59</v>
      </c>
      <c r="E708" s="1" t="s">
        <v>1721</v>
      </c>
      <c r="F708" s="1" t="s">
        <v>1009</v>
      </c>
      <c r="G708" s="1" t="s">
        <v>1010</v>
      </c>
      <c r="H708" s="1">
        <v>6</v>
      </c>
      <c r="I708" s="1">
        <v>4</v>
      </c>
      <c r="J708" s="1" t="s">
        <v>2847</v>
      </c>
      <c r="K708" s="2">
        <v>388.66</v>
      </c>
      <c r="L708" s="6">
        <v>25</v>
      </c>
      <c r="M708" s="2">
        <f t="shared" si="55"/>
        <v>2331.96</v>
      </c>
      <c r="N708" s="2">
        <f t="shared" si="56"/>
        <v>582.99</v>
      </c>
      <c r="O708" s="2">
        <f t="shared" si="57"/>
        <v>1748.97</v>
      </c>
      <c r="P708" s="1">
        <v>114</v>
      </c>
      <c r="Q708" s="2">
        <v>272.06</v>
      </c>
      <c r="R708" s="2">
        <f t="shared" si="58"/>
        <v>116.6099999999999</v>
      </c>
      <c r="S708" s="1" t="s">
        <v>1016</v>
      </c>
      <c r="T708" s="1" t="s">
        <v>1007</v>
      </c>
      <c r="U708" s="1" t="str">
        <f t="shared" si="59"/>
        <v>YES</v>
      </c>
    </row>
    <row r="709" spans="1:21" x14ac:dyDescent="0.3">
      <c r="A709" s="1" t="s">
        <v>895</v>
      </c>
      <c r="B709" s="1" t="s">
        <v>143</v>
      </c>
      <c r="C709" s="1" t="s">
        <v>144</v>
      </c>
      <c r="D709" s="1" t="s">
        <v>47</v>
      </c>
      <c r="E709" s="1" t="s">
        <v>1722</v>
      </c>
      <c r="F709" s="1" t="s">
        <v>1013</v>
      </c>
      <c r="G709" s="1" t="s">
        <v>1023</v>
      </c>
      <c r="H709" s="1">
        <v>8</v>
      </c>
      <c r="I709" s="1">
        <v>7</v>
      </c>
      <c r="J709" s="1" t="s">
        <v>2589</v>
      </c>
      <c r="K709" s="2">
        <v>78.39</v>
      </c>
      <c r="L709" s="6">
        <v>8</v>
      </c>
      <c r="M709" s="2">
        <f t="shared" si="55"/>
        <v>627.12</v>
      </c>
      <c r="N709" s="2">
        <f t="shared" si="56"/>
        <v>50.169600000000003</v>
      </c>
      <c r="O709" s="2">
        <f t="shared" si="57"/>
        <v>576.95039999999995</v>
      </c>
      <c r="P709" s="1">
        <v>177</v>
      </c>
      <c r="Q709" s="2">
        <v>54.87</v>
      </c>
      <c r="R709" s="2">
        <f t="shared" si="58"/>
        <v>137.99039999999997</v>
      </c>
      <c r="S709" s="1" t="s">
        <v>1016</v>
      </c>
      <c r="T709" s="1" t="s">
        <v>1007</v>
      </c>
      <c r="U709" s="1" t="str">
        <f t="shared" si="59"/>
        <v>YES</v>
      </c>
    </row>
    <row r="710" spans="1:21" x14ac:dyDescent="0.3">
      <c r="A710" s="1" t="s">
        <v>896</v>
      </c>
      <c r="B710" s="1" t="s">
        <v>37</v>
      </c>
      <c r="C710" s="1" t="s">
        <v>38</v>
      </c>
      <c r="D710" s="1" t="s">
        <v>39</v>
      </c>
      <c r="E710" s="1" t="s">
        <v>1723</v>
      </c>
      <c r="F710" s="1" t="s">
        <v>1013</v>
      </c>
      <c r="G710" s="1" t="s">
        <v>1002</v>
      </c>
      <c r="H710" s="1">
        <v>7</v>
      </c>
      <c r="I710" s="1">
        <v>4</v>
      </c>
      <c r="J710" s="1" t="s">
        <v>2856</v>
      </c>
      <c r="K710" s="2">
        <v>79.97</v>
      </c>
      <c r="L710" s="6">
        <v>16</v>
      </c>
      <c r="M710" s="2">
        <f t="shared" si="55"/>
        <v>559.79</v>
      </c>
      <c r="N710" s="2">
        <f t="shared" si="56"/>
        <v>89.566399999999987</v>
      </c>
      <c r="O710" s="2">
        <f t="shared" si="57"/>
        <v>470.22359999999998</v>
      </c>
      <c r="P710" s="1">
        <v>77</v>
      </c>
      <c r="Q710" s="2">
        <v>55.98</v>
      </c>
      <c r="R710" s="2">
        <f t="shared" si="58"/>
        <v>78.363600000000019</v>
      </c>
      <c r="S710" s="1" t="s">
        <v>1011</v>
      </c>
      <c r="T710" s="1" t="s">
        <v>1007</v>
      </c>
      <c r="U710" s="1" t="str">
        <f t="shared" si="59"/>
        <v>NO</v>
      </c>
    </row>
    <row r="711" spans="1:21" x14ac:dyDescent="0.3">
      <c r="A711" s="1" t="s">
        <v>897</v>
      </c>
      <c r="B711" s="1" t="s">
        <v>197</v>
      </c>
      <c r="C711" s="1" t="s">
        <v>198</v>
      </c>
      <c r="D711" s="1" t="s">
        <v>104</v>
      </c>
      <c r="E711" s="1" t="s">
        <v>1724</v>
      </c>
      <c r="F711" s="1" t="s">
        <v>1027</v>
      </c>
      <c r="G711" s="1" t="s">
        <v>1002</v>
      </c>
      <c r="H711" s="1">
        <v>6</v>
      </c>
      <c r="I711" s="1">
        <v>4</v>
      </c>
      <c r="J711" s="1" t="s">
        <v>2819</v>
      </c>
      <c r="K711" s="2">
        <v>409.68</v>
      </c>
      <c r="L711" s="6">
        <v>5</v>
      </c>
      <c r="M711" s="2">
        <f t="shared" si="55"/>
        <v>2458.08</v>
      </c>
      <c r="N711" s="2">
        <f t="shared" si="56"/>
        <v>122.904</v>
      </c>
      <c r="O711" s="2">
        <f t="shared" si="57"/>
        <v>2335.1759999999999</v>
      </c>
      <c r="P711" s="1">
        <v>90</v>
      </c>
      <c r="Q711" s="2">
        <v>286.77999999999997</v>
      </c>
      <c r="R711" s="2">
        <f t="shared" si="58"/>
        <v>614.49600000000009</v>
      </c>
      <c r="S711" s="1" t="s">
        <v>1016</v>
      </c>
      <c r="T711" s="1" t="s">
        <v>1004</v>
      </c>
      <c r="U711" s="1" t="str">
        <f t="shared" si="59"/>
        <v>YES</v>
      </c>
    </row>
    <row r="712" spans="1:21" x14ac:dyDescent="0.3">
      <c r="A712" s="1" t="s">
        <v>898</v>
      </c>
      <c r="B712" s="1" t="s">
        <v>143</v>
      </c>
      <c r="C712" s="1" t="s">
        <v>144</v>
      </c>
      <c r="D712" s="1" t="s">
        <v>47</v>
      </c>
      <c r="E712" s="1" t="s">
        <v>1725</v>
      </c>
      <c r="F712" s="1" t="s">
        <v>1015</v>
      </c>
      <c r="G712" s="1" t="s">
        <v>1002</v>
      </c>
      <c r="H712" s="1">
        <v>4</v>
      </c>
      <c r="I712" s="1">
        <v>4</v>
      </c>
      <c r="J712" s="1" t="s">
        <v>2857</v>
      </c>
      <c r="K712" s="2">
        <v>264.79000000000002</v>
      </c>
      <c r="L712" s="6">
        <v>3</v>
      </c>
      <c r="M712" s="2">
        <f t="shared" si="55"/>
        <v>1059.1600000000001</v>
      </c>
      <c r="N712" s="2">
        <f t="shared" si="56"/>
        <v>31.774800000000006</v>
      </c>
      <c r="O712" s="2">
        <f t="shared" si="57"/>
        <v>1027.3852000000002</v>
      </c>
      <c r="P712" s="1">
        <v>206</v>
      </c>
      <c r="Q712" s="2">
        <v>185.35</v>
      </c>
      <c r="R712" s="2">
        <f t="shared" si="58"/>
        <v>285.98520000000019</v>
      </c>
      <c r="S712" s="1" t="s">
        <v>1011</v>
      </c>
      <c r="T712" s="1" t="s">
        <v>1004</v>
      </c>
      <c r="U712" s="1" t="str">
        <f t="shared" si="59"/>
        <v>NO</v>
      </c>
    </row>
    <row r="713" spans="1:21" x14ac:dyDescent="0.3">
      <c r="A713" s="1" t="s">
        <v>899</v>
      </c>
      <c r="B713" s="1" t="s">
        <v>172</v>
      </c>
      <c r="C713" s="1" t="s">
        <v>173</v>
      </c>
      <c r="D713" s="1" t="s">
        <v>132</v>
      </c>
      <c r="E713" s="1" t="s">
        <v>1726</v>
      </c>
      <c r="F713" s="1" t="s">
        <v>1020</v>
      </c>
      <c r="G713" s="1" t="s">
        <v>1010</v>
      </c>
      <c r="H713" s="1">
        <v>14</v>
      </c>
      <c r="I713" s="1">
        <v>2</v>
      </c>
      <c r="J713" s="1" t="s">
        <v>2671</v>
      </c>
      <c r="K713" s="2">
        <v>313.81</v>
      </c>
      <c r="L713" s="6">
        <v>22</v>
      </c>
      <c r="M713" s="2">
        <f t="shared" si="55"/>
        <v>4393.34</v>
      </c>
      <c r="N713" s="2">
        <f t="shared" si="56"/>
        <v>966.53480000000013</v>
      </c>
      <c r="O713" s="2">
        <f t="shared" si="57"/>
        <v>3426.8051999999998</v>
      </c>
      <c r="P713" s="1">
        <v>60</v>
      </c>
      <c r="Q713" s="2">
        <v>219.67</v>
      </c>
      <c r="R713" s="2">
        <f t="shared" si="58"/>
        <v>351.42520000000013</v>
      </c>
      <c r="S713" s="1" t="s">
        <v>1003</v>
      </c>
      <c r="T713" s="1" t="s">
        <v>1007</v>
      </c>
      <c r="U713" s="1" t="str">
        <f t="shared" si="59"/>
        <v>NO</v>
      </c>
    </row>
    <row r="714" spans="1:21" x14ac:dyDescent="0.3">
      <c r="A714" s="1" t="s">
        <v>900</v>
      </c>
      <c r="B714" s="1" t="s">
        <v>262</v>
      </c>
      <c r="C714" s="1" t="s">
        <v>263</v>
      </c>
      <c r="D714" s="1" t="s">
        <v>104</v>
      </c>
      <c r="E714" s="1" t="s">
        <v>1727</v>
      </c>
      <c r="F714" s="1" t="s">
        <v>1015</v>
      </c>
      <c r="G714" s="1" t="s">
        <v>1002</v>
      </c>
      <c r="H714" s="1">
        <v>2</v>
      </c>
      <c r="I714" s="1">
        <v>5</v>
      </c>
      <c r="J714" s="1" t="s">
        <v>2858</v>
      </c>
      <c r="K714" s="2">
        <v>70.599999999999994</v>
      </c>
      <c r="L714" s="6">
        <v>2</v>
      </c>
      <c r="M714" s="2">
        <f t="shared" si="55"/>
        <v>141.19999999999999</v>
      </c>
      <c r="N714" s="2">
        <f t="shared" si="56"/>
        <v>2.8239999999999998</v>
      </c>
      <c r="O714" s="2">
        <f t="shared" si="57"/>
        <v>138.37599999999998</v>
      </c>
      <c r="P714" s="1">
        <v>132</v>
      </c>
      <c r="Q714" s="2">
        <v>49.42</v>
      </c>
      <c r="R714" s="2">
        <f t="shared" si="58"/>
        <v>39.535999999999973</v>
      </c>
      <c r="S714" s="1" t="s">
        <v>1016</v>
      </c>
      <c r="T714" s="1" t="s">
        <v>1007</v>
      </c>
      <c r="U714" s="1" t="str">
        <f t="shared" si="59"/>
        <v>YES</v>
      </c>
    </row>
    <row r="715" spans="1:21" x14ac:dyDescent="0.3">
      <c r="A715" s="1" t="s">
        <v>901</v>
      </c>
      <c r="B715" s="1" t="s">
        <v>107</v>
      </c>
      <c r="C715" s="1" t="s">
        <v>108</v>
      </c>
      <c r="D715" s="1" t="s">
        <v>39</v>
      </c>
      <c r="E715" s="1" t="s">
        <v>1728</v>
      </c>
      <c r="F715" s="1" t="s">
        <v>1015</v>
      </c>
      <c r="G715" s="1" t="s">
        <v>1002</v>
      </c>
      <c r="H715" s="1">
        <v>3</v>
      </c>
      <c r="I715" s="1">
        <v>1</v>
      </c>
      <c r="J715" s="1" t="s">
        <v>2724</v>
      </c>
      <c r="K715" s="2">
        <v>410.46</v>
      </c>
      <c r="L715" s="6">
        <v>10</v>
      </c>
      <c r="M715" s="2">
        <f t="shared" si="55"/>
        <v>1231.3799999999999</v>
      </c>
      <c r="N715" s="2">
        <f t="shared" si="56"/>
        <v>123.13799999999999</v>
      </c>
      <c r="O715" s="2">
        <f t="shared" si="57"/>
        <v>1108.242</v>
      </c>
      <c r="P715" s="1">
        <v>189</v>
      </c>
      <c r="Q715" s="2">
        <v>287.32</v>
      </c>
      <c r="R715" s="2">
        <f t="shared" si="58"/>
        <v>246.28199999999993</v>
      </c>
      <c r="S715" s="1" t="s">
        <v>1016</v>
      </c>
      <c r="T715" s="1" t="s">
        <v>1007</v>
      </c>
      <c r="U715" s="1" t="str">
        <f t="shared" si="59"/>
        <v>YES</v>
      </c>
    </row>
    <row r="716" spans="1:21" x14ac:dyDescent="0.3">
      <c r="A716" s="1" t="s">
        <v>902</v>
      </c>
      <c r="B716" s="1" t="s">
        <v>192</v>
      </c>
      <c r="C716" s="1" t="s">
        <v>193</v>
      </c>
      <c r="D716" s="1" t="s">
        <v>85</v>
      </c>
      <c r="E716" s="1" t="s">
        <v>1729</v>
      </c>
      <c r="F716" s="1" t="s">
        <v>1027</v>
      </c>
      <c r="G716" s="1" t="s">
        <v>1002</v>
      </c>
      <c r="H716" s="1">
        <v>5</v>
      </c>
      <c r="I716" s="1">
        <v>4</v>
      </c>
      <c r="J716" s="1" t="s">
        <v>2740</v>
      </c>
      <c r="K716" s="2">
        <v>138.66999999999999</v>
      </c>
      <c r="L716" s="6">
        <v>4</v>
      </c>
      <c r="M716" s="2">
        <f t="shared" si="55"/>
        <v>693.34999999999991</v>
      </c>
      <c r="N716" s="2">
        <f t="shared" si="56"/>
        <v>27.733999999999995</v>
      </c>
      <c r="O716" s="2">
        <f t="shared" si="57"/>
        <v>665.61599999999987</v>
      </c>
      <c r="P716" s="1">
        <v>139</v>
      </c>
      <c r="Q716" s="2">
        <v>97.07</v>
      </c>
      <c r="R716" s="2">
        <f t="shared" si="58"/>
        <v>180.26599999999991</v>
      </c>
      <c r="S716" s="1" t="s">
        <v>1003</v>
      </c>
      <c r="T716" s="1" t="s">
        <v>1007</v>
      </c>
      <c r="U716" s="1" t="str">
        <f t="shared" si="59"/>
        <v>NO</v>
      </c>
    </row>
    <row r="717" spans="1:21" x14ac:dyDescent="0.3">
      <c r="A717" s="1" t="s">
        <v>903</v>
      </c>
      <c r="B717" s="1" t="s">
        <v>299</v>
      </c>
      <c r="C717" s="1" t="s">
        <v>300</v>
      </c>
      <c r="D717" s="1" t="s">
        <v>39</v>
      </c>
      <c r="E717" s="1" t="s">
        <v>1730</v>
      </c>
      <c r="F717" s="1" t="s">
        <v>1009</v>
      </c>
      <c r="G717" s="1" t="s">
        <v>1010</v>
      </c>
      <c r="H717" s="1">
        <v>15</v>
      </c>
      <c r="I717" s="1">
        <v>1</v>
      </c>
      <c r="J717" s="1" t="s">
        <v>2801</v>
      </c>
      <c r="K717" s="2">
        <v>479.17</v>
      </c>
      <c r="L717" s="6">
        <v>5</v>
      </c>
      <c r="M717" s="2">
        <f t="shared" si="55"/>
        <v>7187.55</v>
      </c>
      <c r="N717" s="2">
        <f t="shared" si="56"/>
        <v>359.3775</v>
      </c>
      <c r="O717" s="2">
        <f t="shared" si="57"/>
        <v>6828.1725000000006</v>
      </c>
      <c r="P717" s="1">
        <v>154</v>
      </c>
      <c r="Q717" s="2">
        <v>335.42</v>
      </c>
      <c r="R717" s="2">
        <f t="shared" si="58"/>
        <v>1796.8725000000004</v>
      </c>
      <c r="S717" s="1" t="s">
        <v>1016</v>
      </c>
      <c r="T717" s="1" t="s">
        <v>1007</v>
      </c>
      <c r="U717" s="1" t="str">
        <f t="shared" si="59"/>
        <v>YES</v>
      </c>
    </row>
    <row r="718" spans="1:21" x14ac:dyDescent="0.3">
      <c r="A718" s="1" t="s">
        <v>904</v>
      </c>
      <c r="B718" s="1" t="s">
        <v>107</v>
      </c>
      <c r="C718" s="1" t="s">
        <v>108</v>
      </c>
      <c r="D718" s="1" t="s">
        <v>39</v>
      </c>
      <c r="E718" s="1" t="s">
        <v>1731</v>
      </c>
      <c r="F718" s="1" t="s">
        <v>1020</v>
      </c>
      <c r="G718" s="1" t="s">
        <v>1010</v>
      </c>
      <c r="H718" s="1">
        <v>6</v>
      </c>
      <c r="I718" s="1">
        <v>5</v>
      </c>
      <c r="J718" s="1" t="s">
        <v>2741</v>
      </c>
      <c r="K718" s="2">
        <v>314.25</v>
      </c>
      <c r="L718" s="6">
        <v>8</v>
      </c>
      <c r="M718" s="2">
        <f t="shared" si="55"/>
        <v>1885.5</v>
      </c>
      <c r="N718" s="2">
        <f t="shared" si="56"/>
        <v>150.84</v>
      </c>
      <c r="O718" s="2">
        <f t="shared" si="57"/>
        <v>1734.66</v>
      </c>
      <c r="P718" s="1">
        <v>219</v>
      </c>
      <c r="Q718" s="2">
        <v>219.97</v>
      </c>
      <c r="R718" s="2">
        <f t="shared" si="58"/>
        <v>414.84000000000015</v>
      </c>
      <c r="S718" s="1" t="s">
        <v>1003</v>
      </c>
      <c r="T718" s="1" t="s">
        <v>1004</v>
      </c>
      <c r="U718" s="1" t="str">
        <f t="shared" si="59"/>
        <v>NO</v>
      </c>
    </row>
    <row r="719" spans="1:21" x14ac:dyDescent="0.3">
      <c r="A719" s="1" t="s">
        <v>905</v>
      </c>
      <c r="B719" s="1" t="s">
        <v>197</v>
      </c>
      <c r="C719" s="1" t="s">
        <v>198</v>
      </c>
      <c r="D719" s="1" t="s">
        <v>104</v>
      </c>
      <c r="E719" s="1" t="s">
        <v>1732</v>
      </c>
      <c r="F719" s="1" t="s">
        <v>1006</v>
      </c>
      <c r="G719" s="1" t="s">
        <v>1023</v>
      </c>
      <c r="H719" s="1">
        <v>15</v>
      </c>
      <c r="I719" s="1">
        <v>5</v>
      </c>
      <c r="J719" s="1" t="s">
        <v>2677</v>
      </c>
      <c r="K719" s="2">
        <v>496.17</v>
      </c>
      <c r="L719" s="6">
        <v>5</v>
      </c>
      <c r="M719" s="2">
        <f t="shared" si="55"/>
        <v>7442.55</v>
      </c>
      <c r="N719" s="2">
        <f t="shared" si="56"/>
        <v>372.1275</v>
      </c>
      <c r="O719" s="2">
        <f t="shared" si="57"/>
        <v>7070.4225000000006</v>
      </c>
      <c r="P719" s="1">
        <v>246</v>
      </c>
      <c r="Q719" s="2">
        <v>347.32</v>
      </c>
      <c r="R719" s="2">
        <f t="shared" si="58"/>
        <v>1860.6225000000004</v>
      </c>
      <c r="S719" s="1" t="s">
        <v>1011</v>
      </c>
      <c r="T719" s="1" t="s">
        <v>1004</v>
      </c>
      <c r="U719" s="1" t="str">
        <f t="shared" si="59"/>
        <v>NO</v>
      </c>
    </row>
    <row r="720" spans="1:21" x14ac:dyDescent="0.3">
      <c r="A720" s="1" t="s">
        <v>906</v>
      </c>
      <c r="B720" s="1" t="s">
        <v>123</v>
      </c>
      <c r="C720" s="1" t="s">
        <v>124</v>
      </c>
      <c r="D720" s="1" t="s">
        <v>47</v>
      </c>
      <c r="E720" s="1" t="s">
        <v>1733</v>
      </c>
      <c r="F720" s="1" t="s">
        <v>1009</v>
      </c>
      <c r="G720" s="1" t="s">
        <v>1010</v>
      </c>
      <c r="H720" s="1">
        <v>12</v>
      </c>
      <c r="I720" s="1">
        <v>3</v>
      </c>
      <c r="J720" s="1" t="s">
        <v>2631</v>
      </c>
      <c r="K720" s="2">
        <v>150.91</v>
      </c>
      <c r="L720" s="6">
        <v>7</v>
      </c>
      <c r="M720" s="2">
        <f t="shared" si="55"/>
        <v>1810.92</v>
      </c>
      <c r="N720" s="2">
        <f t="shared" si="56"/>
        <v>126.76440000000001</v>
      </c>
      <c r="O720" s="2">
        <f t="shared" si="57"/>
        <v>1684.1556</v>
      </c>
      <c r="P720" s="1">
        <v>94</v>
      </c>
      <c r="Q720" s="2">
        <v>105.64</v>
      </c>
      <c r="R720" s="2">
        <f t="shared" si="58"/>
        <v>416.47559999999999</v>
      </c>
      <c r="S720" s="1" t="s">
        <v>1016</v>
      </c>
      <c r="T720" s="1" t="s">
        <v>1004</v>
      </c>
      <c r="U720" s="1" t="str">
        <f t="shared" si="59"/>
        <v>YES</v>
      </c>
    </row>
    <row r="721" spans="1:21" x14ac:dyDescent="0.3">
      <c r="A721" s="1" t="s">
        <v>907</v>
      </c>
      <c r="B721" s="1" t="s">
        <v>95</v>
      </c>
      <c r="C721" s="1" t="s">
        <v>96</v>
      </c>
      <c r="D721" s="1" t="s">
        <v>97</v>
      </c>
      <c r="E721" s="1" t="s">
        <v>1734</v>
      </c>
      <c r="F721" s="1" t="s">
        <v>1009</v>
      </c>
      <c r="G721" s="1" t="s">
        <v>1010</v>
      </c>
      <c r="H721" s="1">
        <v>8</v>
      </c>
      <c r="I721" s="1">
        <v>4</v>
      </c>
      <c r="J721" s="1" t="s">
        <v>2716</v>
      </c>
      <c r="K721" s="2">
        <v>216.71</v>
      </c>
      <c r="L721" s="6">
        <v>1</v>
      </c>
      <c r="M721" s="2">
        <f t="shared" si="55"/>
        <v>1733.68</v>
      </c>
      <c r="N721" s="2">
        <f t="shared" si="56"/>
        <v>17.3368</v>
      </c>
      <c r="O721" s="2">
        <f t="shared" si="57"/>
        <v>1716.3432</v>
      </c>
      <c r="P721" s="1">
        <v>166</v>
      </c>
      <c r="Q721" s="2">
        <v>151.69999999999999</v>
      </c>
      <c r="R721" s="2">
        <f t="shared" si="58"/>
        <v>502.74320000000012</v>
      </c>
      <c r="S721" s="1" t="s">
        <v>1011</v>
      </c>
      <c r="T721" s="1" t="s">
        <v>1007</v>
      </c>
      <c r="U721" s="1" t="str">
        <f t="shared" si="59"/>
        <v>NO</v>
      </c>
    </row>
    <row r="722" spans="1:21" x14ac:dyDescent="0.3">
      <c r="A722" s="1" t="s">
        <v>908</v>
      </c>
      <c r="B722" s="1" t="s">
        <v>143</v>
      </c>
      <c r="C722" s="1" t="s">
        <v>144</v>
      </c>
      <c r="D722" s="1" t="s">
        <v>47</v>
      </c>
      <c r="E722" s="1" t="s">
        <v>1735</v>
      </c>
      <c r="F722" s="1" t="s">
        <v>1009</v>
      </c>
      <c r="G722" s="1" t="s">
        <v>1010</v>
      </c>
      <c r="H722" s="1">
        <v>1</v>
      </c>
      <c r="I722" s="1">
        <v>7</v>
      </c>
      <c r="J722" s="1" t="s">
        <v>2538</v>
      </c>
      <c r="K722" s="2">
        <v>119.13</v>
      </c>
      <c r="L722" s="6">
        <v>4</v>
      </c>
      <c r="M722" s="2">
        <f t="shared" si="55"/>
        <v>119.13</v>
      </c>
      <c r="N722" s="2">
        <f t="shared" si="56"/>
        <v>4.7652000000000001</v>
      </c>
      <c r="O722" s="2">
        <f t="shared" si="57"/>
        <v>114.3648</v>
      </c>
      <c r="P722" s="1">
        <v>148</v>
      </c>
      <c r="Q722" s="2">
        <v>83.39</v>
      </c>
      <c r="R722" s="2">
        <f t="shared" si="58"/>
        <v>30.974800000000002</v>
      </c>
      <c r="S722" s="1" t="s">
        <v>1011</v>
      </c>
      <c r="T722" s="1" t="s">
        <v>1007</v>
      </c>
      <c r="U722" s="1" t="str">
        <f t="shared" si="59"/>
        <v>NO</v>
      </c>
    </row>
    <row r="723" spans="1:21" x14ac:dyDescent="0.3">
      <c r="A723" s="1" t="s">
        <v>909</v>
      </c>
      <c r="B723" s="1" t="s">
        <v>72</v>
      </c>
      <c r="C723" s="1" t="s">
        <v>73</v>
      </c>
      <c r="D723" s="1" t="s">
        <v>47</v>
      </c>
      <c r="E723" s="1" t="s">
        <v>1736</v>
      </c>
      <c r="F723" s="1" t="s">
        <v>1013</v>
      </c>
      <c r="G723" s="1" t="s">
        <v>1023</v>
      </c>
      <c r="H723" s="1">
        <v>8</v>
      </c>
      <c r="I723" s="1">
        <v>6</v>
      </c>
      <c r="J723" s="1" t="s">
        <v>2638</v>
      </c>
      <c r="K723" s="2">
        <v>427.3</v>
      </c>
      <c r="L723" s="6">
        <v>15</v>
      </c>
      <c r="M723" s="2">
        <f t="shared" si="55"/>
        <v>3418.4</v>
      </c>
      <c r="N723" s="2">
        <f t="shared" si="56"/>
        <v>512.76</v>
      </c>
      <c r="O723" s="2">
        <f t="shared" si="57"/>
        <v>2905.6400000000003</v>
      </c>
      <c r="P723" s="1">
        <v>266</v>
      </c>
      <c r="Q723" s="2">
        <v>299.11</v>
      </c>
      <c r="R723" s="2">
        <f t="shared" si="58"/>
        <v>512.76000000000022</v>
      </c>
      <c r="S723" s="1" t="s">
        <v>1016</v>
      </c>
      <c r="T723" s="1" t="s">
        <v>1007</v>
      </c>
      <c r="U723" s="1" t="str">
        <f t="shared" si="59"/>
        <v>YES</v>
      </c>
    </row>
    <row r="724" spans="1:21" x14ac:dyDescent="0.3">
      <c r="A724" s="1" t="s">
        <v>910</v>
      </c>
      <c r="B724" s="1" t="s">
        <v>189</v>
      </c>
      <c r="C724" s="1" t="s">
        <v>190</v>
      </c>
      <c r="D724" s="1" t="s">
        <v>59</v>
      </c>
      <c r="E724" s="1" t="s">
        <v>1737</v>
      </c>
      <c r="F724" s="1" t="s">
        <v>1013</v>
      </c>
      <c r="G724" s="1" t="s">
        <v>1023</v>
      </c>
      <c r="H724" s="1">
        <v>7</v>
      </c>
      <c r="I724" s="1">
        <v>1</v>
      </c>
      <c r="J724" s="1" t="s">
        <v>2518</v>
      </c>
      <c r="K724" s="2">
        <v>475.03</v>
      </c>
      <c r="L724" s="6">
        <v>7</v>
      </c>
      <c r="M724" s="2">
        <f t="shared" si="55"/>
        <v>3325.21</v>
      </c>
      <c r="N724" s="2">
        <f t="shared" si="56"/>
        <v>232.7647</v>
      </c>
      <c r="O724" s="2">
        <f t="shared" si="57"/>
        <v>3092.4452999999999</v>
      </c>
      <c r="P724" s="1">
        <v>144</v>
      </c>
      <c r="Q724" s="2">
        <v>332.52</v>
      </c>
      <c r="R724" s="2">
        <f t="shared" si="58"/>
        <v>764.80529999999999</v>
      </c>
      <c r="S724" s="1" t="s">
        <v>1003</v>
      </c>
      <c r="T724" s="1" t="s">
        <v>1004</v>
      </c>
      <c r="U724" s="1" t="str">
        <f t="shared" si="59"/>
        <v>NO</v>
      </c>
    </row>
    <row r="725" spans="1:21" x14ac:dyDescent="0.3">
      <c r="A725" s="1" t="s">
        <v>911</v>
      </c>
      <c r="B725" s="1" t="s">
        <v>197</v>
      </c>
      <c r="C725" s="1" t="s">
        <v>198</v>
      </c>
      <c r="D725" s="1" t="s">
        <v>104</v>
      </c>
      <c r="E725" s="1" t="s">
        <v>1738</v>
      </c>
      <c r="F725" s="1" t="s">
        <v>1001</v>
      </c>
      <c r="G725" s="1" t="s">
        <v>1023</v>
      </c>
      <c r="H725" s="1">
        <v>15</v>
      </c>
      <c r="I725" s="1">
        <v>1</v>
      </c>
      <c r="J725" s="1" t="s">
        <v>2763</v>
      </c>
      <c r="K725" s="2">
        <v>319.41000000000003</v>
      </c>
      <c r="L725" s="6">
        <v>11</v>
      </c>
      <c r="M725" s="2">
        <f t="shared" si="55"/>
        <v>4791.1500000000005</v>
      </c>
      <c r="N725" s="2">
        <f t="shared" si="56"/>
        <v>527.02650000000006</v>
      </c>
      <c r="O725" s="2">
        <f t="shared" si="57"/>
        <v>4264.1235000000006</v>
      </c>
      <c r="P725" s="1">
        <v>181</v>
      </c>
      <c r="Q725" s="2">
        <v>223.59</v>
      </c>
      <c r="R725" s="2">
        <f t="shared" si="58"/>
        <v>910.27350000000069</v>
      </c>
      <c r="S725" s="1" t="s">
        <v>1003</v>
      </c>
      <c r="T725" s="1" t="s">
        <v>1007</v>
      </c>
      <c r="U725" s="1" t="str">
        <f t="shared" si="59"/>
        <v>NO</v>
      </c>
    </row>
    <row r="726" spans="1:21" x14ac:dyDescent="0.3">
      <c r="A726" s="1" t="s">
        <v>912</v>
      </c>
      <c r="B726" s="1" t="s">
        <v>192</v>
      </c>
      <c r="C726" s="1" t="s">
        <v>193</v>
      </c>
      <c r="D726" s="1" t="s">
        <v>85</v>
      </c>
      <c r="E726" s="1" t="s">
        <v>1739</v>
      </c>
      <c r="F726" s="1" t="s">
        <v>1009</v>
      </c>
      <c r="G726" s="1" t="s">
        <v>1002</v>
      </c>
      <c r="H726" s="1">
        <v>12</v>
      </c>
      <c r="I726" s="1">
        <v>2</v>
      </c>
      <c r="J726" s="1" t="s">
        <v>2772</v>
      </c>
      <c r="K726" s="2">
        <v>138.27000000000001</v>
      </c>
      <c r="L726" s="6">
        <v>22</v>
      </c>
      <c r="M726" s="2">
        <f t="shared" si="55"/>
        <v>1659.2400000000002</v>
      </c>
      <c r="N726" s="2">
        <f t="shared" si="56"/>
        <v>365.03280000000007</v>
      </c>
      <c r="O726" s="2">
        <f t="shared" si="57"/>
        <v>1294.2072000000003</v>
      </c>
      <c r="P726" s="1">
        <v>134</v>
      </c>
      <c r="Q726" s="2">
        <v>96.79</v>
      </c>
      <c r="R726" s="2">
        <f t="shared" si="58"/>
        <v>132.72720000000027</v>
      </c>
      <c r="S726" s="1" t="s">
        <v>1003</v>
      </c>
      <c r="T726" s="1" t="s">
        <v>1004</v>
      </c>
      <c r="U726" s="1" t="str">
        <f t="shared" si="59"/>
        <v>NO</v>
      </c>
    </row>
    <row r="727" spans="1:21" x14ac:dyDescent="0.3">
      <c r="A727" s="1" t="s">
        <v>913</v>
      </c>
      <c r="B727" s="1" t="s">
        <v>130</v>
      </c>
      <c r="C727" s="1" t="s">
        <v>131</v>
      </c>
      <c r="D727" s="1" t="s">
        <v>132</v>
      </c>
      <c r="E727" s="1" t="s">
        <v>1740</v>
      </c>
      <c r="F727" s="1" t="s">
        <v>1027</v>
      </c>
      <c r="G727" s="1" t="s">
        <v>1002</v>
      </c>
      <c r="H727" s="1">
        <v>4</v>
      </c>
      <c r="I727" s="1">
        <v>2</v>
      </c>
      <c r="J727" s="1" t="s">
        <v>2648</v>
      </c>
      <c r="K727" s="2">
        <v>329.32</v>
      </c>
      <c r="L727" s="6">
        <v>10</v>
      </c>
      <c r="M727" s="2">
        <f t="shared" si="55"/>
        <v>1317.28</v>
      </c>
      <c r="N727" s="2">
        <f t="shared" si="56"/>
        <v>131.72799999999998</v>
      </c>
      <c r="O727" s="2">
        <f t="shared" si="57"/>
        <v>1185.5519999999999</v>
      </c>
      <c r="P727" s="1">
        <v>156</v>
      </c>
      <c r="Q727" s="2">
        <v>230.52</v>
      </c>
      <c r="R727" s="2">
        <f t="shared" si="58"/>
        <v>263.47199999999987</v>
      </c>
      <c r="S727" s="1" t="s">
        <v>1016</v>
      </c>
      <c r="T727" s="1" t="s">
        <v>1007</v>
      </c>
      <c r="U727" s="1" t="str">
        <f t="shared" si="59"/>
        <v>YES</v>
      </c>
    </row>
    <row r="728" spans="1:21" x14ac:dyDescent="0.3">
      <c r="A728" s="1" t="s">
        <v>914</v>
      </c>
      <c r="B728" s="1" t="s">
        <v>166</v>
      </c>
      <c r="C728" s="1" t="s">
        <v>167</v>
      </c>
      <c r="D728" s="1" t="s">
        <v>59</v>
      </c>
      <c r="E728" s="1" t="s">
        <v>1741</v>
      </c>
      <c r="F728" s="1" t="s">
        <v>1015</v>
      </c>
      <c r="G728" s="1" t="s">
        <v>1023</v>
      </c>
      <c r="H728" s="1">
        <v>7</v>
      </c>
      <c r="I728" s="1">
        <v>6</v>
      </c>
      <c r="J728" s="1" t="s">
        <v>2681</v>
      </c>
      <c r="K728" s="2">
        <v>125.13</v>
      </c>
      <c r="L728" s="6">
        <v>21</v>
      </c>
      <c r="M728" s="2">
        <f t="shared" si="55"/>
        <v>875.91</v>
      </c>
      <c r="N728" s="2">
        <f t="shared" si="56"/>
        <v>183.94110000000001</v>
      </c>
      <c r="O728" s="2">
        <f t="shared" si="57"/>
        <v>691.96889999999996</v>
      </c>
      <c r="P728" s="1">
        <v>208</v>
      </c>
      <c r="Q728" s="2">
        <v>87.59</v>
      </c>
      <c r="R728" s="2">
        <f t="shared" si="58"/>
        <v>78.838899999999967</v>
      </c>
      <c r="S728" s="1" t="s">
        <v>1003</v>
      </c>
      <c r="T728" s="1" t="s">
        <v>1007</v>
      </c>
      <c r="U728" s="1" t="str">
        <f t="shared" si="59"/>
        <v>NO</v>
      </c>
    </row>
    <row r="729" spans="1:21" x14ac:dyDescent="0.3">
      <c r="A729" s="1" t="s">
        <v>915</v>
      </c>
      <c r="B729" s="1" t="s">
        <v>102</v>
      </c>
      <c r="C729" s="1" t="s">
        <v>103</v>
      </c>
      <c r="D729" s="1" t="s">
        <v>104</v>
      </c>
      <c r="E729" s="1" t="s">
        <v>1742</v>
      </c>
      <c r="F729" s="1" t="s">
        <v>1001</v>
      </c>
      <c r="G729" s="1" t="s">
        <v>1010</v>
      </c>
      <c r="H729" s="1">
        <v>5</v>
      </c>
      <c r="I729" s="1">
        <v>4</v>
      </c>
      <c r="J729" s="1" t="s">
        <v>2859</v>
      </c>
      <c r="K729" s="2">
        <v>151.32</v>
      </c>
      <c r="L729" s="6">
        <v>12</v>
      </c>
      <c r="M729" s="2">
        <f t="shared" si="55"/>
        <v>756.59999999999991</v>
      </c>
      <c r="N729" s="2">
        <f t="shared" si="56"/>
        <v>90.791999999999987</v>
      </c>
      <c r="O729" s="2">
        <f t="shared" si="57"/>
        <v>665.80799999999988</v>
      </c>
      <c r="P729" s="1">
        <v>219</v>
      </c>
      <c r="Q729" s="2">
        <v>105.92</v>
      </c>
      <c r="R729" s="2">
        <f t="shared" si="58"/>
        <v>136.20799999999986</v>
      </c>
      <c r="S729" s="1" t="s">
        <v>1016</v>
      </c>
      <c r="T729" s="1" t="s">
        <v>1007</v>
      </c>
      <c r="U729" s="1" t="str">
        <f t="shared" si="59"/>
        <v>YES</v>
      </c>
    </row>
    <row r="730" spans="1:21" x14ac:dyDescent="0.3">
      <c r="A730" s="1" t="s">
        <v>916</v>
      </c>
      <c r="B730" s="1" t="s">
        <v>111</v>
      </c>
      <c r="C730" s="1" t="s">
        <v>112</v>
      </c>
      <c r="D730" s="1" t="s">
        <v>97</v>
      </c>
      <c r="E730" s="1" t="s">
        <v>1743</v>
      </c>
      <c r="F730" s="1" t="s">
        <v>1013</v>
      </c>
      <c r="G730" s="1" t="s">
        <v>1002</v>
      </c>
      <c r="H730" s="1">
        <v>5</v>
      </c>
      <c r="I730" s="1">
        <v>1</v>
      </c>
      <c r="J730" s="1" t="s">
        <v>2599</v>
      </c>
      <c r="K730" s="2">
        <v>412.01</v>
      </c>
      <c r="L730" s="6">
        <v>17</v>
      </c>
      <c r="M730" s="2">
        <f t="shared" si="55"/>
        <v>2060.0500000000002</v>
      </c>
      <c r="N730" s="2">
        <f t="shared" si="56"/>
        <v>350.20850000000007</v>
      </c>
      <c r="O730" s="2">
        <f t="shared" si="57"/>
        <v>1709.8415</v>
      </c>
      <c r="P730" s="1">
        <v>139</v>
      </c>
      <c r="Q730" s="2">
        <v>288.41000000000003</v>
      </c>
      <c r="R730" s="2">
        <f t="shared" si="58"/>
        <v>267.79149999999981</v>
      </c>
      <c r="S730" s="1" t="s">
        <v>1011</v>
      </c>
      <c r="T730" s="1" t="s">
        <v>1004</v>
      </c>
      <c r="U730" s="1" t="str">
        <f t="shared" si="59"/>
        <v>NO</v>
      </c>
    </row>
    <row r="731" spans="1:21" x14ac:dyDescent="0.3">
      <c r="A731" s="1" t="s">
        <v>917</v>
      </c>
      <c r="B731" s="1" t="s">
        <v>192</v>
      </c>
      <c r="C731" s="1" t="s">
        <v>193</v>
      </c>
      <c r="D731" s="1" t="s">
        <v>85</v>
      </c>
      <c r="E731" s="1" t="s">
        <v>1744</v>
      </c>
      <c r="F731" s="1" t="s">
        <v>1027</v>
      </c>
      <c r="G731" s="1" t="s">
        <v>1002</v>
      </c>
      <c r="H731" s="1">
        <v>10</v>
      </c>
      <c r="I731" s="1">
        <v>7</v>
      </c>
      <c r="J731" s="1" t="s">
        <v>2567</v>
      </c>
      <c r="K731" s="2">
        <v>363.02</v>
      </c>
      <c r="L731" s="6">
        <v>16</v>
      </c>
      <c r="M731" s="2">
        <f t="shared" si="55"/>
        <v>3630.2</v>
      </c>
      <c r="N731" s="2">
        <f t="shared" si="56"/>
        <v>580.83199999999999</v>
      </c>
      <c r="O731" s="2">
        <f t="shared" si="57"/>
        <v>3049.3679999999999</v>
      </c>
      <c r="P731" s="1">
        <v>158</v>
      </c>
      <c r="Q731" s="2">
        <v>254.11</v>
      </c>
      <c r="R731" s="2">
        <f t="shared" si="58"/>
        <v>508.26799999999957</v>
      </c>
      <c r="S731" s="1" t="s">
        <v>1011</v>
      </c>
      <c r="T731" s="1" t="s">
        <v>1004</v>
      </c>
      <c r="U731" s="1" t="str">
        <f t="shared" si="59"/>
        <v>NO</v>
      </c>
    </row>
    <row r="732" spans="1:21" x14ac:dyDescent="0.3">
      <c r="A732" s="1" t="s">
        <v>918</v>
      </c>
      <c r="B732" s="1" t="s">
        <v>63</v>
      </c>
      <c r="C732" s="1" t="s">
        <v>64</v>
      </c>
      <c r="D732" s="1" t="s">
        <v>28</v>
      </c>
      <c r="E732" s="1" t="s">
        <v>1745</v>
      </c>
      <c r="F732" s="1" t="s">
        <v>1027</v>
      </c>
      <c r="G732" s="1" t="s">
        <v>1010</v>
      </c>
      <c r="H732" s="1">
        <v>11</v>
      </c>
      <c r="I732" s="1">
        <v>1</v>
      </c>
      <c r="J732" s="1" t="s">
        <v>2684</v>
      </c>
      <c r="K732" s="2">
        <v>89.47</v>
      </c>
      <c r="L732" s="6">
        <v>7</v>
      </c>
      <c r="M732" s="2">
        <f t="shared" si="55"/>
        <v>984.17</v>
      </c>
      <c r="N732" s="2">
        <f t="shared" si="56"/>
        <v>68.891899999999993</v>
      </c>
      <c r="O732" s="2">
        <f t="shared" si="57"/>
        <v>915.27809999999999</v>
      </c>
      <c r="P732" s="1">
        <v>248</v>
      </c>
      <c r="Q732" s="2">
        <v>62.63</v>
      </c>
      <c r="R732" s="2">
        <f t="shared" si="58"/>
        <v>226.34809999999993</v>
      </c>
      <c r="S732" s="1" t="s">
        <v>1011</v>
      </c>
      <c r="T732" s="1" t="s">
        <v>1004</v>
      </c>
      <c r="U732" s="1" t="str">
        <f t="shared" si="59"/>
        <v>NO</v>
      </c>
    </row>
    <row r="733" spans="1:21" x14ac:dyDescent="0.3">
      <c r="A733" s="1" t="s">
        <v>919</v>
      </c>
      <c r="B733" s="1" t="s">
        <v>102</v>
      </c>
      <c r="C733" s="1" t="s">
        <v>103</v>
      </c>
      <c r="D733" s="1" t="s">
        <v>104</v>
      </c>
      <c r="E733" s="1" t="s">
        <v>1746</v>
      </c>
      <c r="F733" s="1" t="s">
        <v>1015</v>
      </c>
      <c r="G733" s="1" t="s">
        <v>1002</v>
      </c>
      <c r="H733" s="1">
        <v>5</v>
      </c>
      <c r="I733" s="1">
        <v>1</v>
      </c>
      <c r="J733" s="1" t="s">
        <v>2860</v>
      </c>
      <c r="K733" s="2">
        <v>494.53</v>
      </c>
      <c r="L733" s="6">
        <v>25</v>
      </c>
      <c r="M733" s="2">
        <f t="shared" si="55"/>
        <v>2472.6499999999996</v>
      </c>
      <c r="N733" s="2">
        <f t="shared" si="56"/>
        <v>618.16249999999991</v>
      </c>
      <c r="O733" s="2">
        <f t="shared" si="57"/>
        <v>1854.4874999999997</v>
      </c>
      <c r="P733" s="1">
        <v>126</v>
      </c>
      <c r="Q733" s="2">
        <v>346.17</v>
      </c>
      <c r="R733" s="2">
        <f t="shared" si="58"/>
        <v>123.63749999999959</v>
      </c>
      <c r="S733" s="1" t="s">
        <v>1016</v>
      </c>
      <c r="T733" s="1" t="s">
        <v>1007</v>
      </c>
      <c r="U733" s="1" t="str">
        <f t="shared" si="59"/>
        <v>YES</v>
      </c>
    </row>
    <row r="734" spans="1:21" x14ac:dyDescent="0.3">
      <c r="A734" s="1" t="s">
        <v>920</v>
      </c>
      <c r="B734" s="1" t="s">
        <v>176</v>
      </c>
      <c r="C734" s="1" t="s">
        <v>177</v>
      </c>
      <c r="D734" s="1" t="s">
        <v>39</v>
      </c>
      <c r="E734" s="1" t="s">
        <v>1747</v>
      </c>
      <c r="F734" s="1" t="s">
        <v>1013</v>
      </c>
      <c r="G734" s="1" t="s">
        <v>1002</v>
      </c>
      <c r="H734" s="1">
        <v>14</v>
      </c>
      <c r="I734" s="1">
        <v>4</v>
      </c>
      <c r="J734" s="1" t="s">
        <v>2739</v>
      </c>
      <c r="K734" s="2">
        <v>280.01</v>
      </c>
      <c r="L734" s="6">
        <v>9</v>
      </c>
      <c r="M734" s="2">
        <f t="shared" si="55"/>
        <v>3920.14</v>
      </c>
      <c r="N734" s="2">
        <f t="shared" si="56"/>
        <v>352.81260000000003</v>
      </c>
      <c r="O734" s="2">
        <f t="shared" si="57"/>
        <v>3567.3273999999997</v>
      </c>
      <c r="P734" s="1">
        <v>149</v>
      </c>
      <c r="Q734" s="2">
        <v>196.01</v>
      </c>
      <c r="R734" s="2">
        <f t="shared" si="58"/>
        <v>823.1873999999998</v>
      </c>
      <c r="S734" s="1" t="s">
        <v>1003</v>
      </c>
      <c r="T734" s="1" t="s">
        <v>1004</v>
      </c>
      <c r="U734" s="1" t="str">
        <f t="shared" si="59"/>
        <v>NO</v>
      </c>
    </row>
    <row r="735" spans="1:21" x14ac:dyDescent="0.3">
      <c r="A735" s="1" t="s">
        <v>921</v>
      </c>
      <c r="B735" s="1" t="s">
        <v>262</v>
      </c>
      <c r="C735" s="1" t="s">
        <v>263</v>
      </c>
      <c r="D735" s="1" t="s">
        <v>104</v>
      </c>
      <c r="E735" s="1" t="s">
        <v>1748</v>
      </c>
      <c r="F735" s="1" t="s">
        <v>1006</v>
      </c>
      <c r="G735" s="1" t="s">
        <v>1023</v>
      </c>
      <c r="H735" s="1">
        <v>8</v>
      </c>
      <c r="I735" s="1">
        <v>6</v>
      </c>
      <c r="J735" s="1" t="s">
        <v>2522</v>
      </c>
      <c r="K735" s="2">
        <v>112.3</v>
      </c>
      <c r="L735" s="6">
        <v>15</v>
      </c>
      <c r="M735" s="2">
        <f t="shared" si="55"/>
        <v>898.4</v>
      </c>
      <c r="N735" s="2">
        <f t="shared" si="56"/>
        <v>134.76</v>
      </c>
      <c r="O735" s="2">
        <f t="shared" si="57"/>
        <v>763.64</v>
      </c>
      <c r="P735" s="1">
        <v>81</v>
      </c>
      <c r="Q735" s="2">
        <v>78.61</v>
      </c>
      <c r="R735" s="2">
        <f t="shared" si="58"/>
        <v>134.76</v>
      </c>
      <c r="S735" s="1" t="s">
        <v>1003</v>
      </c>
      <c r="T735" s="1" t="s">
        <v>1007</v>
      </c>
      <c r="U735" s="1" t="str">
        <f t="shared" si="59"/>
        <v>NO</v>
      </c>
    </row>
    <row r="736" spans="1:21" x14ac:dyDescent="0.3">
      <c r="A736" s="1" t="s">
        <v>922</v>
      </c>
      <c r="B736" s="1" t="s">
        <v>37</v>
      </c>
      <c r="C736" s="1" t="s">
        <v>38</v>
      </c>
      <c r="D736" s="1" t="s">
        <v>39</v>
      </c>
      <c r="E736" s="1" t="s">
        <v>1749</v>
      </c>
      <c r="F736" s="1" t="s">
        <v>1009</v>
      </c>
      <c r="G736" s="1" t="s">
        <v>1002</v>
      </c>
      <c r="H736" s="1">
        <v>1</v>
      </c>
      <c r="I736" s="1">
        <v>7</v>
      </c>
      <c r="J736" s="1" t="s">
        <v>2861</v>
      </c>
      <c r="K736" s="2">
        <v>331.14</v>
      </c>
      <c r="L736" s="6">
        <v>0</v>
      </c>
      <c r="M736" s="2">
        <f t="shared" si="55"/>
        <v>331.14</v>
      </c>
      <c r="N736" s="2">
        <f t="shared" si="56"/>
        <v>0</v>
      </c>
      <c r="O736" s="2">
        <f t="shared" si="57"/>
        <v>331.14</v>
      </c>
      <c r="P736" s="1">
        <v>206</v>
      </c>
      <c r="Q736" s="2">
        <v>231.8</v>
      </c>
      <c r="R736" s="2">
        <f t="shared" si="58"/>
        <v>99.339999999999975</v>
      </c>
      <c r="S736" s="1" t="s">
        <v>1016</v>
      </c>
      <c r="T736" s="1" t="s">
        <v>1007</v>
      </c>
      <c r="U736" s="1" t="str">
        <f t="shared" si="59"/>
        <v>YES</v>
      </c>
    </row>
    <row r="737" spans="1:21" x14ac:dyDescent="0.3">
      <c r="A737" s="1" t="s">
        <v>923</v>
      </c>
      <c r="B737" s="1" t="s">
        <v>130</v>
      </c>
      <c r="C737" s="1" t="s">
        <v>131</v>
      </c>
      <c r="D737" s="1" t="s">
        <v>132</v>
      </c>
      <c r="E737" s="1" t="s">
        <v>1750</v>
      </c>
      <c r="F737" s="1" t="s">
        <v>1006</v>
      </c>
      <c r="G737" s="1" t="s">
        <v>1023</v>
      </c>
      <c r="H737" s="1">
        <v>8</v>
      </c>
      <c r="I737" s="1">
        <v>7</v>
      </c>
      <c r="J737" s="1" t="s">
        <v>2782</v>
      </c>
      <c r="K737" s="2">
        <v>157.84</v>
      </c>
      <c r="L737" s="6">
        <v>19</v>
      </c>
      <c r="M737" s="2">
        <f t="shared" si="55"/>
        <v>1262.72</v>
      </c>
      <c r="N737" s="2">
        <f t="shared" si="56"/>
        <v>239.91679999999999</v>
      </c>
      <c r="O737" s="2">
        <f t="shared" si="57"/>
        <v>1022.8032000000001</v>
      </c>
      <c r="P737" s="1">
        <v>82</v>
      </c>
      <c r="Q737" s="2">
        <v>110.49</v>
      </c>
      <c r="R737" s="2">
        <f t="shared" si="58"/>
        <v>138.8832000000001</v>
      </c>
      <c r="S737" s="1" t="s">
        <v>1016</v>
      </c>
      <c r="T737" s="1" t="s">
        <v>1007</v>
      </c>
      <c r="U737" s="1" t="str">
        <f t="shared" si="59"/>
        <v>YES</v>
      </c>
    </row>
    <row r="738" spans="1:21" x14ac:dyDescent="0.3">
      <c r="A738" s="1" t="s">
        <v>924</v>
      </c>
      <c r="B738" s="1" t="s">
        <v>262</v>
      </c>
      <c r="C738" s="1" t="s">
        <v>263</v>
      </c>
      <c r="D738" s="1" t="s">
        <v>104</v>
      </c>
      <c r="E738" s="1" t="s">
        <v>1751</v>
      </c>
      <c r="F738" s="1" t="s">
        <v>1020</v>
      </c>
      <c r="G738" s="1" t="s">
        <v>1002</v>
      </c>
      <c r="H738" s="1">
        <v>5</v>
      </c>
      <c r="I738" s="1">
        <v>2</v>
      </c>
      <c r="J738" s="1" t="s">
        <v>2596</v>
      </c>
      <c r="K738" s="2">
        <v>326.83</v>
      </c>
      <c r="L738" s="6">
        <v>8</v>
      </c>
      <c r="M738" s="2">
        <f t="shared" si="55"/>
        <v>1634.1499999999999</v>
      </c>
      <c r="N738" s="2">
        <f t="shared" si="56"/>
        <v>130.732</v>
      </c>
      <c r="O738" s="2">
        <f t="shared" si="57"/>
        <v>1503.4179999999999</v>
      </c>
      <c r="P738" s="1">
        <v>272</v>
      </c>
      <c r="Q738" s="2">
        <v>228.78</v>
      </c>
      <c r="R738" s="2">
        <f t="shared" si="58"/>
        <v>359.5179999999998</v>
      </c>
      <c r="S738" s="1" t="s">
        <v>1011</v>
      </c>
      <c r="T738" s="1" t="s">
        <v>1004</v>
      </c>
      <c r="U738" s="1" t="str">
        <f t="shared" si="59"/>
        <v>NO</v>
      </c>
    </row>
    <row r="739" spans="1:21" x14ac:dyDescent="0.3">
      <c r="A739" s="1" t="s">
        <v>925</v>
      </c>
      <c r="B739" s="1" t="s">
        <v>37</v>
      </c>
      <c r="C739" s="1" t="s">
        <v>38</v>
      </c>
      <c r="D739" s="1" t="s">
        <v>39</v>
      </c>
      <c r="E739" s="1" t="s">
        <v>1752</v>
      </c>
      <c r="F739" s="1" t="s">
        <v>1020</v>
      </c>
      <c r="G739" s="1" t="s">
        <v>1023</v>
      </c>
      <c r="H739" s="1">
        <v>6</v>
      </c>
      <c r="I739" s="1">
        <v>4</v>
      </c>
      <c r="J739" s="1" t="s">
        <v>2862</v>
      </c>
      <c r="K739" s="2">
        <v>225.56</v>
      </c>
      <c r="L739" s="6">
        <v>20</v>
      </c>
      <c r="M739" s="2">
        <f t="shared" si="55"/>
        <v>1353.3600000000001</v>
      </c>
      <c r="N739" s="2">
        <f t="shared" si="56"/>
        <v>270.67200000000003</v>
      </c>
      <c r="O739" s="2">
        <f t="shared" si="57"/>
        <v>1082.6880000000001</v>
      </c>
      <c r="P739" s="1">
        <v>114</v>
      </c>
      <c r="Q739" s="2">
        <v>157.88999999999999</v>
      </c>
      <c r="R739" s="2">
        <f t="shared" si="58"/>
        <v>135.34800000000018</v>
      </c>
      <c r="S739" s="1" t="s">
        <v>1016</v>
      </c>
      <c r="T739" s="1" t="s">
        <v>1004</v>
      </c>
      <c r="U739" s="1" t="str">
        <f t="shared" si="59"/>
        <v>YES</v>
      </c>
    </row>
    <row r="740" spans="1:21" x14ac:dyDescent="0.3">
      <c r="A740" s="1" t="s">
        <v>926</v>
      </c>
      <c r="B740" s="1" t="s">
        <v>95</v>
      </c>
      <c r="C740" s="1" t="s">
        <v>96</v>
      </c>
      <c r="D740" s="1" t="s">
        <v>97</v>
      </c>
      <c r="E740" s="1" t="s">
        <v>1753</v>
      </c>
      <c r="F740" s="1" t="s">
        <v>1009</v>
      </c>
      <c r="G740" s="1" t="s">
        <v>1010</v>
      </c>
      <c r="H740" s="1">
        <v>1</v>
      </c>
      <c r="I740" s="1">
        <v>3</v>
      </c>
      <c r="J740" s="1" t="s">
        <v>2863</v>
      </c>
      <c r="K740" s="2">
        <v>209.68</v>
      </c>
      <c r="L740" s="6">
        <v>6</v>
      </c>
      <c r="M740" s="2">
        <f t="shared" si="55"/>
        <v>209.68</v>
      </c>
      <c r="N740" s="2">
        <f t="shared" si="56"/>
        <v>12.5808</v>
      </c>
      <c r="O740" s="2">
        <f t="shared" si="57"/>
        <v>197.0992</v>
      </c>
      <c r="P740" s="1">
        <v>147</v>
      </c>
      <c r="Q740" s="2">
        <v>146.78</v>
      </c>
      <c r="R740" s="2">
        <f t="shared" si="58"/>
        <v>50.319199999999995</v>
      </c>
      <c r="S740" s="1" t="s">
        <v>1003</v>
      </c>
      <c r="T740" s="1" t="s">
        <v>1004</v>
      </c>
      <c r="U740" s="1" t="str">
        <f t="shared" si="59"/>
        <v>NO</v>
      </c>
    </row>
    <row r="741" spans="1:21" x14ac:dyDescent="0.3">
      <c r="A741" s="1" t="s">
        <v>927</v>
      </c>
      <c r="B741" s="1" t="s">
        <v>262</v>
      </c>
      <c r="C741" s="1" t="s">
        <v>263</v>
      </c>
      <c r="D741" s="1" t="s">
        <v>104</v>
      </c>
      <c r="E741" s="1" t="s">
        <v>1754</v>
      </c>
      <c r="F741" s="1" t="s">
        <v>1001</v>
      </c>
      <c r="G741" s="1" t="s">
        <v>1023</v>
      </c>
      <c r="H741" s="1">
        <v>15</v>
      </c>
      <c r="I741" s="1">
        <v>4</v>
      </c>
      <c r="J741" s="1" t="s">
        <v>2864</v>
      </c>
      <c r="K741" s="2">
        <v>181.59</v>
      </c>
      <c r="L741" s="6">
        <v>21</v>
      </c>
      <c r="M741" s="2">
        <f t="shared" si="55"/>
        <v>2723.85</v>
      </c>
      <c r="N741" s="2">
        <f t="shared" si="56"/>
        <v>572.00850000000003</v>
      </c>
      <c r="O741" s="2">
        <f t="shared" si="57"/>
        <v>2151.8415</v>
      </c>
      <c r="P741" s="1">
        <v>162</v>
      </c>
      <c r="Q741" s="2">
        <v>127.11</v>
      </c>
      <c r="R741" s="2">
        <f t="shared" si="58"/>
        <v>245.19149999999991</v>
      </c>
      <c r="S741" s="1" t="s">
        <v>1016</v>
      </c>
      <c r="T741" s="1" t="s">
        <v>1007</v>
      </c>
      <c r="U741" s="1" t="str">
        <f t="shared" si="59"/>
        <v>YES</v>
      </c>
    </row>
    <row r="742" spans="1:21" x14ac:dyDescent="0.3">
      <c r="A742" s="1" t="s">
        <v>928</v>
      </c>
      <c r="B742" s="1" t="s">
        <v>262</v>
      </c>
      <c r="C742" s="1" t="s">
        <v>263</v>
      </c>
      <c r="D742" s="1" t="s">
        <v>104</v>
      </c>
      <c r="E742" s="1" t="s">
        <v>1755</v>
      </c>
      <c r="F742" s="1" t="s">
        <v>1027</v>
      </c>
      <c r="G742" s="1" t="s">
        <v>1010</v>
      </c>
      <c r="H742" s="1">
        <v>7</v>
      </c>
      <c r="I742" s="1">
        <v>7</v>
      </c>
      <c r="J742" s="1" t="s">
        <v>2857</v>
      </c>
      <c r="K742" s="2">
        <v>118.48</v>
      </c>
      <c r="L742" s="6">
        <v>18</v>
      </c>
      <c r="M742" s="2">
        <f t="shared" si="55"/>
        <v>829.36</v>
      </c>
      <c r="N742" s="2">
        <f t="shared" si="56"/>
        <v>149.28479999999999</v>
      </c>
      <c r="O742" s="2">
        <f t="shared" si="57"/>
        <v>680.0752</v>
      </c>
      <c r="P742" s="1">
        <v>276</v>
      </c>
      <c r="Q742" s="2">
        <v>82.94</v>
      </c>
      <c r="R742" s="2">
        <f t="shared" si="58"/>
        <v>99.495200000000068</v>
      </c>
      <c r="S742" s="1" t="s">
        <v>1003</v>
      </c>
      <c r="T742" s="1" t="s">
        <v>1007</v>
      </c>
      <c r="U742" s="1" t="str">
        <f t="shared" si="59"/>
        <v>NO</v>
      </c>
    </row>
    <row r="743" spans="1:21" x14ac:dyDescent="0.3">
      <c r="A743" s="1" t="s">
        <v>929</v>
      </c>
      <c r="B743" s="1" t="s">
        <v>237</v>
      </c>
      <c r="C743" s="1" t="s">
        <v>238</v>
      </c>
      <c r="D743" s="1" t="s">
        <v>85</v>
      </c>
      <c r="E743" s="1" t="s">
        <v>1756</v>
      </c>
      <c r="F743" s="1" t="s">
        <v>1009</v>
      </c>
      <c r="G743" s="1" t="s">
        <v>1023</v>
      </c>
      <c r="H743" s="1">
        <v>7</v>
      </c>
      <c r="I743" s="1">
        <v>2</v>
      </c>
      <c r="J743" s="1" t="s">
        <v>2865</v>
      </c>
      <c r="K743" s="2">
        <v>425.37</v>
      </c>
      <c r="L743" s="6">
        <v>9</v>
      </c>
      <c r="M743" s="2">
        <f t="shared" si="55"/>
        <v>2977.59</v>
      </c>
      <c r="N743" s="2">
        <f t="shared" si="56"/>
        <v>267.98310000000004</v>
      </c>
      <c r="O743" s="2">
        <f t="shared" si="57"/>
        <v>2709.6069000000002</v>
      </c>
      <c r="P743" s="1">
        <v>108</v>
      </c>
      <c r="Q743" s="2">
        <v>297.76</v>
      </c>
      <c r="R743" s="2">
        <f t="shared" si="58"/>
        <v>625.28690000000051</v>
      </c>
      <c r="S743" s="1" t="s">
        <v>1016</v>
      </c>
      <c r="T743" s="1" t="s">
        <v>1007</v>
      </c>
      <c r="U743" s="1" t="str">
        <f t="shared" si="59"/>
        <v>YES</v>
      </c>
    </row>
    <row r="744" spans="1:21" x14ac:dyDescent="0.3">
      <c r="A744" s="1" t="s">
        <v>930</v>
      </c>
      <c r="B744" s="1" t="s">
        <v>63</v>
      </c>
      <c r="C744" s="1" t="s">
        <v>64</v>
      </c>
      <c r="D744" s="1" t="s">
        <v>28</v>
      </c>
      <c r="E744" s="1" t="s">
        <v>1757</v>
      </c>
      <c r="F744" s="1" t="s">
        <v>1015</v>
      </c>
      <c r="G744" s="1" t="s">
        <v>1023</v>
      </c>
      <c r="H744" s="1">
        <v>11</v>
      </c>
      <c r="I744" s="1">
        <v>5</v>
      </c>
      <c r="J744" s="1" t="s">
        <v>2746</v>
      </c>
      <c r="K744" s="2">
        <v>95.56</v>
      </c>
      <c r="L744" s="6">
        <v>4</v>
      </c>
      <c r="M744" s="2">
        <f t="shared" si="55"/>
        <v>1051.1600000000001</v>
      </c>
      <c r="N744" s="2">
        <f t="shared" si="56"/>
        <v>42.046400000000006</v>
      </c>
      <c r="O744" s="2">
        <f t="shared" si="57"/>
        <v>1009.1136000000001</v>
      </c>
      <c r="P744" s="1">
        <v>248</v>
      </c>
      <c r="Q744" s="2">
        <v>66.89</v>
      </c>
      <c r="R744" s="2">
        <f t="shared" si="58"/>
        <v>273.32360000000017</v>
      </c>
      <c r="S744" s="1" t="s">
        <v>1016</v>
      </c>
      <c r="T744" s="1" t="s">
        <v>1007</v>
      </c>
      <c r="U744" s="1" t="str">
        <f t="shared" si="59"/>
        <v>YES</v>
      </c>
    </row>
    <row r="745" spans="1:21" x14ac:dyDescent="0.3">
      <c r="A745" s="1" t="s">
        <v>931</v>
      </c>
      <c r="B745" s="1" t="s">
        <v>130</v>
      </c>
      <c r="C745" s="1" t="s">
        <v>131</v>
      </c>
      <c r="D745" s="1" t="s">
        <v>132</v>
      </c>
      <c r="E745" s="1" t="s">
        <v>1758</v>
      </c>
      <c r="F745" s="1" t="s">
        <v>1013</v>
      </c>
      <c r="G745" s="1" t="s">
        <v>1010</v>
      </c>
      <c r="H745" s="1">
        <v>5</v>
      </c>
      <c r="I745" s="1">
        <v>1</v>
      </c>
      <c r="J745" s="1" t="s">
        <v>2642</v>
      </c>
      <c r="K745" s="2">
        <v>74.33</v>
      </c>
      <c r="L745" s="6">
        <v>23</v>
      </c>
      <c r="M745" s="2">
        <f t="shared" si="55"/>
        <v>371.65</v>
      </c>
      <c r="N745" s="2">
        <f t="shared" si="56"/>
        <v>85.479499999999987</v>
      </c>
      <c r="O745" s="2">
        <f t="shared" si="57"/>
        <v>286.1705</v>
      </c>
      <c r="P745" s="1">
        <v>102</v>
      </c>
      <c r="Q745" s="2">
        <v>52.03</v>
      </c>
      <c r="R745" s="2">
        <f t="shared" si="58"/>
        <v>26.020500000000027</v>
      </c>
      <c r="S745" s="1" t="s">
        <v>1003</v>
      </c>
      <c r="T745" s="1" t="s">
        <v>1007</v>
      </c>
      <c r="U745" s="1" t="str">
        <f t="shared" si="59"/>
        <v>NO</v>
      </c>
    </row>
    <row r="746" spans="1:21" x14ac:dyDescent="0.3">
      <c r="A746" s="1" t="s">
        <v>932</v>
      </c>
      <c r="B746" s="1" t="s">
        <v>69</v>
      </c>
      <c r="C746" s="1" t="s">
        <v>70</v>
      </c>
      <c r="D746" s="1" t="s">
        <v>59</v>
      </c>
      <c r="E746" s="1" t="s">
        <v>1759</v>
      </c>
      <c r="F746" s="1" t="s">
        <v>1020</v>
      </c>
      <c r="G746" s="1" t="s">
        <v>1002</v>
      </c>
      <c r="H746" s="1">
        <v>14</v>
      </c>
      <c r="I746" s="1">
        <v>7</v>
      </c>
      <c r="J746" s="1" t="s">
        <v>2866</v>
      </c>
      <c r="K746" s="2">
        <v>348.39</v>
      </c>
      <c r="L746" s="6">
        <v>3</v>
      </c>
      <c r="M746" s="2">
        <f t="shared" si="55"/>
        <v>4877.46</v>
      </c>
      <c r="N746" s="2">
        <f t="shared" si="56"/>
        <v>146.32380000000001</v>
      </c>
      <c r="O746" s="2">
        <f t="shared" si="57"/>
        <v>4731.1361999999999</v>
      </c>
      <c r="P746" s="1">
        <v>117</v>
      </c>
      <c r="Q746" s="2">
        <v>243.87</v>
      </c>
      <c r="R746" s="2">
        <f t="shared" si="58"/>
        <v>1316.9561999999996</v>
      </c>
      <c r="S746" s="1" t="s">
        <v>1011</v>
      </c>
      <c r="T746" s="1" t="s">
        <v>1007</v>
      </c>
      <c r="U746" s="1" t="str">
        <f t="shared" si="59"/>
        <v>NO</v>
      </c>
    </row>
    <row r="747" spans="1:21" x14ac:dyDescent="0.3">
      <c r="A747" s="1" t="s">
        <v>933</v>
      </c>
      <c r="B747" s="1" t="s">
        <v>237</v>
      </c>
      <c r="C747" s="1" t="s">
        <v>238</v>
      </c>
      <c r="D747" s="1" t="s">
        <v>85</v>
      </c>
      <c r="E747" s="1" t="s">
        <v>1760</v>
      </c>
      <c r="F747" s="1" t="s">
        <v>1009</v>
      </c>
      <c r="G747" s="1" t="s">
        <v>1002</v>
      </c>
      <c r="H747" s="1">
        <v>12</v>
      </c>
      <c r="I747" s="1">
        <v>4</v>
      </c>
      <c r="J747" s="1" t="s">
        <v>2698</v>
      </c>
      <c r="K747" s="2">
        <v>130.74</v>
      </c>
      <c r="L747" s="6">
        <v>19</v>
      </c>
      <c r="M747" s="2">
        <f t="shared" si="55"/>
        <v>1568.88</v>
      </c>
      <c r="N747" s="2">
        <f t="shared" si="56"/>
        <v>298.0872</v>
      </c>
      <c r="O747" s="2">
        <f t="shared" si="57"/>
        <v>1270.7928000000002</v>
      </c>
      <c r="P747" s="1">
        <v>266</v>
      </c>
      <c r="Q747" s="2">
        <v>91.52</v>
      </c>
      <c r="R747" s="2">
        <f t="shared" si="58"/>
        <v>172.55280000000016</v>
      </c>
      <c r="S747" s="1" t="s">
        <v>1011</v>
      </c>
      <c r="T747" s="1" t="s">
        <v>1004</v>
      </c>
      <c r="U747" s="1" t="str">
        <f t="shared" si="59"/>
        <v>NO</v>
      </c>
    </row>
    <row r="748" spans="1:21" x14ac:dyDescent="0.3">
      <c r="A748" s="1" t="s">
        <v>934</v>
      </c>
      <c r="B748" s="1" t="s">
        <v>176</v>
      </c>
      <c r="C748" s="1" t="s">
        <v>177</v>
      </c>
      <c r="D748" s="1" t="s">
        <v>39</v>
      </c>
      <c r="E748" s="1" t="s">
        <v>1761</v>
      </c>
      <c r="F748" s="1" t="s">
        <v>1009</v>
      </c>
      <c r="G748" s="1" t="s">
        <v>1010</v>
      </c>
      <c r="H748" s="1">
        <v>12</v>
      </c>
      <c r="I748" s="1">
        <v>5</v>
      </c>
      <c r="J748" s="1" t="s">
        <v>2729</v>
      </c>
      <c r="K748" s="2">
        <v>463.19</v>
      </c>
      <c r="L748" s="6">
        <v>1</v>
      </c>
      <c r="M748" s="2">
        <f t="shared" si="55"/>
        <v>5558.28</v>
      </c>
      <c r="N748" s="2">
        <f t="shared" si="56"/>
        <v>55.582799999999999</v>
      </c>
      <c r="O748" s="2">
        <f t="shared" si="57"/>
        <v>5502.6971999999996</v>
      </c>
      <c r="P748" s="1">
        <v>160</v>
      </c>
      <c r="Q748" s="2">
        <v>324.23</v>
      </c>
      <c r="R748" s="2">
        <f t="shared" si="58"/>
        <v>1611.9371999999994</v>
      </c>
      <c r="S748" s="1" t="s">
        <v>1011</v>
      </c>
      <c r="T748" s="1" t="s">
        <v>1004</v>
      </c>
      <c r="U748" s="1" t="str">
        <f t="shared" si="59"/>
        <v>NO</v>
      </c>
    </row>
    <row r="749" spans="1:21" x14ac:dyDescent="0.3">
      <c r="A749" s="1" t="s">
        <v>935</v>
      </c>
      <c r="B749" s="1" t="s">
        <v>118</v>
      </c>
      <c r="C749" s="1" t="s">
        <v>119</v>
      </c>
      <c r="D749" s="1" t="s">
        <v>97</v>
      </c>
      <c r="E749" s="1" t="s">
        <v>1762</v>
      </c>
      <c r="F749" s="1" t="s">
        <v>1006</v>
      </c>
      <c r="G749" s="1" t="s">
        <v>1002</v>
      </c>
      <c r="H749" s="1">
        <v>6</v>
      </c>
      <c r="I749" s="1">
        <v>7</v>
      </c>
      <c r="J749" s="1" t="s">
        <v>2767</v>
      </c>
      <c r="K749" s="2">
        <v>329.02</v>
      </c>
      <c r="L749" s="6">
        <v>16</v>
      </c>
      <c r="M749" s="2">
        <f t="shared" si="55"/>
        <v>1974.12</v>
      </c>
      <c r="N749" s="2">
        <f t="shared" si="56"/>
        <v>315.85919999999999</v>
      </c>
      <c r="O749" s="2">
        <f t="shared" si="57"/>
        <v>1658.2608</v>
      </c>
      <c r="P749" s="1">
        <v>220</v>
      </c>
      <c r="Q749" s="2">
        <v>230.31</v>
      </c>
      <c r="R749" s="2">
        <f t="shared" si="58"/>
        <v>276.40079999999989</v>
      </c>
      <c r="S749" s="1" t="s">
        <v>1016</v>
      </c>
      <c r="T749" s="1" t="s">
        <v>1007</v>
      </c>
      <c r="U749" s="1" t="str">
        <f t="shared" si="59"/>
        <v>YES</v>
      </c>
    </row>
    <row r="750" spans="1:21" x14ac:dyDescent="0.3">
      <c r="A750" s="1" t="s">
        <v>936</v>
      </c>
      <c r="B750" s="1" t="s">
        <v>237</v>
      </c>
      <c r="C750" s="1" t="s">
        <v>238</v>
      </c>
      <c r="D750" s="1" t="s">
        <v>85</v>
      </c>
      <c r="E750" s="1" t="s">
        <v>1763</v>
      </c>
      <c r="F750" s="1" t="s">
        <v>1027</v>
      </c>
      <c r="G750" s="1" t="s">
        <v>1002</v>
      </c>
      <c r="H750" s="1">
        <v>3</v>
      </c>
      <c r="I750" s="1">
        <v>4</v>
      </c>
      <c r="J750" s="1" t="s">
        <v>2727</v>
      </c>
      <c r="K750" s="2">
        <v>82.67</v>
      </c>
      <c r="L750" s="6">
        <v>9</v>
      </c>
      <c r="M750" s="2">
        <f t="shared" si="55"/>
        <v>248.01</v>
      </c>
      <c r="N750" s="2">
        <f t="shared" si="56"/>
        <v>22.320900000000002</v>
      </c>
      <c r="O750" s="2">
        <f t="shared" si="57"/>
        <v>225.6891</v>
      </c>
      <c r="P750" s="1">
        <v>238</v>
      </c>
      <c r="Q750" s="2">
        <v>57.87</v>
      </c>
      <c r="R750" s="2">
        <f t="shared" si="58"/>
        <v>52.079100000000011</v>
      </c>
      <c r="S750" s="1" t="s">
        <v>1003</v>
      </c>
      <c r="T750" s="1" t="s">
        <v>1007</v>
      </c>
      <c r="U750" s="1" t="str">
        <f t="shared" si="59"/>
        <v>NO</v>
      </c>
    </row>
    <row r="751" spans="1:21" x14ac:dyDescent="0.3">
      <c r="A751" s="1" t="s">
        <v>937</v>
      </c>
      <c r="B751" s="1" t="s">
        <v>118</v>
      </c>
      <c r="C751" s="1" t="s">
        <v>119</v>
      </c>
      <c r="D751" s="1" t="s">
        <v>97</v>
      </c>
      <c r="E751" s="1" t="s">
        <v>1764</v>
      </c>
      <c r="F751" s="1" t="s">
        <v>1001</v>
      </c>
      <c r="G751" s="1" t="s">
        <v>1002</v>
      </c>
      <c r="H751" s="1">
        <v>3</v>
      </c>
      <c r="I751" s="1">
        <v>6</v>
      </c>
      <c r="J751" s="1" t="s">
        <v>2867</v>
      </c>
      <c r="K751" s="2">
        <v>147.22</v>
      </c>
      <c r="L751" s="6">
        <v>21</v>
      </c>
      <c r="M751" s="2">
        <f t="shared" si="55"/>
        <v>441.65999999999997</v>
      </c>
      <c r="N751" s="2">
        <f t="shared" si="56"/>
        <v>92.748599999999982</v>
      </c>
      <c r="O751" s="2">
        <f t="shared" si="57"/>
        <v>348.91139999999996</v>
      </c>
      <c r="P751" s="1">
        <v>275</v>
      </c>
      <c r="Q751" s="2">
        <v>103.05</v>
      </c>
      <c r="R751" s="2">
        <f t="shared" si="58"/>
        <v>39.761399999999981</v>
      </c>
      <c r="S751" s="1" t="s">
        <v>1003</v>
      </c>
      <c r="T751" s="1" t="s">
        <v>1004</v>
      </c>
      <c r="U751" s="1" t="str">
        <f t="shared" si="59"/>
        <v>NO</v>
      </c>
    </row>
    <row r="752" spans="1:21" x14ac:dyDescent="0.3">
      <c r="A752" s="1" t="s">
        <v>938</v>
      </c>
      <c r="B752" s="1" t="s">
        <v>95</v>
      </c>
      <c r="C752" s="1" t="s">
        <v>96</v>
      </c>
      <c r="D752" s="1" t="s">
        <v>97</v>
      </c>
      <c r="E752" s="1" t="s">
        <v>1765</v>
      </c>
      <c r="F752" s="1" t="s">
        <v>1013</v>
      </c>
      <c r="G752" s="1" t="s">
        <v>1010</v>
      </c>
      <c r="H752" s="1">
        <v>8</v>
      </c>
      <c r="I752" s="1">
        <v>4</v>
      </c>
      <c r="J752" s="1" t="s">
        <v>2573</v>
      </c>
      <c r="K752" s="2">
        <v>96.34</v>
      </c>
      <c r="L752" s="6">
        <v>7</v>
      </c>
      <c r="M752" s="2">
        <f t="shared" si="55"/>
        <v>770.72</v>
      </c>
      <c r="N752" s="2">
        <f t="shared" si="56"/>
        <v>53.950400000000002</v>
      </c>
      <c r="O752" s="2">
        <f t="shared" si="57"/>
        <v>716.76960000000008</v>
      </c>
      <c r="P752" s="1">
        <v>167</v>
      </c>
      <c r="Q752" s="2">
        <v>67.44</v>
      </c>
      <c r="R752" s="2">
        <f t="shared" si="58"/>
        <v>177.2496000000001</v>
      </c>
      <c r="S752" s="1" t="s">
        <v>1011</v>
      </c>
      <c r="T752" s="1" t="s">
        <v>1007</v>
      </c>
      <c r="U752" s="1" t="str">
        <f t="shared" si="59"/>
        <v>NO</v>
      </c>
    </row>
    <row r="753" spans="1:21" x14ac:dyDescent="0.3">
      <c r="A753" s="1" t="s">
        <v>939</v>
      </c>
      <c r="B753" s="1" t="s">
        <v>111</v>
      </c>
      <c r="C753" s="1" t="s">
        <v>112</v>
      </c>
      <c r="D753" s="1" t="s">
        <v>97</v>
      </c>
      <c r="E753" s="1" t="s">
        <v>1766</v>
      </c>
      <c r="F753" s="1" t="s">
        <v>1001</v>
      </c>
      <c r="G753" s="1" t="s">
        <v>1023</v>
      </c>
      <c r="H753" s="1">
        <v>7</v>
      </c>
      <c r="I753" s="1">
        <v>6</v>
      </c>
      <c r="J753" s="1" t="s">
        <v>2800</v>
      </c>
      <c r="K753" s="2">
        <v>466.49</v>
      </c>
      <c r="L753" s="6">
        <v>18</v>
      </c>
      <c r="M753" s="2">
        <f t="shared" si="55"/>
        <v>3265.4300000000003</v>
      </c>
      <c r="N753" s="2">
        <f t="shared" si="56"/>
        <v>587.77740000000006</v>
      </c>
      <c r="O753" s="2">
        <f t="shared" si="57"/>
        <v>2677.6526000000003</v>
      </c>
      <c r="P753" s="1">
        <v>49</v>
      </c>
      <c r="Q753" s="2">
        <v>326.54000000000002</v>
      </c>
      <c r="R753" s="2">
        <f t="shared" si="58"/>
        <v>391.87260000000015</v>
      </c>
      <c r="S753" s="1" t="s">
        <v>1003</v>
      </c>
      <c r="T753" s="1" t="s">
        <v>1007</v>
      </c>
      <c r="U753" s="1" t="str">
        <f t="shared" si="59"/>
        <v>NO</v>
      </c>
    </row>
    <row r="754" spans="1:21" x14ac:dyDescent="0.3">
      <c r="A754" s="1" t="s">
        <v>940</v>
      </c>
      <c r="B754" s="1" t="s">
        <v>123</v>
      </c>
      <c r="C754" s="1" t="s">
        <v>124</v>
      </c>
      <c r="D754" s="1" t="s">
        <v>47</v>
      </c>
      <c r="E754" s="1" t="s">
        <v>1767</v>
      </c>
      <c r="F754" s="1" t="s">
        <v>1027</v>
      </c>
      <c r="G754" s="1" t="s">
        <v>1010</v>
      </c>
      <c r="H754" s="1">
        <v>8</v>
      </c>
      <c r="I754" s="1">
        <v>4</v>
      </c>
      <c r="J754" s="1" t="s">
        <v>2813</v>
      </c>
      <c r="K754" s="2">
        <v>496.24</v>
      </c>
      <c r="L754" s="6">
        <v>1</v>
      </c>
      <c r="M754" s="2">
        <f t="shared" si="55"/>
        <v>3969.92</v>
      </c>
      <c r="N754" s="2">
        <f t="shared" si="56"/>
        <v>39.699199999999998</v>
      </c>
      <c r="O754" s="2">
        <f t="shared" si="57"/>
        <v>3930.2208000000001</v>
      </c>
      <c r="P754" s="1">
        <v>62</v>
      </c>
      <c r="Q754" s="2">
        <v>347.37</v>
      </c>
      <c r="R754" s="2">
        <f t="shared" si="58"/>
        <v>1151.2608</v>
      </c>
      <c r="S754" s="1" t="s">
        <v>1003</v>
      </c>
      <c r="T754" s="1" t="s">
        <v>1004</v>
      </c>
      <c r="U754" s="1" t="str">
        <f t="shared" si="59"/>
        <v>NO</v>
      </c>
    </row>
    <row r="755" spans="1:21" x14ac:dyDescent="0.3">
      <c r="A755" s="1" t="s">
        <v>941</v>
      </c>
      <c r="B755" s="1" t="s">
        <v>57</v>
      </c>
      <c r="C755" s="1" t="s">
        <v>58</v>
      </c>
      <c r="D755" s="1" t="s">
        <v>59</v>
      </c>
      <c r="E755" s="1" t="s">
        <v>1768</v>
      </c>
      <c r="F755" s="1" t="s">
        <v>1006</v>
      </c>
      <c r="G755" s="1" t="s">
        <v>1010</v>
      </c>
      <c r="H755" s="1">
        <v>9</v>
      </c>
      <c r="I755" s="1">
        <v>7</v>
      </c>
      <c r="J755" s="1" t="s">
        <v>2793</v>
      </c>
      <c r="K755" s="2">
        <v>236.36</v>
      </c>
      <c r="L755" s="6">
        <v>16</v>
      </c>
      <c r="M755" s="2">
        <f t="shared" si="55"/>
        <v>2127.2400000000002</v>
      </c>
      <c r="N755" s="2">
        <f t="shared" si="56"/>
        <v>340.35840000000002</v>
      </c>
      <c r="O755" s="2">
        <f t="shared" si="57"/>
        <v>1786.8816000000002</v>
      </c>
      <c r="P755" s="1">
        <v>136</v>
      </c>
      <c r="Q755" s="2">
        <v>165.45</v>
      </c>
      <c r="R755" s="2">
        <f t="shared" si="58"/>
        <v>297.83160000000021</v>
      </c>
      <c r="S755" s="1" t="s">
        <v>1003</v>
      </c>
      <c r="T755" s="1" t="s">
        <v>1007</v>
      </c>
      <c r="U755" s="1" t="str">
        <f t="shared" si="59"/>
        <v>NO</v>
      </c>
    </row>
    <row r="756" spans="1:21" x14ac:dyDescent="0.3">
      <c r="A756" s="1" t="s">
        <v>942</v>
      </c>
      <c r="B756" s="1" t="s">
        <v>83</v>
      </c>
      <c r="C756" s="1" t="s">
        <v>84</v>
      </c>
      <c r="D756" s="1" t="s">
        <v>85</v>
      </c>
      <c r="E756" s="1" t="s">
        <v>1769</v>
      </c>
      <c r="F756" s="1" t="s">
        <v>1020</v>
      </c>
      <c r="G756" s="1" t="s">
        <v>1023</v>
      </c>
      <c r="H756" s="1">
        <v>4</v>
      </c>
      <c r="I756" s="1">
        <v>1</v>
      </c>
      <c r="J756" s="1" t="s">
        <v>2698</v>
      </c>
      <c r="K756" s="2">
        <v>62.11</v>
      </c>
      <c r="L756" s="6">
        <v>17</v>
      </c>
      <c r="M756" s="2">
        <f t="shared" si="55"/>
        <v>248.44</v>
      </c>
      <c r="N756" s="2">
        <f t="shared" si="56"/>
        <v>42.234799999999993</v>
      </c>
      <c r="O756" s="2">
        <f t="shared" si="57"/>
        <v>206.20519999999999</v>
      </c>
      <c r="P756" s="1">
        <v>221</v>
      </c>
      <c r="Q756" s="2">
        <v>43.48</v>
      </c>
      <c r="R756" s="2">
        <f t="shared" si="58"/>
        <v>32.285200000000003</v>
      </c>
      <c r="S756" s="1" t="s">
        <v>1003</v>
      </c>
      <c r="T756" s="1" t="s">
        <v>1004</v>
      </c>
      <c r="U756" s="1" t="str">
        <f t="shared" si="59"/>
        <v>NO</v>
      </c>
    </row>
    <row r="757" spans="1:21" x14ac:dyDescent="0.3">
      <c r="A757" s="1" t="s">
        <v>943</v>
      </c>
      <c r="B757" s="1" t="s">
        <v>143</v>
      </c>
      <c r="C757" s="1" t="s">
        <v>144</v>
      </c>
      <c r="D757" s="1" t="s">
        <v>47</v>
      </c>
      <c r="E757" s="1" t="s">
        <v>1770</v>
      </c>
      <c r="F757" s="1" t="s">
        <v>1027</v>
      </c>
      <c r="G757" s="1" t="s">
        <v>1010</v>
      </c>
      <c r="H757" s="1">
        <v>1</v>
      </c>
      <c r="I757" s="1">
        <v>3</v>
      </c>
      <c r="J757" s="1" t="s">
        <v>2664</v>
      </c>
      <c r="K757" s="2">
        <v>399.1</v>
      </c>
      <c r="L757" s="6">
        <v>12</v>
      </c>
      <c r="M757" s="2">
        <f t="shared" si="55"/>
        <v>399.1</v>
      </c>
      <c r="N757" s="2">
        <f t="shared" si="56"/>
        <v>47.89200000000001</v>
      </c>
      <c r="O757" s="2">
        <f t="shared" si="57"/>
        <v>351.20800000000003</v>
      </c>
      <c r="P757" s="1">
        <v>235</v>
      </c>
      <c r="Q757" s="2">
        <v>279.37</v>
      </c>
      <c r="R757" s="2">
        <f t="shared" si="58"/>
        <v>71.838000000000022</v>
      </c>
      <c r="S757" s="1" t="s">
        <v>1003</v>
      </c>
      <c r="T757" s="1" t="s">
        <v>1004</v>
      </c>
      <c r="U757" s="1" t="str">
        <f t="shared" si="59"/>
        <v>NO</v>
      </c>
    </row>
    <row r="758" spans="1:21" x14ac:dyDescent="0.3">
      <c r="A758" s="1" t="s">
        <v>944</v>
      </c>
      <c r="B758" s="1" t="s">
        <v>118</v>
      </c>
      <c r="C758" s="1" t="s">
        <v>119</v>
      </c>
      <c r="D758" s="1" t="s">
        <v>97</v>
      </c>
      <c r="E758" s="1" t="s">
        <v>1771</v>
      </c>
      <c r="F758" s="1" t="s">
        <v>1020</v>
      </c>
      <c r="G758" s="1" t="s">
        <v>1023</v>
      </c>
      <c r="H758" s="1">
        <v>2</v>
      </c>
      <c r="I758" s="1">
        <v>7</v>
      </c>
      <c r="J758" s="1" t="s">
        <v>2530</v>
      </c>
      <c r="K758" s="2">
        <v>452.76</v>
      </c>
      <c r="L758" s="6">
        <v>17</v>
      </c>
      <c r="M758" s="2">
        <f t="shared" si="55"/>
        <v>905.52</v>
      </c>
      <c r="N758" s="2">
        <f t="shared" si="56"/>
        <v>153.9384</v>
      </c>
      <c r="O758" s="2">
        <f t="shared" si="57"/>
        <v>751.58159999999998</v>
      </c>
      <c r="P758" s="1">
        <v>202</v>
      </c>
      <c r="Q758" s="2">
        <v>316.93</v>
      </c>
      <c r="R758" s="2">
        <f t="shared" si="58"/>
        <v>117.72159999999997</v>
      </c>
      <c r="S758" s="1" t="s">
        <v>1011</v>
      </c>
      <c r="T758" s="1" t="s">
        <v>1004</v>
      </c>
      <c r="U758" s="1" t="str">
        <f t="shared" si="59"/>
        <v>NO</v>
      </c>
    </row>
    <row r="759" spans="1:21" x14ac:dyDescent="0.3">
      <c r="A759" s="1" t="s">
        <v>945</v>
      </c>
      <c r="B759" s="1" t="s">
        <v>118</v>
      </c>
      <c r="C759" s="1" t="s">
        <v>119</v>
      </c>
      <c r="D759" s="1" t="s">
        <v>97</v>
      </c>
      <c r="E759" s="1" t="s">
        <v>1772</v>
      </c>
      <c r="F759" s="1" t="s">
        <v>1001</v>
      </c>
      <c r="G759" s="1" t="s">
        <v>1002</v>
      </c>
      <c r="H759" s="1">
        <v>11</v>
      </c>
      <c r="I759" s="1">
        <v>5</v>
      </c>
      <c r="J759" s="1" t="s">
        <v>2868</v>
      </c>
      <c r="K759" s="2">
        <v>144.35</v>
      </c>
      <c r="L759" s="6">
        <v>25</v>
      </c>
      <c r="M759" s="2">
        <f t="shared" si="55"/>
        <v>1587.85</v>
      </c>
      <c r="N759" s="2">
        <f t="shared" si="56"/>
        <v>396.96249999999998</v>
      </c>
      <c r="O759" s="2">
        <f t="shared" si="57"/>
        <v>1190.8874999999998</v>
      </c>
      <c r="P759" s="1">
        <v>127</v>
      </c>
      <c r="Q759" s="2">
        <v>101.04</v>
      </c>
      <c r="R759" s="2">
        <f t="shared" si="58"/>
        <v>79.447499999999764</v>
      </c>
      <c r="S759" s="1" t="s">
        <v>1003</v>
      </c>
      <c r="T759" s="1" t="s">
        <v>1007</v>
      </c>
      <c r="U759" s="1" t="str">
        <f t="shared" si="59"/>
        <v>NO</v>
      </c>
    </row>
    <row r="760" spans="1:21" x14ac:dyDescent="0.3">
      <c r="A760" s="1" t="s">
        <v>946</v>
      </c>
      <c r="B760" s="1" t="s">
        <v>111</v>
      </c>
      <c r="C760" s="1" t="s">
        <v>112</v>
      </c>
      <c r="D760" s="1" t="s">
        <v>97</v>
      </c>
      <c r="E760" s="1" t="s">
        <v>1773</v>
      </c>
      <c r="F760" s="1" t="s">
        <v>1001</v>
      </c>
      <c r="G760" s="1" t="s">
        <v>1010</v>
      </c>
      <c r="H760" s="1">
        <v>1</v>
      </c>
      <c r="I760" s="1">
        <v>4</v>
      </c>
      <c r="J760" s="1" t="s">
        <v>2627</v>
      </c>
      <c r="K760" s="2">
        <v>217.9</v>
      </c>
      <c r="L760" s="6">
        <v>3</v>
      </c>
      <c r="M760" s="2">
        <f t="shared" si="55"/>
        <v>217.9</v>
      </c>
      <c r="N760" s="2">
        <f t="shared" si="56"/>
        <v>6.5370000000000008</v>
      </c>
      <c r="O760" s="2">
        <f t="shared" si="57"/>
        <v>211.363</v>
      </c>
      <c r="P760" s="1">
        <v>128</v>
      </c>
      <c r="Q760" s="2">
        <v>152.53</v>
      </c>
      <c r="R760" s="2">
        <f t="shared" si="58"/>
        <v>58.832999999999998</v>
      </c>
      <c r="S760" s="1" t="s">
        <v>1003</v>
      </c>
      <c r="T760" s="1" t="s">
        <v>1007</v>
      </c>
      <c r="U760" s="1" t="str">
        <f t="shared" si="59"/>
        <v>NO</v>
      </c>
    </row>
    <row r="761" spans="1:21" x14ac:dyDescent="0.3">
      <c r="A761" s="1" t="s">
        <v>947</v>
      </c>
      <c r="B761" s="1" t="s">
        <v>37</v>
      </c>
      <c r="C761" s="1" t="s">
        <v>38</v>
      </c>
      <c r="D761" s="1" t="s">
        <v>39</v>
      </c>
      <c r="E761" s="1" t="s">
        <v>1774</v>
      </c>
      <c r="F761" s="1" t="s">
        <v>1013</v>
      </c>
      <c r="G761" s="1" t="s">
        <v>1010</v>
      </c>
      <c r="H761" s="1">
        <v>5</v>
      </c>
      <c r="I761" s="1">
        <v>3</v>
      </c>
      <c r="J761" s="1" t="s">
        <v>2869</v>
      </c>
      <c r="K761" s="2">
        <v>291.08</v>
      </c>
      <c r="L761" s="6">
        <v>7</v>
      </c>
      <c r="M761" s="2">
        <f t="shared" si="55"/>
        <v>1455.3999999999999</v>
      </c>
      <c r="N761" s="2">
        <f t="shared" si="56"/>
        <v>101.87799999999999</v>
      </c>
      <c r="O761" s="2">
        <f t="shared" si="57"/>
        <v>1353.5219999999999</v>
      </c>
      <c r="P761" s="1">
        <v>162</v>
      </c>
      <c r="Q761" s="2">
        <v>203.76</v>
      </c>
      <c r="R761" s="2">
        <f t="shared" si="58"/>
        <v>334.72199999999998</v>
      </c>
      <c r="S761" s="1" t="s">
        <v>1003</v>
      </c>
      <c r="T761" s="1" t="s">
        <v>1004</v>
      </c>
      <c r="U761" s="1" t="str">
        <f t="shared" si="59"/>
        <v>NO</v>
      </c>
    </row>
    <row r="762" spans="1:21" x14ac:dyDescent="0.3">
      <c r="A762" s="1" t="s">
        <v>948</v>
      </c>
      <c r="B762" s="1" t="s">
        <v>262</v>
      </c>
      <c r="C762" s="1" t="s">
        <v>263</v>
      </c>
      <c r="D762" s="1" t="s">
        <v>104</v>
      </c>
      <c r="E762" s="1" t="s">
        <v>1775</v>
      </c>
      <c r="F762" s="1" t="s">
        <v>1027</v>
      </c>
      <c r="G762" s="1" t="s">
        <v>1010</v>
      </c>
      <c r="H762" s="1">
        <v>12</v>
      </c>
      <c r="I762" s="1">
        <v>5</v>
      </c>
      <c r="J762" s="1" t="s">
        <v>2649</v>
      </c>
      <c r="K762" s="2">
        <v>216.22</v>
      </c>
      <c r="L762" s="6">
        <v>20</v>
      </c>
      <c r="M762" s="2">
        <f t="shared" si="55"/>
        <v>2594.64</v>
      </c>
      <c r="N762" s="2">
        <f t="shared" si="56"/>
        <v>518.928</v>
      </c>
      <c r="O762" s="2">
        <f t="shared" si="57"/>
        <v>2075.712</v>
      </c>
      <c r="P762" s="1">
        <v>128</v>
      </c>
      <c r="Q762" s="2">
        <v>151.35</v>
      </c>
      <c r="R762" s="2">
        <f t="shared" si="58"/>
        <v>259.51200000000017</v>
      </c>
      <c r="S762" s="1" t="s">
        <v>1011</v>
      </c>
      <c r="T762" s="1" t="s">
        <v>1007</v>
      </c>
      <c r="U762" s="1" t="str">
        <f t="shared" si="59"/>
        <v>NO</v>
      </c>
    </row>
    <row r="763" spans="1:21" x14ac:dyDescent="0.3">
      <c r="A763" s="1" t="s">
        <v>949</v>
      </c>
      <c r="B763" s="1" t="s">
        <v>77</v>
      </c>
      <c r="C763" s="1" t="s">
        <v>78</v>
      </c>
      <c r="D763" s="1" t="s">
        <v>47</v>
      </c>
      <c r="E763" s="1" t="s">
        <v>1776</v>
      </c>
      <c r="F763" s="1" t="s">
        <v>1009</v>
      </c>
      <c r="G763" s="1" t="s">
        <v>1023</v>
      </c>
      <c r="H763" s="1">
        <v>13</v>
      </c>
      <c r="I763" s="1">
        <v>6</v>
      </c>
      <c r="J763" s="1" t="s">
        <v>2744</v>
      </c>
      <c r="K763" s="2">
        <v>195.28</v>
      </c>
      <c r="L763" s="6">
        <v>0</v>
      </c>
      <c r="M763" s="2">
        <f t="shared" si="55"/>
        <v>2538.64</v>
      </c>
      <c r="N763" s="2">
        <f t="shared" si="56"/>
        <v>0</v>
      </c>
      <c r="O763" s="2">
        <f t="shared" si="57"/>
        <v>2538.64</v>
      </c>
      <c r="P763" s="1">
        <v>175</v>
      </c>
      <c r="Q763" s="2">
        <v>136.69999999999999</v>
      </c>
      <c r="R763" s="2">
        <f t="shared" si="58"/>
        <v>761.54</v>
      </c>
      <c r="S763" s="1" t="s">
        <v>1003</v>
      </c>
      <c r="T763" s="1" t="s">
        <v>1004</v>
      </c>
      <c r="U763" s="1" t="str">
        <f t="shared" si="59"/>
        <v>NO</v>
      </c>
    </row>
    <row r="764" spans="1:21" x14ac:dyDescent="0.3">
      <c r="A764" s="1" t="s">
        <v>950</v>
      </c>
      <c r="B764" s="1" t="s">
        <v>197</v>
      </c>
      <c r="C764" s="1" t="s">
        <v>198</v>
      </c>
      <c r="D764" s="1" t="s">
        <v>104</v>
      </c>
      <c r="E764" s="1" t="s">
        <v>1777</v>
      </c>
      <c r="F764" s="1" t="s">
        <v>1009</v>
      </c>
      <c r="G764" s="1" t="s">
        <v>1010</v>
      </c>
      <c r="H764" s="1">
        <v>2</v>
      </c>
      <c r="I764" s="1">
        <v>4</v>
      </c>
      <c r="J764" s="1" t="s">
        <v>2708</v>
      </c>
      <c r="K764" s="2">
        <v>351.13</v>
      </c>
      <c r="L764" s="6">
        <v>23</v>
      </c>
      <c r="M764" s="2">
        <f t="shared" si="55"/>
        <v>702.26</v>
      </c>
      <c r="N764" s="2">
        <f t="shared" si="56"/>
        <v>161.5198</v>
      </c>
      <c r="O764" s="2">
        <f t="shared" si="57"/>
        <v>540.74019999999996</v>
      </c>
      <c r="P764" s="1">
        <v>180</v>
      </c>
      <c r="Q764" s="2">
        <v>245.79</v>
      </c>
      <c r="R764" s="2">
        <f t="shared" si="58"/>
        <v>49.160199999999975</v>
      </c>
      <c r="S764" s="1" t="s">
        <v>1011</v>
      </c>
      <c r="T764" s="1" t="s">
        <v>1004</v>
      </c>
      <c r="U764" s="1" t="str">
        <f t="shared" si="59"/>
        <v>NO</v>
      </c>
    </row>
    <row r="765" spans="1:21" x14ac:dyDescent="0.3">
      <c r="A765" s="1" t="s">
        <v>951</v>
      </c>
      <c r="B765" s="1" t="s">
        <v>123</v>
      </c>
      <c r="C765" s="1" t="s">
        <v>124</v>
      </c>
      <c r="D765" s="1" t="s">
        <v>47</v>
      </c>
      <c r="E765" s="1" t="s">
        <v>1778</v>
      </c>
      <c r="F765" s="1" t="s">
        <v>1027</v>
      </c>
      <c r="G765" s="1" t="s">
        <v>1023</v>
      </c>
      <c r="H765" s="1">
        <v>11</v>
      </c>
      <c r="I765" s="1">
        <v>5</v>
      </c>
      <c r="J765" s="1" t="s">
        <v>2870</v>
      </c>
      <c r="K765" s="2">
        <v>157.15</v>
      </c>
      <c r="L765" s="6">
        <v>6</v>
      </c>
      <c r="M765" s="2">
        <f t="shared" si="55"/>
        <v>1728.65</v>
      </c>
      <c r="N765" s="2">
        <f t="shared" si="56"/>
        <v>103.71900000000001</v>
      </c>
      <c r="O765" s="2">
        <f t="shared" si="57"/>
        <v>1624.931</v>
      </c>
      <c r="P765" s="1">
        <v>188</v>
      </c>
      <c r="Q765" s="2">
        <v>110</v>
      </c>
      <c r="R765" s="2">
        <f t="shared" si="58"/>
        <v>414.93100000000004</v>
      </c>
      <c r="S765" s="1" t="s">
        <v>1016</v>
      </c>
      <c r="T765" s="1" t="s">
        <v>1004</v>
      </c>
      <c r="U765" s="1" t="str">
        <f t="shared" si="59"/>
        <v>YES</v>
      </c>
    </row>
    <row r="766" spans="1:21" x14ac:dyDescent="0.3">
      <c r="A766" s="1" t="s">
        <v>952</v>
      </c>
      <c r="B766" s="1" t="s">
        <v>111</v>
      </c>
      <c r="C766" s="1" t="s">
        <v>112</v>
      </c>
      <c r="D766" s="1" t="s">
        <v>97</v>
      </c>
      <c r="E766" s="1" t="s">
        <v>1779</v>
      </c>
      <c r="F766" s="1" t="s">
        <v>1013</v>
      </c>
      <c r="G766" s="1" t="s">
        <v>1010</v>
      </c>
      <c r="H766" s="1">
        <v>4</v>
      </c>
      <c r="I766" s="1">
        <v>7</v>
      </c>
      <c r="J766" s="1" t="s">
        <v>2869</v>
      </c>
      <c r="K766" s="2">
        <v>404.99</v>
      </c>
      <c r="L766" s="6">
        <v>8</v>
      </c>
      <c r="M766" s="2">
        <f t="shared" si="55"/>
        <v>1619.96</v>
      </c>
      <c r="N766" s="2">
        <f t="shared" si="56"/>
        <v>129.5968</v>
      </c>
      <c r="O766" s="2">
        <f t="shared" si="57"/>
        <v>1490.3632</v>
      </c>
      <c r="P766" s="1">
        <v>83</v>
      </c>
      <c r="Q766" s="2">
        <v>283.49</v>
      </c>
      <c r="R766" s="2">
        <f t="shared" si="58"/>
        <v>356.40319999999997</v>
      </c>
      <c r="S766" s="1" t="s">
        <v>1016</v>
      </c>
      <c r="T766" s="1" t="s">
        <v>1007</v>
      </c>
      <c r="U766" s="1" t="str">
        <f t="shared" si="59"/>
        <v>YES</v>
      </c>
    </row>
    <row r="767" spans="1:21" x14ac:dyDescent="0.3">
      <c r="A767" s="1" t="s">
        <v>953</v>
      </c>
      <c r="B767" s="1" t="s">
        <v>176</v>
      </c>
      <c r="C767" s="1" t="s">
        <v>177</v>
      </c>
      <c r="D767" s="1" t="s">
        <v>39</v>
      </c>
      <c r="E767" s="1" t="s">
        <v>1780</v>
      </c>
      <c r="F767" s="1" t="s">
        <v>1006</v>
      </c>
      <c r="G767" s="1" t="s">
        <v>1010</v>
      </c>
      <c r="H767" s="1">
        <v>13</v>
      </c>
      <c r="I767" s="1">
        <v>2</v>
      </c>
      <c r="J767" s="1" t="s">
        <v>2711</v>
      </c>
      <c r="K767" s="2">
        <v>381.59</v>
      </c>
      <c r="L767" s="6">
        <v>8</v>
      </c>
      <c r="M767" s="2">
        <f t="shared" si="55"/>
        <v>4960.67</v>
      </c>
      <c r="N767" s="2">
        <f t="shared" si="56"/>
        <v>396.85360000000003</v>
      </c>
      <c r="O767" s="2">
        <f t="shared" si="57"/>
        <v>4563.8163999999997</v>
      </c>
      <c r="P767" s="1">
        <v>208</v>
      </c>
      <c r="Q767" s="2">
        <v>267.11</v>
      </c>
      <c r="R767" s="2">
        <f t="shared" si="58"/>
        <v>1091.3863999999994</v>
      </c>
      <c r="S767" s="1" t="s">
        <v>1003</v>
      </c>
      <c r="T767" s="1" t="s">
        <v>1004</v>
      </c>
      <c r="U767" s="1" t="str">
        <f t="shared" si="59"/>
        <v>NO</v>
      </c>
    </row>
    <row r="768" spans="1:21" x14ac:dyDescent="0.3">
      <c r="A768" s="1" t="s">
        <v>954</v>
      </c>
      <c r="B768" s="1" t="s">
        <v>237</v>
      </c>
      <c r="C768" s="1" t="s">
        <v>238</v>
      </c>
      <c r="D768" s="1" t="s">
        <v>85</v>
      </c>
      <c r="E768" s="1" t="s">
        <v>1781</v>
      </c>
      <c r="F768" s="1" t="s">
        <v>1013</v>
      </c>
      <c r="G768" s="1" t="s">
        <v>1002</v>
      </c>
      <c r="H768" s="1">
        <v>14</v>
      </c>
      <c r="I768" s="1">
        <v>4</v>
      </c>
      <c r="J768" s="1" t="s">
        <v>2821</v>
      </c>
      <c r="K768" s="2">
        <v>228.66</v>
      </c>
      <c r="L768" s="6">
        <v>2</v>
      </c>
      <c r="M768" s="2">
        <f t="shared" si="55"/>
        <v>3201.24</v>
      </c>
      <c r="N768" s="2">
        <f t="shared" si="56"/>
        <v>64.024799999999999</v>
      </c>
      <c r="O768" s="2">
        <f t="shared" si="57"/>
        <v>3137.2151999999996</v>
      </c>
      <c r="P768" s="1">
        <v>139</v>
      </c>
      <c r="Q768" s="2">
        <v>160.06</v>
      </c>
      <c r="R768" s="2">
        <f t="shared" si="58"/>
        <v>896.3751999999995</v>
      </c>
      <c r="S768" s="1" t="s">
        <v>1011</v>
      </c>
      <c r="T768" s="1" t="s">
        <v>1007</v>
      </c>
      <c r="U768" s="1" t="str">
        <f t="shared" si="59"/>
        <v>NO</v>
      </c>
    </row>
    <row r="769" spans="1:21" x14ac:dyDescent="0.3">
      <c r="A769" s="1" t="s">
        <v>955</v>
      </c>
      <c r="B769" s="1" t="s">
        <v>143</v>
      </c>
      <c r="C769" s="1" t="s">
        <v>144</v>
      </c>
      <c r="D769" s="1" t="s">
        <v>47</v>
      </c>
      <c r="E769" s="1" t="s">
        <v>1782</v>
      </c>
      <c r="F769" s="1" t="s">
        <v>1001</v>
      </c>
      <c r="G769" s="1" t="s">
        <v>1010</v>
      </c>
      <c r="H769" s="1">
        <v>4</v>
      </c>
      <c r="I769" s="1">
        <v>2</v>
      </c>
      <c r="J769" s="1" t="s">
        <v>2657</v>
      </c>
      <c r="K769" s="2">
        <v>227.57</v>
      </c>
      <c r="L769" s="6">
        <v>20</v>
      </c>
      <c r="M769" s="2">
        <f t="shared" si="55"/>
        <v>910.28</v>
      </c>
      <c r="N769" s="2">
        <f t="shared" si="56"/>
        <v>182.05599999999998</v>
      </c>
      <c r="O769" s="2">
        <f t="shared" si="57"/>
        <v>728.22399999999993</v>
      </c>
      <c r="P769" s="1">
        <v>75</v>
      </c>
      <c r="Q769" s="2">
        <v>159.30000000000001</v>
      </c>
      <c r="R769" s="2">
        <f t="shared" si="58"/>
        <v>91.023999999999887</v>
      </c>
      <c r="S769" s="1" t="s">
        <v>1016</v>
      </c>
      <c r="T769" s="1" t="s">
        <v>1004</v>
      </c>
      <c r="U769" s="1" t="str">
        <f t="shared" si="59"/>
        <v>YES</v>
      </c>
    </row>
    <row r="770" spans="1:21" x14ac:dyDescent="0.3">
      <c r="A770" s="1" t="s">
        <v>956</v>
      </c>
      <c r="B770" s="1" t="s">
        <v>45</v>
      </c>
      <c r="C770" s="1" t="s">
        <v>46</v>
      </c>
      <c r="D770" s="1" t="s">
        <v>47</v>
      </c>
      <c r="E770" s="1" t="s">
        <v>1783</v>
      </c>
      <c r="F770" s="1" t="s">
        <v>1001</v>
      </c>
      <c r="G770" s="1" t="s">
        <v>1010</v>
      </c>
      <c r="H770" s="1">
        <v>2</v>
      </c>
      <c r="I770" s="1">
        <v>2</v>
      </c>
      <c r="J770" s="1" t="s">
        <v>2516</v>
      </c>
      <c r="K770" s="2">
        <v>220.07</v>
      </c>
      <c r="L770" s="6">
        <v>21</v>
      </c>
      <c r="M770" s="2">
        <f t="shared" ref="M770:M801" si="60">H770*K770</f>
        <v>440.14</v>
      </c>
      <c r="N770" s="2">
        <f t="shared" ref="N770:N801" si="61">M770*L770/100</f>
        <v>92.429400000000001</v>
      </c>
      <c r="O770" s="2">
        <f t="shared" ref="O770:O801" si="62">M770-N770</f>
        <v>347.7106</v>
      </c>
      <c r="P770" s="1">
        <v>262</v>
      </c>
      <c r="Q770" s="2">
        <v>154.05000000000001</v>
      </c>
      <c r="R770" s="2">
        <f t="shared" ref="R770:R801" si="63">O770-(H770*Q770)</f>
        <v>39.610599999999977</v>
      </c>
      <c r="S770" s="1" t="s">
        <v>1016</v>
      </c>
      <c r="T770" s="1" t="s">
        <v>1004</v>
      </c>
      <c r="U770" s="1" t="str">
        <f t="shared" ref="U770:U801" si="64">IF(S770="Delivered","YES","NO")</f>
        <v>YES</v>
      </c>
    </row>
    <row r="771" spans="1:21" x14ac:dyDescent="0.3">
      <c r="A771" s="1" t="s">
        <v>957</v>
      </c>
      <c r="B771" s="1" t="s">
        <v>166</v>
      </c>
      <c r="C771" s="1" t="s">
        <v>167</v>
      </c>
      <c r="D771" s="1" t="s">
        <v>59</v>
      </c>
      <c r="E771" s="1" t="s">
        <v>1784</v>
      </c>
      <c r="F771" s="1" t="s">
        <v>1027</v>
      </c>
      <c r="G771" s="1" t="s">
        <v>1002</v>
      </c>
      <c r="H771" s="1">
        <v>14</v>
      </c>
      <c r="I771" s="1">
        <v>7</v>
      </c>
      <c r="J771" s="1" t="s">
        <v>2705</v>
      </c>
      <c r="K771" s="2">
        <v>190.09</v>
      </c>
      <c r="L771" s="6">
        <v>10</v>
      </c>
      <c r="M771" s="2">
        <f t="shared" si="60"/>
        <v>2661.26</v>
      </c>
      <c r="N771" s="2">
        <f t="shared" si="61"/>
        <v>266.12600000000003</v>
      </c>
      <c r="O771" s="2">
        <f t="shared" si="62"/>
        <v>2395.134</v>
      </c>
      <c r="P771" s="1">
        <v>79</v>
      </c>
      <c r="Q771" s="2">
        <v>133.06</v>
      </c>
      <c r="R771" s="2">
        <f t="shared" si="63"/>
        <v>532.29399999999987</v>
      </c>
      <c r="S771" s="1" t="s">
        <v>1003</v>
      </c>
      <c r="T771" s="1" t="s">
        <v>1007</v>
      </c>
      <c r="U771" s="1" t="str">
        <f t="shared" si="64"/>
        <v>NO</v>
      </c>
    </row>
    <row r="772" spans="1:21" x14ac:dyDescent="0.3">
      <c r="A772" s="1" t="s">
        <v>958</v>
      </c>
      <c r="B772" s="1" t="s">
        <v>63</v>
      </c>
      <c r="C772" s="1" t="s">
        <v>64</v>
      </c>
      <c r="D772" s="1" t="s">
        <v>28</v>
      </c>
      <c r="E772" s="1" t="s">
        <v>1785</v>
      </c>
      <c r="F772" s="1" t="s">
        <v>1006</v>
      </c>
      <c r="G772" s="1" t="s">
        <v>1002</v>
      </c>
      <c r="H772" s="1">
        <v>9</v>
      </c>
      <c r="I772" s="1">
        <v>5</v>
      </c>
      <c r="J772" s="1" t="s">
        <v>2586</v>
      </c>
      <c r="K772" s="2">
        <v>40.700000000000003</v>
      </c>
      <c r="L772" s="6">
        <v>14</v>
      </c>
      <c r="M772" s="2">
        <f t="shared" si="60"/>
        <v>366.3</v>
      </c>
      <c r="N772" s="2">
        <f t="shared" si="61"/>
        <v>51.281999999999996</v>
      </c>
      <c r="O772" s="2">
        <f t="shared" si="62"/>
        <v>315.01800000000003</v>
      </c>
      <c r="P772" s="1">
        <v>198</v>
      </c>
      <c r="Q772" s="2">
        <v>28.49</v>
      </c>
      <c r="R772" s="2">
        <f t="shared" si="63"/>
        <v>58.608000000000061</v>
      </c>
      <c r="S772" s="1" t="s">
        <v>1016</v>
      </c>
      <c r="T772" s="1" t="s">
        <v>1007</v>
      </c>
      <c r="U772" s="1" t="str">
        <f t="shared" si="64"/>
        <v>YES</v>
      </c>
    </row>
    <row r="773" spans="1:21" x14ac:dyDescent="0.3">
      <c r="A773" s="1" t="s">
        <v>959</v>
      </c>
      <c r="B773" s="1" t="s">
        <v>237</v>
      </c>
      <c r="C773" s="1" t="s">
        <v>238</v>
      </c>
      <c r="D773" s="1" t="s">
        <v>85</v>
      </c>
      <c r="E773" s="1" t="s">
        <v>1786</v>
      </c>
      <c r="F773" s="1" t="s">
        <v>1015</v>
      </c>
      <c r="G773" s="1" t="s">
        <v>1002</v>
      </c>
      <c r="H773" s="1">
        <v>14</v>
      </c>
      <c r="I773" s="1">
        <v>5</v>
      </c>
      <c r="J773" s="1" t="s">
        <v>2808</v>
      </c>
      <c r="K773" s="2">
        <v>499.31</v>
      </c>
      <c r="L773" s="6">
        <v>20</v>
      </c>
      <c r="M773" s="2">
        <f t="shared" si="60"/>
        <v>6990.34</v>
      </c>
      <c r="N773" s="2">
        <f t="shared" si="61"/>
        <v>1398.068</v>
      </c>
      <c r="O773" s="2">
        <f t="shared" si="62"/>
        <v>5592.2719999999999</v>
      </c>
      <c r="P773" s="1">
        <v>87</v>
      </c>
      <c r="Q773" s="2">
        <v>349.52</v>
      </c>
      <c r="R773" s="2">
        <f t="shared" si="63"/>
        <v>698.99200000000019</v>
      </c>
      <c r="S773" s="1" t="s">
        <v>1011</v>
      </c>
      <c r="T773" s="1" t="s">
        <v>1004</v>
      </c>
      <c r="U773" s="1" t="str">
        <f t="shared" si="64"/>
        <v>NO</v>
      </c>
    </row>
    <row r="774" spans="1:21" x14ac:dyDescent="0.3">
      <c r="A774" s="1" t="s">
        <v>960</v>
      </c>
      <c r="B774" s="1" t="s">
        <v>72</v>
      </c>
      <c r="C774" s="1" t="s">
        <v>73</v>
      </c>
      <c r="D774" s="1" t="s">
        <v>47</v>
      </c>
      <c r="E774" s="1" t="s">
        <v>1787</v>
      </c>
      <c r="F774" s="1" t="s">
        <v>1020</v>
      </c>
      <c r="G774" s="1" t="s">
        <v>1002</v>
      </c>
      <c r="H774" s="1">
        <v>12</v>
      </c>
      <c r="I774" s="1">
        <v>6</v>
      </c>
      <c r="J774" s="1" t="s">
        <v>2776</v>
      </c>
      <c r="K774" s="2">
        <v>262.27999999999997</v>
      </c>
      <c r="L774" s="6">
        <v>17</v>
      </c>
      <c r="M774" s="2">
        <f t="shared" si="60"/>
        <v>3147.3599999999997</v>
      </c>
      <c r="N774" s="2">
        <f t="shared" si="61"/>
        <v>535.05119999999999</v>
      </c>
      <c r="O774" s="2">
        <f t="shared" si="62"/>
        <v>2612.3087999999998</v>
      </c>
      <c r="P774" s="1">
        <v>260</v>
      </c>
      <c r="Q774" s="2">
        <v>183.6</v>
      </c>
      <c r="R774" s="2">
        <f t="shared" si="63"/>
        <v>409.10879999999997</v>
      </c>
      <c r="S774" s="1" t="s">
        <v>1003</v>
      </c>
      <c r="T774" s="1" t="s">
        <v>1007</v>
      </c>
      <c r="U774" s="1" t="str">
        <f t="shared" si="64"/>
        <v>NO</v>
      </c>
    </row>
    <row r="775" spans="1:21" x14ac:dyDescent="0.3">
      <c r="A775" s="1" t="s">
        <v>961</v>
      </c>
      <c r="B775" s="1" t="s">
        <v>45</v>
      </c>
      <c r="C775" s="1" t="s">
        <v>46</v>
      </c>
      <c r="D775" s="1" t="s">
        <v>47</v>
      </c>
      <c r="E775" s="1" t="s">
        <v>1788</v>
      </c>
      <c r="F775" s="1" t="s">
        <v>1001</v>
      </c>
      <c r="G775" s="1" t="s">
        <v>1023</v>
      </c>
      <c r="H775" s="1">
        <v>14</v>
      </c>
      <c r="I775" s="1">
        <v>7</v>
      </c>
      <c r="J775" s="1" t="s">
        <v>2871</v>
      </c>
      <c r="K775" s="2">
        <v>363.19</v>
      </c>
      <c r="L775" s="6">
        <v>13</v>
      </c>
      <c r="M775" s="2">
        <f t="shared" si="60"/>
        <v>5084.66</v>
      </c>
      <c r="N775" s="2">
        <f t="shared" si="61"/>
        <v>661.00580000000002</v>
      </c>
      <c r="O775" s="2">
        <f t="shared" si="62"/>
        <v>4423.6541999999999</v>
      </c>
      <c r="P775" s="1">
        <v>126</v>
      </c>
      <c r="Q775" s="2">
        <v>254.23</v>
      </c>
      <c r="R775" s="2">
        <f t="shared" si="63"/>
        <v>864.43420000000015</v>
      </c>
      <c r="S775" s="1" t="s">
        <v>1016</v>
      </c>
      <c r="T775" s="1" t="s">
        <v>1004</v>
      </c>
      <c r="U775" s="1" t="str">
        <f t="shared" si="64"/>
        <v>YES</v>
      </c>
    </row>
    <row r="776" spans="1:21" x14ac:dyDescent="0.3">
      <c r="A776" s="1" t="s">
        <v>962</v>
      </c>
      <c r="B776" s="1" t="s">
        <v>262</v>
      </c>
      <c r="C776" s="1" t="s">
        <v>263</v>
      </c>
      <c r="D776" s="1" t="s">
        <v>104</v>
      </c>
      <c r="E776" s="1" t="s">
        <v>1789</v>
      </c>
      <c r="F776" s="1" t="s">
        <v>1013</v>
      </c>
      <c r="G776" s="1" t="s">
        <v>1002</v>
      </c>
      <c r="H776" s="1">
        <v>7</v>
      </c>
      <c r="I776" s="1">
        <v>4</v>
      </c>
      <c r="J776" s="1" t="s">
        <v>2564</v>
      </c>
      <c r="K776" s="2">
        <v>359.87</v>
      </c>
      <c r="L776" s="6">
        <v>21</v>
      </c>
      <c r="M776" s="2">
        <f t="shared" si="60"/>
        <v>2519.09</v>
      </c>
      <c r="N776" s="2">
        <f t="shared" si="61"/>
        <v>529.00890000000004</v>
      </c>
      <c r="O776" s="2">
        <f t="shared" si="62"/>
        <v>1990.0811000000001</v>
      </c>
      <c r="P776" s="1">
        <v>83</v>
      </c>
      <c r="Q776" s="2">
        <v>251.91</v>
      </c>
      <c r="R776" s="2">
        <f t="shared" si="63"/>
        <v>226.71110000000022</v>
      </c>
      <c r="S776" s="1" t="s">
        <v>1016</v>
      </c>
      <c r="T776" s="1" t="s">
        <v>1007</v>
      </c>
      <c r="U776" s="1" t="str">
        <f t="shared" si="64"/>
        <v>YES</v>
      </c>
    </row>
    <row r="777" spans="1:21" x14ac:dyDescent="0.3">
      <c r="A777" s="1" t="s">
        <v>963</v>
      </c>
      <c r="B777" s="1" t="s">
        <v>126</v>
      </c>
      <c r="C777" s="1" t="s">
        <v>127</v>
      </c>
      <c r="D777" s="1" t="s">
        <v>85</v>
      </c>
      <c r="E777" s="1" t="s">
        <v>1790</v>
      </c>
      <c r="F777" s="1" t="s">
        <v>1009</v>
      </c>
      <c r="G777" s="1" t="s">
        <v>1023</v>
      </c>
      <c r="H777" s="1">
        <v>14</v>
      </c>
      <c r="I777" s="1">
        <v>5</v>
      </c>
      <c r="J777" s="1" t="s">
        <v>2872</v>
      </c>
      <c r="K777" s="2">
        <v>356.86</v>
      </c>
      <c r="L777" s="6">
        <v>13</v>
      </c>
      <c r="M777" s="2">
        <f t="shared" si="60"/>
        <v>4996.04</v>
      </c>
      <c r="N777" s="2">
        <f t="shared" si="61"/>
        <v>649.48519999999996</v>
      </c>
      <c r="O777" s="2">
        <f t="shared" si="62"/>
        <v>4346.5547999999999</v>
      </c>
      <c r="P777" s="1">
        <v>84</v>
      </c>
      <c r="Q777" s="2">
        <v>249.8</v>
      </c>
      <c r="R777" s="2">
        <f t="shared" si="63"/>
        <v>849.35479999999961</v>
      </c>
      <c r="S777" s="1" t="s">
        <v>1016</v>
      </c>
      <c r="T777" s="1" t="s">
        <v>1004</v>
      </c>
      <c r="U777" s="1" t="str">
        <f t="shared" si="64"/>
        <v>YES</v>
      </c>
    </row>
    <row r="778" spans="1:21" x14ac:dyDescent="0.3">
      <c r="A778" s="1" t="s">
        <v>964</v>
      </c>
      <c r="B778" s="1" t="s">
        <v>118</v>
      </c>
      <c r="C778" s="1" t="s">
        <v>119</v>
      </c>
      <c r="D778" s="1" t="s">
        <v>97</v>
      </c>
      <c r="E778" s="1" t="s">
        <v>1791</v>
      </c>
      <c r="F778" s="1" t="s">
        <v>1027</v>
      </c>
      <c r="G778" s="1" t="s">
        <v>1023</v>
      </c>
      <c r="H778" s="1">
        <v>9</v>
      </c>
      <c r="I778" s="1">
        <v>2</v>
      </c>
      <c r="J778" s="1" t="s">
        <v>2585</v>
      </c>
      <c r="K778" s="2">
        <v>293.05</v>
      </c>
      <c r="L778" s="6">
        <v>3</v>
      </c>
      <c r="M778" s="2">
        <f t="shared" si="60"/>
        <v>2637.4500000000003</v>
      </c>
      <c r="N778" s="2">
        <f t="shared" si="61"/>
        <v>79.123500000000007</v>
      </c>
      <c r="O778" s="2">
        <f t="shared" si="62"/>
        <v>2558.3265000000001</v>
      </c>
      <c r="P778" s="1">
        <v>219</v>
      </c>
      <c r="Q778" s="2">
        <v>205.13</v>
      </c>
      <c r="R778" s="2">
        <f t="shared" si="63"/>
        <v>712.15650000000005</v>
      </c>
      <c r="S778" s="1" t="s">
        <v>1016</v>
      </c>
      <c r="T778" s="1" t="s">
        <v>1004</v>
      </c>
      <c r="U778" s="1" t="str">
        <f t="shared" si="64"/>
        <v>YES</v>
      </c>
    </row>
    <row r="779" spans="1:21" x14ac:dyDescent="0.3">
      <c r="A779" s="1" t="s">
        <v>965</v>
      </c>
      <c r="B779" s="1" t="s">
        <v>176</v>
      </c>
      <c r="C779" s="1" t="s">
        <v>177</v>
      </c>
      <c r="D779" s="1" t="s">
        <v>39</v>
      </c>
      <c r="E779" s="1" t="s">
        <v>1792</v>
      </c>
      <c r="F779" s="1" t="s">
        <v>1015</v>
      </c>
      <c r="G779" s="1" t="s">
        <v>1002</v>
      </c>
      <c r="H779" s="1">
        <v>9</v>
      </c>
      <c r="I779" s="1">
        <v>2</v>
      </c>
      <c r="J779" s="1" t="s">
        <v>2839</v>
      </c>
      <c r="K779" s="2">
        <v>217.04</v>
      </c>
      <c r="L779" s="6">
        <v>21</v>
      </c>
      <c r="M779" s="2">
        <f t="shared" si="60"/>
        <v>1953.36</v>
      </c>
      <c r="N779" s="2">
        <f t="shared" si="61"/>
        <v>410.2056</v>
      </c>
      <c r="O779" s="2">
        <f t="shared" si="62"/>
        <v>1543.1543999999999</v>
      </c>
      <c r="P779" s="1">
        <v>258</v>
      </c>
      <c r="Q779" s="2">
        <v>151.93</v>
      </c>
      <c r="R779" s="2">
        <f t="shared" si="63"/>
        <v>175.78439999999978</v>
      </c>
      <c r="S779" s="1" t="s">
        <v>1003</v>
      </c>
      <c r="T779" s="1" t="s">
        <v>1004</v>
      </c>
      <c r="U779" s="1" t="str">
        <f t="shared" si="64"/>
        <v>NO</v>
      </c>
    </row>
    <row r="780" spans="1:21" x14ac:dyDescent="0.3">
      <c r="A780" s="1" t="s">
        <v>966</v>
      </c>
      <c r="B780" s="1" t="s">
        <v>197</v>
      </c>
      <c r="C780" s="1" t="s">
        <v>198</v>
      </c>
      <c r="D780" s="1" t="s">
        <v>104</v>
      </c>
      <c r="E780" s="1" t="s">
        <v>1793</v>
      </c>
      <c r="F780" s="1" t="s">
        <v>1009</v>
      </c>
      <c r="G780" s="1" t="s">
        <v>1002</v>
      </c>
      <c r="H780" s="1">
        <v>13</v>
      </c>
      <c r="I780" s="1">
        <v>6</v>
      </c>
      <c r="J780" s="1" t="s">
        <v>2873</v>
      </c>
      <c r="K780" s="2">
        <v>248.7</v>
      </c>
      <c r="L780" s="6">
        <v>5</v>
      </c>
      <c r="M780" s="2">
        <f t="shared" si="60"/>
        <v>3233.1</v>
      </c>
      <c r="N780" s="2">
        <f t="shared" si="61"/>
        <v>161.655</v>
      </c>
      <c r="O780" s="2">
        <f t="shared" si="62"/>
        <v>3071.4449999999997</v>
      </c>
      <c r="P780" s="1">
        <v>208</v>
      </c>
      <c r="Q780" s="2">
        <v>174.09</v>
      </c>
      <c r="R780" s="2">
        <f t="shared" si="63"/>
        <v>808.27499999999964</v>
      </c>
      <c r="S780" s="1" t="s">
        <v>1016</v>
      </c>
      <c r="T780" s="1" t="s">
        <v>1004</v>
      </c>
      <c r="U780" s="1" t="str">
        <f t="shared" si="64"/>
        <v>YES</v>
      </c>
    </row>
    <row r="781" spans="1:21" x14ac:dyDescent="0.3">
      <c r="A781" s="1" t="s">
        <v>967</v>
      </c>
      <c r="B781" s="1" t="s">
        <v>72</v>
      </c>
      <c r="C781" s="1" t="s">
        <v>73</v>
      </c>
      <c r="D781" s="1" t="s">
        <v>47</v>
      </c>
      <c r="E781" s="1" t="s">
        <v>1794</v>
      </c>
      <c r="F781" s="1" t="s">
        <v>1015</v>
      </c>
      <c r="G781" s="1" t="s">
        <v>1002</v>
      </c>
      <c r="H781" s="1">
        <v>11</v>
      </c>
      <c r="I781" s="1">
        <v>1</v>
      </c>
      <c r="J781" s="1" t="s">
        <v>2839</v>
      </c>
      <c r="K781" s="2">
        <v>305.82</v>
      </c>
      <c r="L781" s="6">
        <v>10</v>
      </c>
      <c r="M781" s="2">
        <f t="shared" si="60"/>
        <v>3364.02</v>
      </c>
      <c r="N781" s="2">
        <f t="shared" si="61"/>
        <v>336.40199999999999</v>
      </c>
      <c r="O781" s="2">
        <f t="shared" si="62"/>
        <v>3027.6179999999999</v>
      </c>
      <c r="P781" s="1">
        <v>100</v>
      </c>
      <c r="Q781" s="2">
        <v>214.07</v>
      </c>
      <c r="R781" s="2">
        <f t="shared" si="63"/>
        <v>672.84799999999996</v>
      </c>
      <c r="S781" s="1" t="s">
        <v>1003</v>
      </c>
      <c r="T781" s="1" t="s">
        <v>1004</v>
      </c>
      <c r="U781" s="1" t="str">
        <f t="shared" si="64"/>
        <v>NO</v>
      </c>
    </row>
    <row r="782" spans="1:21" x14ac:dyDescent="0.3">
      <c r="A782" s="1" t="s">
        <v>968</v>
      </c>
      <c r="B782" s="1" t="s">
        <v>143</v>
      </c>
      <c r="C782" s="1" t="s">
        <v>144</v>
      </c>
      <c r="D782" s="1" t="s">
        <v>47</v>
      </c>
      <c r="E782" s="1" t="s">
        <v>1795</v>
      </c>
      <c r="F782" s="1" t="s">
        <v>1015</v>
      </c>
      <c r="G782" s="1" t="s">
        <v>1002</v>
      </c>
      <c r="H782" s="1">
        <v>11</v>
      </c>
      <c r="I782" s="1">
        <v>5</v>
      </c>
      <c r="J782" s="1" t="s">
        <v>2821</v>
      </c>
      <c r="K782" s="2">
        <v>428.45</v>
      </c>
      <c r="L782" s="6">
        <v>16</v>
      </c>
      <c r="M782" s="2">
        <f t="shared" si="60"/>
        <v>4712.95</v>
      </c>
      <c r="N782" s="2">
        <f t="shared" si="61"/>
        <v>754.072</v>
      </c>
      <c r="O782" s="2">
        <f t="shared" si="62"/>
        <v>3958.8779999999997</v>
      </c>
      <c r="P782" s="1">
        <v>224</v>
      </c>
      <c r="Q782" s="2">
        <v>299.91000000000003</v>
      </c>
      <c r="R782" s="2">
        <f t="shared" si="63"/>
        <v>659.86799999999948</v>
      </c>
      <c r="S782" s="1" t="s">
        <v>1011</v>
      </c>
      <c r="T782" s="1" t="s">
        <v>1007</v>
      </c>
      <c r="U782" s="1" t="str">
        <f t="shared" si="64"/>
        <v>NO</v>
      </c>
    </row>
    <row r="783" spans="1:21" x14ac:dyDescent="0.3">
      <c r="A783" s="1" t="s">
        <v>969</v>
      </c>
      <c r="B783" s="1" t="s">
        <v>57</v>
      </c>
      <c r="C783" s="1" t="s">
        <v>58</v>
      </c>
      <c r="D783" s="1" t="s">
        <v>59</v>
      </c>
      <c r="E783" s="1" t="s">
        <v>1796</v>
      </c>
      <c r="F783" s="1" t="s">
        <v>1013</v>
      </c>
      <c r="G783" s="1" t="s">
        <v>1002</v>
      </c>
      <c r="H783" s="1">
        <v>10</v>
      </c>
      <c r="I783" s="1">
        <v>3</v>
      </c>
      <c r="J783" s="1" t="s">
        <v>2569</v>
      </c>
      <c r="K783" s="2">
        <v>457.66</v>
      </c>
      <c r="L783" s="6">
        <v>2</v>
      </c>
      <c r="M783" s="2">
        <f t="shared" si="60"/>
        <v>4576.6000000000004</v>
      </c>
      <c r="N783" s="2">
        <f t="shared" si="61"/>
        <v>91.532000000000011</v>
      </c>
      <c r="O783" s="2">
        <f t="shared" si="62"/>
        <v>4485.0680000000002</v>
      </c>
      <c r="P783" s="1">
        <v>138</v>
      </c>
      <c r="Q783" s="2">
        <v>320.36</v>
      </c>
      <c r="R783" s="2">
        <f t="shared" si="63"/>
        <v>1281.4679999999998</v>
      </c>
      <c r="S783" s="1" t="s">
        <v>1003</v>
      </c>
      <c r="T783" s="1" t="s">
        <v>1004</v>
      </c>
      <c r="U783" s="1" t="str">
        <f t="shared" si="64"/>
        <v>NO</v>
      </c>
    </row>
    <row r="784" spans="1:21" x14ac:dyDescent="0.3">
      <c r="A784" s="1" t="s">
        <v>970</v>
      </c>
      <c r="B784" s="1" t="s">
        <v>126</v>
      </c>
      <c r="C784" s="1" t="s">
        <v>127</v>
      </c>
      <c r="D784" s="1" t="s">
        <v>85</v>
      </c>
      <c r="E784" s="1" t="s">
        <v>1797</v>
      </c>
      <c r="F784" s="1" t="s">
        <v>1020</v>
      </c>
      <c r="G784" s="1" t="s">
        <v>1023</v>
      </c>
      <c r="H784" s="1">
        <v>5</v>
      </c>
      <c r="I784" s="1">
        <v>6</v>
      </c>
      <c r="J784" s="1" t="s">
        <v>2825</v>
      </c>
      <c r="K784" s="2">
        <v>343.02</v>
      </c>
      <c r="L784" s="6">
        <v>21</v>
      </c>
      <c r="M784" s="2">
        <f t="shared" si="60"/>
        <v>1715.1</v>
      </c>
      <c r="N784" s="2">
        <f t="shared" si="61"/>
        <v>360.17099999999999</v>
      </c>
      <c r="O784" s="2">
        <f t="shared" si="62"/>
        <v>1354.9289999999999</v>
      </c>
      <c r="P784" s="1">
        <v>188</v>
      </c>
      <c r="Q784" s="2">
        <v>240.11</v>
      </c>
      <c r="R784" s="2">
        <f t="shared" si="63"/>
        <v>154.37899999999968</v>
      </c>
      <c r="S784" s="1" t="s">
        <v>1003</v>
      </c>
      <c r="T784" s="1" t="s">
        <v>1004</v>
      </c>
      <c r="U784" s="1" t="str">
        <f t="shared" si="64"/>
        <v>NO</v>
      </c>
    </row>
    <row r="785" spans="1:21" x14ac:dyDescent="0.3">
      <c r="A785" s="1" t="s">
        <v>971</v>
      </c>
      <c r="B785" s="1" t="s">
        <v>176</v>
      </c>
      <c r="C785" s="1" t="s">
        <v>177</v>
      </c>
      <c r="D785" s="1" t="s">
        <v>39</v>
      </c>
      <c r="E785" s="1" t="s">
        <v>1798</v>
      </c>
      <c r="F785" s="1" t="s">
        <v>1006</v>
      </c>
      <c r="G785" s="1" t="s">
        <v>1023</v>
      </c>
      <c r="H785" s="1">
        <v>2</v>
      </c>
      <c r="I785" s="1">
        <v>7</v>
      </c>
      <c r="J785" s="1" t="s">
        <v>2874</v>
      </c>
      <c r="K785" s="2">
        <v>209.86</v>
      </c>
      <c r="L785" s="6">
        <v>15</v>
      </c>
      <c r="M785" s="2">
        <f t="shared" si="60"/>
        <v>419.72</v>
      </c>
      <c r="N785" s="2">
        <f t="shared" si="61"/>
        <v>62.957999999999998</v>
      </c>
      <c r="O785" s="2">
        <f t="shared" si="62"/>
        <v>356.76200000000006</v>
      </c>
      <c r="P785" s="1">
        <v>181</v>
      </c>
      <c r="Q785" s="2">
        <v>146.9</v>
      </c>
      <c r="R785" s="2">
        <f t="shared" si="63"/>
        <v>62.962000000000046</v>
      </c>
      <c r="S785" s="1" t="s">
        <v>1016</v>
      </c>
      <c r="T785" s="1" t="s">
        <v>1007</v>
      </c>
      <c r="U785" s="1" t="str">
        <f t="shared" si="64"/>
        <v>YES</v>
      </c>
    </row>
    <row r="786" spans="1:21" x14ac:dyDescent="0.3">
      <c r="A786" s="1" t="s">
        <v>972</v>
      </c>
      <c r="B786" s="1" t="s">
        <v>77</v>
      </c>
      <c r="C786" s="1" t="s">
        <v>78</v>
      </c>
      <c r="D786" s="1" t="s">
        <v>47</v>
      </c>
      <c r="E786" s="1" t="s">
        <v>1799</v>
      </c>
      <c r="F786" s="1" t="s">
        <v>1013</v>
      </c>
      <c r="G786" s="1" t="s">
        <v>1023</v>
      </c>
      <c r="H786" s="1">
        <v>15</v>
      </c>
      <c r="I786" s="1">
        <v>6</v>
      </c>
      <c r="J786" s="1" t="s">
        <v>2557</v>
      </c>
      <c r="K786" s="2">
        <v>421.34</v>
      </c>
      <c r="L786" s="6">
        <v>2</v>
      </c>
      <c r="M786" s="2">
        <f t="shared" si="60"/>
        <v>6320.0999999999995</v>
      </c>
      <c r="N786" s="2">
        <f t="shared" si="61"/>
        <v>126.40199999999999</v>
      </c>
      <c r="O786" s="2">
        <f t="shared" si="62"/>
        <v>6193.6979999999994</v>
      </c>
      <c r="P786" s="1">
        <v>196</v>
      </c>
      <c r="Q786" s="2">
        <v>294.94</v>
      </c>
      <c r="R786" s="2">
        <f t="shared" si="63"/>
        <v>1769.597999999999</v>
      </c>
      <c r="S786" s="1" t="s">
        <v>1011</v>
      </c>
      <c r="T786" s="1" t="s">
        <v>1007</v>
      </c>
      <c r="U786" s="1" t="str">
        <f t="shared" si="64"/>
        <v>NO</v>
      </c>
    </row>
    <row r="787" spans="1:21" x14ac:dyDescent="0.3">
      <c r="A787" s="1" t="s">
        <v>973</v>
      </c>
      <c r="B787" s="1" t="s">
        <v>45</v>
      </c>
      <c r="C787" s="1" t="s">
        <v>46</v>
      </c>
      <c r="D787" s="1" t="s">
        <v>47</v>
      </c>
      <c r="E787" s="1" t="s">
        <v>1800</v>
      </c>
      <c r="F787" s="1" t="s">
        <v>1001</v>
      </c>
      <c r="G787" s="1" t="s">
        <v>1010</v>
      </c>
      <c r="H787" s="1">
        <v>1</v>
      </c>
      <c r="I787" s="1">
        <v>5</v>
      </c>
      <c r="J787" s="1" t="s">
        <v>2723</v>
      </c>
      <c r="K787" s="2">
        <v>57.66</v>
      </c>
      <c r="L787" s="6">
        <v>4</v>
      </c>
      <c r="M787" s="2">
        <f t="shared" si="60"/>
        <v>57.66</v>
      </c>
      <c r="N787" s="2">
        <f t="shared" si="61"/>
        <v>2.3064</v>
      </c>
      <c r="O787" s="2">
        <f t="shared" si="62"/>
        <v>55.3536</v>
      </c>
      <c r="P787" s="1">
        <v>261</v>
      </c>
      <c r="Q787" s="2">
        <v>40.36</v>
      </c>
      <c r="R787" s="2">
        <f t="shared" si="63"/>
        <v>14.993600000000001</v>
      </c>
      <c r="S787" s="1" t="s">
        <v>1003</v>
      </c>
      <c r="T787" s="1" t="s">
        <v>1004</v>
      </c>
      <c r="U787" s="1" t="str">
        <f t="shared" si="64"/>
        <v>NO</v>
      </c>
    </row>
    <row r="788" spans="1:21" x14ac:dyDescent="0.3">
      <c r="A788" s="1" t="s">
        <v>974</v>
      </c>
      <c r="B788" s="1" t="s">
        <v>299</v>
      </c>
      <c r="C788" s="1" t="s">
        <v>300</v>
      </c>
      <c r="D788" s="1" t="s">
        <v>39</v>
      </c>
      <c r="E788" s="1" t="s">
        <v>1801</v>
      </c>
      <c r="F788" s="1" t="s">
        <v>1027</v>
      </c>
      <c r="G788" s="1" t="s">
        <v>1023</v>
      </c>
      <c r="H788" s="1">
        <v>12</v>
      </c>
      <c r="I788" s="1">
        <v>3</v>
      </c>
      <c r="J788" s="1" t="s">
        <v>2574</v>
      </c>
      <c r="K788" s="2">
        <v>188.57</v>
      </c>
      <c r="L788" s="6">
        <v>23</v>
      </c>
      <c r="M788" s="2">
        <f t="shared" si="60"/>
        <v>2262.84</v>
      </c>
      <c r="N788" s="2">
        <f t="shared" si="61"/>
        <v>520.45320000000004</v>
      </c>
      <c r="O788" s="2">
        <f t="shared" si="62"/>
        <v>1742.3868000000002</v>
      </c>
      <c r="P788" s="1">
        <v>176</v>
      </c>
      <c r="Q788" s="2">
        <v>132</v>
      </c>
      <c r="R788" s="2">
        <f t="shared" si="63"/>
        <v>158.38680000000022</v>
      </c>
      <c r="S788" s="1" t="s">
        <v>1003</v>
      </c>
      <c r="T788" s="1" t="s">
        <v>1004</v>
      </c>
      <c r="U788" s="1" t="str">
        <f t="shared" si="64"/>
        <v>NO</v>
      </c>
    </row>
    <row r="789" spans="1:21" x14ac:dyDescent="0.3">
      <c r="A789" s="1" t="s">
        <v>975</v>
      </c>
      <c r="B789" s="1" t="s">
        <v>26</v>
      </c>
      <c r="C789" s="1" t="s">
        <v>27</v>
      </c>
      <c r="D789" s="1" t="s">
        <v>28</v>
      </c>
      <c r="E789" s="1" t="s">
        <v>1802</v>
      </c>
      <c r="F789" s="1" t="s">
        <v>1015</v>
      </c>
      <c r="G789" s="1" t="s">
        <v>1002</v>
      </c>
      <c r="H789" s="1">
        <v>11</v>
      </c>
      <c r="I789" s="1">
        <v>7</v>
      </c>
      <c r="J789" s="1" t="s">
        <v>2798</v>
      </c>
      <c r="K789" s="2">
        <v>262.33</v>
      </c>
      <c r="L789" s="6">
        <v>4</v>
      </c>
      <c r="M789" s="2">
        <f t="shared" si="60"/>
        <v>2885.6299999999997</v>
      </c>
      <c r="N789" s="2">
        <f t="shared" si="61"/>
        <v>115.42519999999999</v>
      </c>
      <c r="O789" s="2">
        <f t="shared" si="62"/>
        <v>2770.2047999999995</v>
      </c>
      <c r="P789" s="1">
        <v>50</v>
      </c>
      <c r="Q789" s="2">
        <v>183.63</v>
      </c>
      <c r="R789" s="2">
        <f t="shared" si="63"/>
        <v>750.27479999999969</v>
      </c>
      <c r="S789" s="1" t="s">
        <v>1003</v>
      </c>
      <c r="T789" s="1" t="s">
        <v>1004</v>
      </c>
      <c r="U789" s="1" t="str">
        <f t="shared" si="64"/>
        <v>NO</v>
      </c>
    </row>
    <row r="790" spans="1:21" x14ac:dyDescent="0.3">
      <c r="A790" s="1" t="s">
        <v>976</v>
      </c>
      <c r="B790" s="1" t="s">
        <v>72</v>
      </c>
      <c r="C790" s="1" t="s">
        <v>73</v>
      </c>
      <c r="D790" s="1" t="s">
        <v>47</v>
      </c>
      <c r="E790" s="1" t="s">
        <v>1803</v>
      </c>
      <c r="F790" s="1" t="s">
        <v>1015</v>
      </c>
      <c r="G790" s="1" t="s">
        <v>1010</v>
      </c>
      <c r="H790" s="1">
        <v>12</v>
      </c>
      <c r="I790" s="1">
        <v>3</v>
      </c>
      <c r="J790" s="1" t="s">
        <v>2847</v>
      </c>
      <c r="K790" s="2">
        <v>263.94</v>
      </c>
      <c r="L790" s="6">
        <v>22</v>
      </c>
      <c r="M790" s="2">
        <f t="shared" si="60"/>
        <v>3167.2799999999997</v>
      </c>
      <c r="N790" s="2">
        <f t="shared" si="61"/>
        <v>696.80159999999989</v>
      </c>
      <c r="O790" s="2">
        <f t="shared" si="62"/>
        <v>2470.4784</v>
      </c>
      <c r="P790" s="1">
        <v>132</v>
      </c>
      <c r="Q790" s="2">
        <v>184.76</v>
      </c>
      <c r="R790" s="2">
        <f t="shared" si="63"/>
        <v>253.35840000000007</v>
      </c>
      <c r="S790" s="1" t="s">
        <v>1003</v>
      </c>
      <c r="T790" s="1" t="s">
        <v>1007</v>
      </c>
      <c r="U790" s="1" t="str">
        <f t="shared" si="64"/>
        <v>NO</v>
      </c>
    </row>
    <row r="791" spans="1:21" x14ac:dyDescent="0.3">
      <c r="A791" s="1" t="s">
        <v>977</v>
      </c>
      <c r="B791" s="1" t="s">
        <v>37</v>
      </c>
      <c r="C791" s="1" t="s">
        <v>38</v>
      </c>
      <c r="D791" s="1" t="s">
        <v>39</v>
      </c>
      <c r="E791" s="1" t="s">
        <v>1804</v>
      </c>
      <c r="F791" s="1" t="s">
        <v>1006</v>
      </c>
      <c r="G791" s="1" t="s">
        <v>1010</v>
      </c>
      <c r="H791" s="1">
        <v>8</v>
      </c>
      <c r="I791" s="1">
        <v>7</v>
      </c>
      <c r="J791" s="1" t="s">
        <v>2696</v>
      </c>
      <c r="K791" s="2">
        <v>164.22</v>
      </c>
      <c r="L791" s="6">
        <v>10</v>
      </c>
      <c r="M791" s="2">
        <f t="shared" si="60"/>
        <v>1313.76</v>
      </c>
      <c r="N791" s="2">
        <f t="shared" si="61"/>
        <v>131.376</v>
      </c>
      <c r="O791" s="2">
        <f t="shared" si="62"/>
        <v>1182.384</v>
      </c>
      <c r="P791" s="1">
        <v>109</v>
      </c>
      <c r="Q791" s="2">
        <v>114.95</v>
      </c>
      <c r="R791" s="2">
        <f t="shared" si="63"/>
        <v>262.78399999999999</v>
      </c>
      <c r="S791" s="1" t="s">
        <v>1011</v>
      </c>
      <c r="T791" s="1" t="s">
        <v>1004</v>
      </c>
      <c r="U791" s="1" t="str">
        <f t="shared" si="64"/>
        <v>NO</v>
      </c>
    </row>
    <row r="792" spans="1:21" x14ac:dyDescent="0.3">
      <c r="A792" s="1" t="s">
        <v>978</v>
      </c>
      <c r="B792" s="1" t="s">
        <v>63</v>
      </c>
      <c r="C792" s="1" t="s">
        <v>64</v>
      </c>
      <c r="D792" s="1" t="s">
        <v>28</v>
      </c>
      <c r="E792" s="1" t="s">
        <v>1805</v>
      </c>
      <c r="F792" s="1" t="s">
        <v>1001</v>
      </c>
      <c r="G792" s="1" t="s">
        <v>1002</v>
      </c>
      <c r="H792" s="1">
        <v>13</v>
      </c>
      <c r="I792" s="1">
        <v>3</v>
      </c>
      <c r="J792" s="1" t="s">
        <v>2684</v>
      </c>
      <c r="K792" s="2">
        <v>74.14</v>
      </c>
      <c r="L792" s="6">
        <v>2</v>
      </c>
      <c r="M792" s="2">
        <f t="shared" si="60"/>
        <v>963.82</v>
      </c>
      <c r="N792" s="2">
        <f t="shared" si="61"/>
        <v>19.276400000000002</v>
      </c>
      <c r="O792" s="2">
        <f t="shared" si="62"/>
        <v>944.54360000000008</v>
      </c>
      <c r="P792" s="1">
        <v>194</v>
      </c>
      <c r="Q792" s="2">
        <v>51.9</v>
      </c>
      <c r="R792" s="2">
        <f t="shared" si="63"/>
        <v>269.84360000000015</v>
      </c>
      <c r="S792" s="1" t="s">
        <v>1003</v>
      </c>
      <c r="T792" s="1" t="s">
        <v>1004</v>
      </c>
      <c r="U792" s="1" t="str">
        <f t="shared" si="64"/>
        <v>NO</v>
      </c>
    </row>
    <row r="793" spans="1:21" x14ac:dyDescent="0.3">
      <c r="A793" s="1" t="s">
        <v>979</v>
      </c>
      <c r="B793" s="1" t="s">
        <v>237</v>
      </c>
      <c r="C793" s="1" t="s">
        <v>238</v>
      </c>
      <c r="D793" s="1" t="s">
        <v>85</v>
      </c>
      <c r="E793" s="1" t="s">
        <v>1806</v>
      </c>
      <c r="F793" s="1" t="s">
        <v>1020</v>
      </c>
      <c r="G793" s="1" t="s">
        <v>1010</v>
      </c>
      <c r="H793" s="1">
        <v>14</v>
      </c>
      <c r="I793" s="1">
        <v>4</v>
      </c>
      <c r="J793" s="1" t="s">
        <v>2727</v>
      </c>
      <c r="K793" s="2">
        <v>496.94</v>
      </c>
      <c r="L793" s="6">
        <v>8</v>
      </c>
      <c r="M793" s="2">
        <f t="shared" si="60"/>
        <v>6957.16</v>
      </c>
      <c r="N793" s="2">
        <f t="shared" si="61"/>
        <v>556.57280000000003</v>
      </c>
      <c r="O793" s="2">
        <f t="shared" si="62"/>
        <v>6400.5871999999999</v>
      </c>
      <c r="P793" s="1">
        <v>135</v>
      </c>
      <c r="Q793" s="2">
        <v>347.86</v>
      </c>
      <c r="R793" s="2">
        <f t="shared" si="63"/>
        <v>1530.5472</v>
      </c>
      <c r="S793" s="1" t="s">
        <v>1011</v>
      </c>
      <c r="T793" s="1" t="s">
        <v>1004</v>
      </c>
      <c r="U793" s="1" t="str">
        <f t="shared" si="64"/>
        <v>NO</v>
      </c>
    </row>
    <row r="794" spans="1:21" x14ac:dyDescent="0.3">
      <c r="A794" s="1" t="s">
        <v>980</v>
      </c>
      <c r="B794" s="1" t="s">
        <v>111</v>
      </c>
      <c r="C794" s="1" t="s">
        <v>112</v>
      </c>
      <c r="D794" s="1" t="s">
        <v>97</v>
      </c>
      <c r="E794" s="1" t="s">
        <v>1807</v>
      </c>
      <c r="F794" s="1" t="s">
        <v>1020</v>
      </c>
      <c r="G794" s="1" t="s">
        <v>1002</v>
      </c>
      <c r="H794" s="1">
        <v>14</v>
      </c>
      <c r="I794" s="1">
        <v>3</v>
      </c>
      <c r="J794" s="1" t="s">
        <v>2798</v>
      </c>
      <c r="K794" s="2">
        <v>201.72</v>
      </c>
      <c r="L794" s="6">
        <v>15</v>
      </c>
      <c r="M794" s="2">
        <f t="shared" si="60"/>
        <v>2824.08</v>
      </c>
      <c r="N794" s="2">
        <f t="shared" si="61"/>
        <v>423.61199999999997</v>
      </c>
      <c r="O794" s="2">
        <f t="shared" si="62"/>
        <v>2400.4679999999998</v>
      </c>
      <c r="P794" s="1">
        <v>103</v>
      </c>
      <c r="Q794" s="2">
        <v>141.19999999999999</v>
      </c>
      <c r="R794" s="2">
        <f t="shared" si="63"/>
        <v>423.66800000000012</v>
      </c>
      <c r="S794" s="1" t="s">
        <v>1011</v>
      </c>
      <c r="T794" s="1" t="s">
        <v>1004</v>
      </c>
      <c r="U794" s="1" t="str">
        <f t="shared" si="64"/>
        <v>NO</v>
      </c>
    </row>
    <row r="795" spans="1:21" x14ac:dyDescent="0.3">
      <c r="A795" s="1" t="s">
        <v>981</v>
      </c>
      <c r="B795" s="1" t="s">
        <v>111</v>
      </c>
      <c r="C795" s="1" t="s">
        <v>112</v>
      </c>
      <c r="D795" s="1" t="s">
        <v>97</v>
      </c>
      <c r="E795" s="1" t="s">
        <v>1808</v>
      </c>
      <c r="F795" s="1" t="s">
        <v>1027</v>
      </c>
      <c r="G795" s="1" t="s">
        <v>1023</v>
      </c>
      <c r="H795" s="1">
        <v>4</v>
      </c>
      <c r="I795" s="1">
        <v>5</v>
      </c>
      <c r="J795" s="1" t="s">
        <v>2652</v>
      </c>
      <c r="K795" s="2">
        <v>422.96</v>
      </c>
      <c r="L795" s="6">
        <v>21</v>
      </c>
      <c r="M795" s="2">
        <f t="shared" si="60"/>
        <v>1691.84</v>
      </c>
      <c r="N795" s="2">
        <f t="shared" si="61"/>
        <v>355.28640000000001</v>
      </c>
      <c r="O795" s="2">
        <f t="shared" si="62"/>
        <v>1336.5536</v>
      </c>
      <c r="P795" s="1">
        <v>211</v>
      </c>
      <c r="Q795" s="2">
        <v>296.07</v>
      </c>
      <c r="R795" s="2">
        <f t="shared" si="63"/>
        <v>152.27359999999999</v>
      </c>
      <c r="S795" s="1" t="s">
        <v>1003</v>
      </c>
      <c r="T795" s="1" t="s">
        <v>1004</v>
      </c>
      <c r="U795" s="1" t="str">
        <f t="shared" si="64"/>
        <v>NO</v>
      </c>
    </row>
    <row r="796" spans="1:21" x14ac:dyDescent="0.3">
      <c r="A796" s="1" t="s">
        <v>982</v>
      </c>
      <c r="B796" s="1" t="s">
        <v>45</v>
      </c>
      <c r="C796" s="1" t="s">
        <v>46</v>
      </c>
      <c r="D796" s="1" t="s">
        <v>47</v>
      </c>
      <c r="E796" s="1" t="s">
        <v>1809</v>
      </c>
      <c r="F796" s="1" t="s">
        <v>1027</v>
      </c>
      <c r="G796" s="1" t="s">
        <v>1023</v>
      </c>
      <c r="H796" s="1">
        <v>12</v>
      </c>
      <c r="I796" s="1">
        <v>6</v>
      </c>
      <c r="J796" s="1" t="s">
        <v>2645</v>
      </c>
      <c r="K796" s="2">
        <v>129.83000000000001</v>
      </c>
      <c r="L796" s="6">
        <v>4</v>
      </c>
      <c r="M796" s="2">
        <f t="shared" si="60"/>
        <v>1557.96</v>
      </c>
      <c r="N796" s="2">
        <f t="shared" si="61"/>
        <v>62.318400000000004</v>
      </c>
      <c r="O796" s="2">
        <f t="shared" si="62"/>
        <v>1495.6415999999999</v>
      </c>
      <c r="P796" s="1">
        <v>160</v>
      </c>
      <c r="Q796" s="2">
        <v>90.88</v>
      </c>
      <c r="R796" s="2">
        <f t="shared" si="63"/>
        <v>405.08159999999998</v>
      </c>
      <c r="S796" s="1" t="s">
        <v>1016</v>
      </c>
      <c r="T796" s="1" t="s">
        <v>1004</v>
      </c>
      <c r="U796" s="1" t="str">
        <f t="shared" si="64"/>
        <v>YES</v>
      </c>
    </row>
    <row r="797" spans="1:21" x14ac:dyDescent="0.3">
      <c r="A797" s="1" t="s">
        <v>983</v>
      </c>
      <c r="B797" s="1" t="s">
        <v>111</v>
      </c>
      <c r="C797" s="1" t="s">
        <v>112</v>
      </c>
      <c r="D797" s="1" t="s">
        <v>97</v>
      </c>
      <c r="E797" s="1" t="s">
        <v>1810</v>
      </c>
      <c r="F797" s="1" t="s">
        <v>1013</v>
      </c>
      <c r="G797" s="1" t="s">
        <v>1010</v>
      </c>
      <c r="H797" s="1">
        <v>2</v>
      </c>
      <c r="I797" s="1">
        <v>1</v>
      </c>
      <c r="J797" s="1" t="s">
        <v>2840</v>
      </c>
      <c r="K797" s="2">
        <v>438.33</v>
      </c>
      <c r="L797" s="6">
        <v>22</v>
      </c>
      <c r="M797" s="2">
        <f t="shared" si="60"/>
        <v>876.66</v>
      </c>
      <c r="N797" s="2">
        <f t="shared" si="61"/>
        <v>192.86520000000002</v>
      </c>
      <c r="O797" s="2">
        <f t="shared" si="62"/>
        <v>683.7947999999999</v>
      </c>
      <c r="P797" s="1">
        <v>124</v>
      </c>
      <c r="Q797" s="2">
        <v>306.83</v>
      </c>
      <c r="R797" s="2">
        <f t="shared" si="63"/>
        <v>70.134799999999927</v>
      </c>
      <c r="S797" s="1" t="s">
        <v>1011</v>
      </c>
      <c r="T797" s="1" t="s">
        <v>1007</v>
      </c>
      <c r="U797" s="1" t="str">
        <f t="shared" si="64"/>
        <v>NO</v>
      </c>
    </row>
    <row r="798" spans="1:21" x14ac:dyDescent="0.3">
      <c r="A798" s="1" t="s">
        <v>984</v>
      </c>
      <c r="B798" s="1" t="s">
        <v>130</v>
      </c>
      <c r="C798" s="1" t="s">
        <v>131</v>
      </c>
      <c r="D798" s="1" t="s">
        <v>132</v>
      </c>
      <c r="E798" s="1" t="s">
        <v>1811</v>
      </c>
      <c r="F798" s="1" t="s">
        <v>1020</v>
      </c>
      <c r="G798" s="1" t="s">
        <v>1002</v>
      </c>
      <c r="H798" s="1">
        <v>6</v>
      </c>
      <c r="I798" s="1">
        <v>1</v>
      </c>
      <c r="J798" s="1" t="s">
        <v>2516</v>
      </c>
      <c r="K798" s="2">
        <v>161.69999999999999</v>
      </c>
      <c r="L798" s="6">
        <v>11</v>
      </c>
      <c r="M798" s="2">
        <f t="shared" si="60"/>
        <v>970.19999999999993</v>
      </c>
      <c r="N798" s="2">
        <f t="shared" si="61"/>
        <v>106.72199999999999</v>
      </c>
      <c r="O798" s="2">
        <f t="shared" si="62"/>
        <v>863.47799999999995</v>
      </c>
      <c r="P798" s="1">
        <v>273</v>
      </c>
      <c r="Q798" s="2">
        <v>113.19</v>
      </c>
      <c r="R798" s="2">
        <f t="shared" si="63"/>
        <v>184.33799999999997</v>
      </c>
      <c r="S798" s="1" t="s">
        <v>1016</v>
      </c>
      <c r="T798" s="1" t="s">
        <v>1007</v>
      </c>
      <c r="U798" s="1" t="str">
        <f t="shared" si="64"/>
        <v>YES</v>
      </c>
    </row>
    <row r="799" spans="1:21" x14ac:dyDescent="0.3">
      <c r="A799" s="1" t="s">
        <v>985</v>
      </c>
      <c r="B799" s="1" t="s">
        <v>192</v>
      </c>
      <c r="C799" s="1" t="s">
        <v>193</v>
      </c>
      <c r="D799" s="1" t="s">
        <v>85</v>
      </c>
      <c r="E799" s="1" t="s">
        <v>1812</v>
      </c>
      <c r="F799" s="1" t="s">
        <v>1001</v>
      </c>
      <c r="G799" s="1" t="s">
        <v>1023</v>
      </c>
      <c r="H799" s="1">
        <v>7</v>
      </c>
      <c r="I799" s="1">
        <v>1</v>
      </c>
      <c r="J799" s="1" t="s">
        <v>2875</v>
      </c>
      <c r="K799" s="2">
        <v>393.07</v>
      </c>
      <c r="L799" s="6">
        <v>22</v>
      </c>
      <c r="M799" s="2">
        <f t="shared" si="60"/>
        <v>2751.49</v>
      </c>
      <c r="N799" s="2">
        <f t="shared" si="61"/>
        <v>605.32780000000002</v>
      </c>
      <c r="O799" s="2">
        <f t="shared" si="62"/>
        <v>2146.1621999999998</v>
      </c>
      <c r="P799" s="1">
        <v>216</v>
      </c>
      <c r="Q799" s="2">
        <v>275.14999999999998</v>
      </c>
      <c r="R799" s="2">
        <f t="shared" si="63"/>
        <v>220.11220000000003</v>
      </c>
      <c r="S799" s="1" t="s">
        <v>1016</v>
      </c>
      <c r="T799" s="1" t="s">
        <v>1007</v>
      </c>
      <c r="U799" s="1" t="str">
        <f t="shared" si="64"/>
        <v>YES</v>
      </c>
    </row>
    <row r="800" spans="1:21" x14ac:dyDescent="0.3">
      <c r="A800" s="1" t="s">
        <v>986</v>
      </c>
      <c r="B800" s="1" t="s">
        <v>176</v>
      </c>
      <c r="C800" s="1" t="s">
        <v>177</v>
      </c>
      <c r="D800" s="1" t="s">
        <v>39</v>
      </c>
      <c r="E800" s="1" t="s">
        <v>1813</v>
      </c>
      <c r="F800" s="1" t="s">
        <v>1009</v>
      </c>
      <c r="G800" s="1" t="s">
        <v>1010</v>
      </c>
      <c r="H800" s="1">
        <v>2</v>
      </c>
      <c r="I800" s="1">
        <v>6</v>
      </c>
      <c r="J800" s="1" t="s">
        <v>2549</v>
      </c>
      <c r="K800" s="2">
        <v>214.02</v>
      </c>
      <c r="L800" s="6">
        <v>5</v>
      </c>
      <c r="M800" s="2">
        <f t="shared" si="60"/>
        <v>428.04</v>
      </c>
      <c r="N800" s="2">
        <f t="shared" si="61"/>
        <v>21.402000000000001</v>
      </c>
      <c r="O800" s="2">
        <f t="shared" si="62"/>
        <v>406.63800000000003</v>
      </c>
      <c r="P800" s="1">
        <v>174</v>
      </c>
      <c r="Q800" s="2">
        <v>149.81</v>
      </c>
      <c r="R800" s="2">
        <f t="shared" si="63"/>
        <v>107.01800000000003</v>
      </c>
      <c r="S800" s="1" t="s">
        <v>1011</v>
      </c>
      <c r="T800" s="1" t="s">
        <v>1007</v>
      </c>
      <c r="U800" s="1" t="str">
        <f t="shared" si="64"/>
        <v>NO</v>
      </c>
    </row>
    <row r="801" spans="1:21" x14ac:dyDescent="0.3">
      <c r="A801" s="1" t="s">
        <v>987</v>
      </c>
      <c r="B801" s="1" t="s">
        <v>52</v>
      </c>
      <c r="C801" s="1" t="s">
        <v>53</v>
      </c>
      <c r="D801" s="1" t="s">
        <v>47</v>
      </c>
      <c r="E801" s="1" t="s">
        <v>1814</v>
      </c>
      <c r="F801" s="1" t="s">
        <v>1027</v>
      </c>
      <c r="G801" s="1" t="s">
        <v>1002</v>
      </c>
      <c r="H801" s="1">
        <v>6</v>
      </c>
      <c r="I801" s="1">
        <v>5</v>
      </c>
      <c r="J801" s="1" t="s">
        <v>2753</v>
      </c>
      <c r="K801" s="2">
        <v>325.74</v>
      </c>
      <c r="L801" s="6">
        <v>6</v>
      </c>
      <c r="M801" s="2">
        <f t="shared" si="60"/>
        <v>1954.44</v>
      </c>
      <c r="N801" s="2">
        <f t="shared" si="61"/>
        <v>117.26639999999999</v>
      </c>
      <c r="O801" s="2">
        <f t="shared" si="62"/>
        <v>1837.1736000000001</v>
      </c>
      <c r="P801" s="1">
        <v>145</v>
      </c>
      <c r="Q801" s="2">
        <v>228.02</v>
      </c>
      <c r="R801" s="2">
        <f t="shared" si="63"/>
        <v>469.05359999999996</v>
      </c>
      <c r="S801" s="1" t="s">
        <v>1016</v>
      </c>
      <c r="T801" s="1" t="s">
        <v>1004</v>
      </c>
      <c r="U801" s="1" t="str">
        <f t="shared" si="64"/>
        <v>YES</v>
      </c>
    </row>
    <row r="802" spans="1:21" x14ac:dyDescent="0.3">
      <c r="A802" s="1" t="s">
        <v>1816</v>
      </c>
      <c r="B802" s="1" t="s">
        <v>189</v>
      </c>
      <c r="C802" s="1" t="s">
        <v>190</v>
      </c>
      <c r="D802" s="1" t="s">
        <v>59</v>
      </c>
      <c r="E802" s="1" t="s">
        <v>2929</v>
      </c>
      <c r="F802" s="1" t="s">
        <v>1001</v>
      </c>
      <c r="G802" s="1" t="s">
        <v>1023</v>
      </c>
      <c r="H802" s="1">
        <v>8</v>
      </c>
      <c r="I802" s="1">
        <v>2</v>
      </c>
      <c r="J802" s="1" t="s">
        <v>2840</v>
      </c>
      <c r="K802" s="2">
        <v>183.71</v>
      </c>
      <c r="L802" s="1">
        <v>4</v>
      </c>
      <c r="M802" s="2">
        <v>1469.68</v>
      </c>
      <c r="N802" s="2">
        <v>58.79</v>
      </c>
      <c r="O802" s="2">
        <v>1410.89</v>
      </c>
      <c r="P802" s="1">
        <v>61</v>
      </c>
      <c r="Q802" s="2">
        <v>128.6</v>
      </c>
      <c r="R802" s="2">
        <v>382.09</v>
      </c>
      <c r="S802" s="1" t="s">
        <v>1011</v>
      </c>
      <c r="T802" s="1" t="s">
        <v>1004</v>
      </c>
      <c r="U802" s="1" t="s">
        <v>1004</v>
      </c>
    </row>
    <row r="803" spans="1:21" x14ac:dyDescent="0.3">
      <c r="A803" s="1" t="s">
        <v>1817</v>
      </c>
      <c r="B803" s="1" t="s">
        <v>166</v>
      </c>
      <c r="C803" s="1" t="s">
        <v>167</v>
      </c>
      <c r="D803" s="1" t="s">
        <v>59</v>
      </c>
      <c r="E803" s="1" t="s">
        <v>2930</v>
      </c>
      <c r="F803" s="1" t="s">
        <v>1027</v>
      </c>
      <c r="G803" s="1" t="s">
        <v>1023</v>
      </c>
      <c r="H803" s="1">
        <v>9</v>
      </c>
      <c r="I803" s="1">
        <v>4</v>
      </c>
      <c r="J803" s="1" t="s">
        <v>2558</v>
      </c>
      <c r="K803" s="2">
        <v>72.87</v>
      </c>
      <c r="L803" s="1">
        <v>14</v>
      </c>
      <c r="M803" s="2">
        <v>655.83</v>
      </c>
      <c r="N803" s="2">
        <v>91.82</v>
      </c>
      <c r="O803" s="2">
        <v>564.01</v>
      </c>
      <c r="P803" s="1">
        <v>135</v>
      </c>
      <c r="Q803" s="2">
        <v>51.01</v>
      </c>
      <c r="R803" s="2">
        <v>104.92</v>
      </c>
      <c r="S803" s="1" t="s">
        <v>1016</v>
      </c>
      <c r="T803" s="1" t="s">
        <v>1007</v>
      </c>
      <c r="U803" s="1" t="s">
        <v>1004</v>
      </c>
    </row>
    <row r="804" spans="1:21" x14ac:dyDescent="0.3">
      <c r="A804" s="1" t="s">
        <v>1818</v>
      </c>
      <c r="B804" s="1" t="s">
        <v>189</v>
      </c>
      <c r="C804" s="1" t="s">
        <v>190</v>
      </c>
      <c r="D804" s="1" t="s">
        <v>59</v>
      </c>
      <c r="E804" s="1" t="s">
        <v>2931</v>
      </c>
      <c r="F804" s="1" t="s">
        <v>1027</v>
      </c>
      <c r="G804" s="1" t="s">
        <v>1023</v>
      </c>
      <c r="H804" s="1">
        <v>1</v>
      </c>
      <c r="I804" s="1">
        <v>1</v>
      </c>
      <c r="J804" s="1" t="s">
        <v>2901</v>
      </c>
      <c r="K804" s="2">
        <v>400.71</v>
      </c>
      <c r="L804" s="1">
        <v>12</v>
      </c>
      <c r="M804" s="2">
        <v>400.71</v>
      </c>
      <c r="N804" s="2">
        <v>48.09</v>
      </c>
      <c r="O804" s="2">
        <v>352.62</v>
      </c>
      <c r="P804" s="1">
        <v>287</v>
      </c>
      <c r="Q804" s="2">
        <v>280.5</v>
      </c>
      <c r="R804" s="2">
        <v>72.12</v>
      </c>
      <c r="S804" s="1" t="s">
        <v>1011</v>
      </c>
      <c r="T804" s="1" t="s">
        <v>1007</v>
      </c>
      <c r="U804" s="1" t="s">
        <v>1004</v>
      </c>
    </row>
    <row r="805" spans="1:21" x14ac:dyDescent="0.3">
      <c r="A805" s="1" t="s">
        <v>1819</v>
      </c>
      <c r="B805" s="1" t="s">
        <v>63</v>
      </c>
      <c r="C805" s="1" t="s">
        <v>64</v>
      </c>
      <c r="D805" s="1" t="s">
        <v>28</v>
      </c>
      <c r="E805" s="1" t="s">
        <v>2932</v>
      </c>
      <c r="F805" s="1" t="s">
        <v>1013</v>
      </c>
      <c r="G805" s="1" t="s">
        <v>1023</v>
      </c>
      <c r="H805" s="1">
        <v>7</v>
      </c>
      <c r="I805" s="1">
        <v>3</v>
      </c>
      <c r="J805" s="1" t="s">
        <v>2517</v>
      </c>
      <c r="K805" s="2">
        <v>65.02</v>
      </c>
      <c r="L805" s="1">
        <v>0</v>
      </c>
      <c r="M805" s="2">
        <v>455.14</v>
      </c>
      <c r="N805" s="2">
        <v>0</v>
      </c>
      <c r="O805" s="2">
        <v>455.14</v>
      </c>
      <c r="P805" s="1">
        <v>277</v>
      </c>
      <c r="Q805" s="2">
        <v>45.51</v>
      </c>
      <c r="R805" s="2">
        <v>136.57</v>
      </c>
      <c r="S805" s="1" t="s">
        <v>1016</v>
      </c>
      <c r="T805" s="1" t="s">
        <v>1004</v>
      </c>
      <c r="U805" s="1" t="s">
        <v>1007</v>
      </c>
    </row>
    <row r="806" spans="1:21" x14ac:dyDescent="0.3">
      <c r="A806" s="1" t="s">
        <v>1820</v>
      </c>
      <c r="B806" s="1" t="s">
        <v>37</v>
      </c>
      <c r="C806" s="1" t="s">
        <v>38</v>
      </c>
      <c r="D806" s="1" t="s">
        <v>39</v>
      </c>
      <c r="E806" s="1" t="s">
        <v>2933</v>
      </c>
      <c r="F806" s="1" t="s">
        <v>1020</v>
      </c>
      <c r="G806" s="1" t="s">
        <v>1023</v>
      </c>
      <c r="H806" s="1">
        <v>2</v>
      </c>
      <c r="I806" s="1">
        <v>2</v>
      </c>
      <c r="J806" s="1" t="s">
        <v>2632</v>
      </c>
      <c r="K806" s="2">
        <v>273.91000000000003</v>
      </c>
      <c r="L806" s="1">
        <v>18</v>
      </c>
      <c r="M806" s="2">
        <v>547.82000000000005</v>
      </c>
      <c r="N806" s="2">
        <v>98.61</v>
      </c>
      <c r="O806" s="2">
        <v>449.21</v>
      </c>
      <c r="P806" s="1">
        <v>188</v>
      </c>
      <c r="Q806" s="2">
        <v>191.74</v>
      </c>
      <c r="R806" s="2">
        <v>65.73</v>
      </c>
      <c r="S806" s="1" t="s">
        <v>1011</v>
      </c>
      <c r="T806" s="1" t="s">
        <v>1007</v>
      </c>
      <c r="U806" s="1" t="s">
        <v>1004</v>
      </c>
    </row>
    <row r="807" spans="1:21" x14ac:dyDescent="0.3">
      <c r="A807" s="1" t="s">
        <v>1821</v>
      </c>
      <c r="B807" s="1" t="s">
        <v>166</v>
      </c>
      <c r="C807" s="1" t="s">
        <v>167</v>
      </c>
      <c r="D807" s="1" t="s">
        <v>59</v>
      </c>
      <c r="E807" s="1" t="s">
        <v>2934</v>
      </c>
      <c r="F807" s="1" t="s">
        <v>1001</v>
      </c>
      <c r="G807" s="1" t="s">
        <v>1010</v>
      </c>
      <c r="H807" s="1">
        <v>3</v>
      </c>
      <c r="I807" s="1">
        <v>4</v>
      </c>
      <c r="J807" s="1" t="s">
        <v>2671</v>
      </c>
      <c r="K807" s="2">
        <v>170.49</v>
      </c>
      <c r="L807" s="1">
        <v>3</v>
      </c>
      <c r="M807" s="2">
        <v>511.47</v>
      </c>
      <c r="N807" s="2">
        <v>15.34</v>
      </c>
      <c r="O807" s="2">
        <v>496.13</v>
      </c>
      <c r="P807" s="1">
        <v>244</v>
      </c>
      <c r="Q807" s="2">
        <v>119.34</v>
      </c>
      <c r="R807" s="2">
        <v>138.11000000000001</v>
      </c>
      <c r="S807" s="1" t="s">
        <v>1003</v>
      </c>
      <c r="T807" s="1" t="s">
        <v>1007</v>
      </c>
      <c r="U807" s="1" t="s">
        <v>1007</v>
      </c>
    </row>
    <row r="808" spans="1:21" x14ac:dyDescent="0.3">
      <c r="A808" s="1" t="s">
        <v>1822</v>
      </c>
      <c r="B808" s="1" t="s">
        <v>237</v>
      </c>
      <c r="C808" s="1" t="s">
        <v>238</v>
      </c>
      <c r="D808" s="1" t="s">
        <v>85</v>
      </c>
      <c r="E808" s="1" t="s">
        <v>2935</v>
      </c>
      <c r="F808" s="1" t="s">
        <v>1001</v>
      </c>
      <c r="G808" s="1" t="s">
        <v>1002</v>
      </c>
      <c r="H808" s="1">
        <v>7</v>
      </c>
      <c r="I808" s="1">
        <v>6</v>
      </c>
      <c r="J808" s="1" t="s">
        <v>2809</v>
      </c>
      <c r="K808" s="2">
        <v>403.92</v>
      </c>
      <c r="L808" s="1">
        <v>13</v>
      </c>
      <c r="M808" s="2">
        <v>2827.44</v>
      </c>
      <c r="N808" s="2">
        <v>367.57</v>
      </c>
      <c r="O808" s="2">
        <v>2459.87</v>
      </c>
      <c r="P808" s="1">
        <v>196</v>
      </c>
      <c r="Q808" s="2">
        <v>282.74</v>
      </c>
      <c r="R808" s="2">
        <v>480.69</v>
      </c>
      <c r="S808" s="1" t="s">
        <v>1011</v>
      </c>
      <c r="T808" s="1" t="s">
        <v>1007</v>
      </c>
      <c r="U808" s="1" t="s">
        <v>1007</v>
      </c>
    </row>
    <row r="809" spans="1:21" x14ac:dyDescent="0.3">
      <c r="A809" s="1" t="s">
        <v>1823</v>
      </c>
      <c r="B809" s="1" t="s">
        <v>45</v>
      </c>
      <c r="C809" s="1" t="s">
        <v>46</v>
      </c>
      <c r="D809" s="1" t="s">
        <v>47</v>
      </c>
      <c r="E809" s="1" t="s">
        <v>2936</v>
      </c>
      <c r="F809" s="1" t="s">
        <v>1015</v>
      </c>
      <c r="G809" s="1" t="s">
        <v>1002</v>
      </c>
      <c r="H809" s="1">
        <v>13</v>
      </c>
      <c r="I809" s="1">
        <v>5</v>
      </c>
      <c r="J809" s="1" t="s">
        <v>2775</v>
      </c>
      <c r="K809" s="2">
        <v>215.57</v>
      </c>
      <c r="L809" s="1">
        <v>24</v>
      </c>
      <c r="M809" s="2">
        <v>2802.41</v>
      </c>
      <c r="N809" s="2">
        <v>672.58</v>
      </c>
      <c r="O809" s="2">
        <v>2129.83</v>
      </c>
      <c r="P809" s="1">
        <v>244</v>
      </c>
      <c r="Q809" s="2">
        <v>150.9</v>
      </c>
      <c r="R809" s="2">
        <v>168.13</v>
      </c>
      <c r="S809" s="1" t="s">
        <v>1003</v>
      </c>
      <c r="T809" s="1" t="s">
        <v>1007</v>
      </c>
      <c r="U809" s="1" t="s">
        <v>1004</v>
      </c>
    </row>
    <row r="810" spans="1:21" x14ac:dyDescent="0.3">
      <c r="A810" s="1" t="s">
        <v>1824</v>
      </c>
      <c r="B810" s="1" t="s">
        <v>107</v>
      </c>
      <c r="C810" s="1" t="s">
        <v>108</v>
      </c>
      <c r="D810" s="1" t="s">
        <v>39</v>
      </c>
      <c r="E810" s="1" t="s">
        <v>2937</v>
      </c>
      <c r="F810" s="1" t="s">
        <v>1009</v>
      </c>
      <c r="G810" s="1" t="s">
        <v>1002</v>
      </c>
      <c r="H810" s="1">
        <v>10</v>
      </c>
      <c r="I810" s="1">
        <v>5</v>
      </c>
      <c r="J810" s="1" t="s">
        <v>2685</v>
      </c>
      <c r="K810" s="2">
        <v>419.79</v>
      </c>
      <c r="L810" s="1">
        <v>0</v>
      </c>
      <c r="M810" s="2">
        <v>4197.8999999999996</v>
      </c>
      <c r="N810" s="2">
        <v>0</v>
      </c>
      <c r="O810" s="2">
        <v>4197.8999999999996</v>
      </c>
      <c r="P810" s="1">
        <v>50</v>
      </c>
      <c r="Q810" s="2">
        <v>293.85000000000002</v>
      </c>
      <c r="R810" s="2">
        <v>1259.4000000000001</v>
      </c>
      <c r="S810" s="1" t="s">
        <v>1011</v>
      </c>
      <c r="T810" s="1" t="s">
        <v>1007</v>
      </c>
      <c r="U810" s="1" t="s">
        <v>1004</v>
      </c>
    </row>
    <row r="811" spans="1:21" x14ac:dyDescent="0.3">
      <c r="A811" s="1" t="s">
        <v>1825</v>
      </c>
      <c r="B811" s="1" t="s">
        <v>123</v>
      </c>
      <c r="C811" s="1" t="s">
        <v>124</v>
      </c>
      <c r="D811" s="1" t="s">
        <v>47</v>
      </c>
      <c r="E811" s="1" t="s">
        <v>2938</v>
      </c>
      <c r="F811" s="1" t="s">
        <v>1020</v>
      </c>
      <c r="G811" s="1" t="s">
        <v>1023</v>
      </c>
      <c r="H811" s="1">
        <v>4</v>
      </c>
      <c r="I811" s="1">
        <v>7</v>
      </c>
      <c r="J811" s="1" t="s">
        <v>2891</v>
      </c>
      <c r="K811" s="2">
        <v>277.86</v>
      </c>
      <c r="L811" s="1">
        <v>0</v>
      </c>
      <c r="M811" s="2">
        <v>1111.44</v>
      </c>
      <c r="N811" s="2">
        <v>0</v>
      </c>
      <c r="O811" s="2">
        <v>1111.44</v>
      </c>
      <c r="P811" s="1">
        <v>161</v>
      </c>
      <c r="Q811" s="2">
        <v>194.5</v>
      </c>
      <c r="R811" s="2">
        <v>333.44</v>
      </c>
      <c r="S811" s="1" t="s">
        <v>1003</v>
      </c>
      <c r="T811" s="1" t="s">
        <v>1007</v>
      </c>
      <c r="U811" s="1" t="s">
        <v>1004</v>
      </c>
    </row>
    <row r="812" spans="1:21" x14ac:dyDescent="0.3">
      <c r="A812" s="1" t="s">
        <v>1826</v>
      </c>
      <c r="B812" s="1" t="s">
        <v>77</v>
      </c>
      <c r="C812" s="1" t="s">
        <v>78</v>
      </c>
      <c r="D812" s="1" t="s">
        <v>47</v>
      </c>
      <c r="E812" s="1" t="s">
        <v>2939</v>
      </c>
      <c r="F812" s="1" t="s">
        <v>1027</v>
      </c>
      <c r="G812" s="1" t="s">
        <v>1023</v>
      </c>
      <c r="H812" s="1">
        <v>14</v>
      </c>
      <c r="I812" s="1">
        <v>2</v>
      </c>
      <c r="J812" s="1" t="s">
        <v>2900</v>
      </c>
      <c r="K812" s="2">
        <v>378.34</v>
      </c>
      <c r="L812" s="1">
        <v>6</v>
      </c>
      <c r="M812" s="2">
        <v>5296.76</v>
      </c>
      <c r="N812" s="2">
        <v>317.81</v>
      </c>
      <c r="O812" s="2">
        <v>4978.95</v>
      </c>
      <c r="P812" s="1">
        <v>163</v>
      </c>
      <c r="Q812" s="2">
        <v>264.83999999999997</v>
      </c>
      <c r="R812" s="2">
        <v>1271.19</v>
      </c>
      <c r="S812" s="1" t="s">
        <v>1003</v>
      </c>
      <c r="T812" s="1" t="s">
        <v>1004</v>
      </c>
      <c r="U812" s="1" t="s">
        <v>1004</v>
      </c>
    </row>
    <row r="813" spans="1:21" x14ac:dyDescent="0.3">
      <c r="A813" s="1" t="s">
        <v>1827</v>
      </c>
      <c r="B813" s="1" t="s">
        <v>130</v>
      </c>
      <c r="C813" s="1" t="s">
        <v>131</v>
      </c>
      <c r="D813" s="1" t="s">
        <v>132</v>
      </c>
      <c r="E813" s="1" t="s">
        <v>2940</v>
      </c>
      <c r="F813" s="1" t="s">
        <v>1013</v>
      </c>
      <c r="G813" s="1" t="s">
        <v>1002</v>
      </c>
      <c r="H813" s="1">
        <v>3</v>
      </c>
      <c r="I813" s="1">
        <v>1</v>
      </c>
      <c r="J813" s="1" t="s">
        <v>2910</v>
      </c>
      <c r="K813" s="2">
        <v>77.23</v>
      </c>
      <c r="L813" s="1">
        <v>4</v>
      </c>
      <c r="M813" s="2">
        <v>231.69</v>
      </c>
      <c r="N813" s="2">
        <v>9.27</v>
      </c>
      <c r="O813" s="2">
        <v>222.42</v>
      </c>
      <c r="P813" s="1">
        <v>174</v>
      </c>
      <c r="Q813" s="2">
        <v>54.06</v>
      </c>
      <c r="R813" s="2">
        <v>60.24</v>
      </c>
      <c r="S813" s="1" t="s">
        <v>1011</v>
      </c>
      <c r="T813" s="1" t="s">
        <v>1004</v>
      </c>
      <c r="U813" s="1" t="s">
        <v>1007</v>
      </c>
    </row>
    <row r="814" spans="1:21" x14ac:dyDescent="0.3">
      <c r="A814" s="1" t="s">
        <v>1828</v>
      </c>
      <c r="B814" s="1" t="s">
        <v>166</v>
      </c>
      <c r="C814" s="1" t="s">
        <v>167</v>
      </c>
      <c r="D814" s="1" t="s">
        <v>59</v>
      </c>
      <c r="E814" s="1" t="s">
        <v>2941</v>
      </c>
      <c r="F814" s="1" t="s">
        <v>1013</v>
      </c>
      <c r="G814" s="1" t="s">
        <v>1023</v>
      </c>
      <c r="H814" s="1">
        <v>6</v>
      </c>
      <c r="I814" s="1">
        <v>5</v>
      </c>
      <c r="J814" s="1" t="s">
        <v>2632</v>
      </c>
      <c r="K814" s="2">
        <v>164.72</v>
      </c>
      <c r="L814" s="1">
        <v>2</v>
      </c>
      <c r="M814" s="2">
        <v>988.32</v>
      </c>
      <c r="N814" s="2">
        <v>19.77</v>
      </c>
      <c r="O814" s="2">
        <v>968.55</v>
      </c>
      <c r="P814" s="1">
        <v>74</v>
      </c>
      <c r="Q814" s="2">
        <v>115.3</v>
      </c>
      <c r="R814" s="2">
        <v>276.75</v>
      </c>
      <c r="S814" s="1" t="s">
        <v>1011</v>
      </c>
      <c r="T814" s="1" t="s">
        <v>1007</v>
      </c>
      <c r="U814" s="1" t="s">
        <v>1004</v>
      </c>
    </row>
    <row r="815" spans="1:21" x14ac:dyDescent="0.3">
      <c r="A815" s="1" t="s">
        <v>1829</v>
      </c>
      <c r="B815" s="1" t="s">
        <v>83</v>
      </c>
      <c r="C815" s="1" t="s">
        <v>84</v>
      </c>
      <c r="D815" s="1" t="s">
        <v>85</v>
      </c>
      <c r="E815" s="1" t="s">
        <v>2942</v>
      </c>
      <c r="F815" s="1" t="s">
        <v>1013</v>
      </c>
      <c r="G815" s="1" t="s">
        <v>1023</v>
      </c>
      <c r="H815" s="1">
        <v>15</v>
      </c>
      <c r="I815" s="1">
        <v>5</v>
      </c>
      <c r="J815" s="1" t="s">
        <v>2943</v>
      </c>
      <c r="K815" s="2">
        <v>120.62</v>
      </c>
      <c r="L815" s="1">
        <v>19</v>
      </c>
      <c r="M815" s="2">
        <v>1809.3</v>
      </c>
      <c r="N815" s="2">
        <v>343.77</v>
      </c>
      <c r="O815" s="2">
        <v>1465.53</v>
      </c>
      <c r="P815" s="1">
        <v>281</v>
      </c>
      <c r="Q815" s="2">
        <v>84.43</v>
      </c>
      <c r="R815" s="2">
        <v>199.08</v>
      </c>
      <c r="S815" s="1" t="s">
        <v>1011</v>
      </c>
      <c r="T815" s="1" t="s">
        <v>1007</v>
      </c>
      <c r="U815" s="1" t="s">
        <v>1007</v>
      </c>
    </row>
    <row r="816" spans="1:21" x14ac:dyDescent="0.3">
      <c r="A816" s="1" t="s">
        <v>1830</v>
      </c>
      <c r="B816" s="1" t="s">
        <v>111</v>
      </c>
      <c r="C816" s="1" t="s">
        <v>112</v>
      </c>
      <c r="D816" s="1" t="s">
        <v>97</v>
      </c>
      <c r="E816" s="1" t="s">
        <v>2944</v>
      </c>
      <c r="F816" s="1" t="s">
        <v>1015</v>
      </c>
      <c r="G816" s="1" t="s">
        <v>1010</v>
      </c>
      <c r="H816" s="1">
        <v>6</v>
      </c>
      <c r="I816" s="1">
        <v>3</v>
      </c>
      <c r="J816" s="1" t="s">
        <v>2945</v>
      </c>
      <c r="K816" s="2">
        <v>287.89</v>
      </c>
      <c r="L816" s="1">
        <v>18</v>
      </c>
      <c r="M816" s="2">
        <v>1727.34</v>
      </c>
      <c r="N816" s="2">
        <v>310.92</v>
      </c>
      <c r="O816" s="2">
        <v>1416.42</v>
      </c>
      <c r="P816" s="1">
        <v>156</v>
      </c>
      <c r="Q816" s="2">
        <v>201.52</v>
      </c>
      <c r="R816" s="2">
        <v>207.3</v>
      </c>
      <c r="S816" s="1" t="s">
        <v>1011</v>
      </c>
      <c r="T816" s="1" t="s">
        <v>1007</v>
      </c>
      <c r="U816" s="1" t="s">
        <v>1004</v>
      </c>
    </row>
    <row r="817" spans="1:21" x14ac:dyDescent="0.3">
      <c r="A817" s="1" t="s">
        <v>1831</v>
      </c>
      <c r="B817" s="1" t="s">
        <v>52</v>
      </c>
      <c r="C817" s="1" t="s">
        <v>53</v>
      </c>
      <c r="D817" s="1" t="s">
        <v>47</v>
      </c>
      <c r="E817" s="1" t="s">
        <v>2946</v>
      </c>
      <c r="F817" s="1" t="s">
        <v>1001</v>
      </c>
      <c r="G817" s="1" t="s">
        <v>1023</v>
      </c>
      <c r="H817" s="1">
        <v>2</v>
      </c>
      <c r="I817" s="1">
        <v>1</v>
      </c>
      <c r="J817" s="1" t="s">
        <v>2869</v>
      </c>
      <c r="K817" s="2">
        <v>333.44</v>
      </c>
      <c r="L817" s="1">
        <v>7</v>
      </c>
      <c r="M817" s="2">
        <v>666.88</v>
      </c>
      <c r="N817" s="2">
        <v>46.68</v>
      </c>
      <c r="O817" s="2">
        <v>620.20000000000005</v>
      </c>
      <c r="P817" s="1">
        <v>259</v>
      </c>
      <c r="Q817" s="2">
        <v>233.41</v>
      </c>
      <c r="R817" s="2">
        <v>153.38</v>
      </c>
      <c r="S817" s="1" t="s">
        <v>1003</v>
      </c>
      <c r="T817" s="1" t="s">
        <v>1007</v>
      </c>
      <c r="U817" s="1" t="s">
        <v>1007</v>
      </c>
    </row>
    <row r="818" spans="1:21" x14ac:dyDescent="0.3">
      <c r="A818" s="1" t="s">
        <v>1832</v>
      </c>
      <c r="B818" s="1" t="s">
        <v>69</v>
      </c>
      <c r="C818" s="1" t="s">
        <v>70</v>
      </c>
      <c r="D818" s="1" t="s">
        <v>59</v>
      </c>
      <c r="E818" s="1" t="s">
        <v>2947</v>
      </c>
      <c r="F818" s="1" t="s">
        <v>1013</v>
      </c>
      <c r="G818" s="1" t="s">
        <v>1002</v>
      </c>
      <c r="H818" s="1">
        <v>2</v>
      </c>
      <c r="I818" s="1">
        <v>3</v>
      </c>
      <c r="J818" s="1" t="s">
        <v>2867</v>
      </c>
      <c r="K818" s="2">
        <v>277.13</v>
      </c>
      <c r="L818" s="1">
        <v>1</v>
      </c>
      <c r="M818" s="2">
        <v>554.26</v>
      </c>
      <c r="N818" s="2">
        <v>5.54</v>
      </c>
      <c r="O818" s="2">
        <v>548.72</v>
      </c>
      <c r="P818" s="1">
        <v>54</v>
      </c>
      <c r="Q818" s="2">
        <v>193.99</v>
      </c>
      <c r="R818" s="2">
        <v>160.74</v>
      </c>
      <c r="S818" s="1" t="s">
        <v>1003</v>
      </c>
      <c r="T818" s="1" t="s">
        <v>1007</v>
      </c>
      <c r="U818" s="1" t="s">
        <v>1007</v>
      </c>
    </row>
    <row r="819" spans="1:21" x14ac:dyDescent="0.3">
      <c r="A819" s="1" t="s">
        <v>1833</v>
      </c>
      <c r="B819" s="1" t="s">
        <v>52</v>
      </c>
      <c r="C819" s="1" t="s">
        <v>53</v>
      </c>
      <c r="D819" s="1" t="s">
        <v>47</v>
      </c>
      <c r="E819" s="1" t="s">
        <v>2948</v>
      </c>
      <c r="F819" s="1" t="s">
        <v>1001</v>
      </c>
      <c r="G819" s="1" t="s">
        <v>1023</v>
      </c>
      <c r="H819" s="1">
        <v>8</v>
      </c>
      <c r="I819" s="1">
        <v>2</v>
      </c>
      <c r="J819" s="1" t="s">
        <v>2867</v>
      </c>
      <c r="K819" s="2">
        <v>66.87</v>
      </c>
      <c r="L819" s="1">
        <v>8</v>
      </c>
      <c r="M819" s="2">
        <v>534.96</v>
      </c>
      <c r="N819" s="2">
        <v>42.8</v>
      </c>
      <c r="O819" s="2">
        <v>492.16</v>
      </c>
      <c r="P819" s="1">
        <v>288</v>
      </c>
      <c r="Q819" s="2">
        <v>46.81</v>
      </c>
      <c r="R819" s="2">
        <v>117.68</v>
      </c>
      <c r="S819" s="1" t="s">
        <v>1003</v>
      </c>
      <c r="T819" s="1" t="s">
        <v>1004</v>
      </c>
      <c r="U819" s="1" t="s">
        <v>1007</v>
      </c>
    </row>
    <row r="820" spans="1:21" x14ac:dyDescent="0.3">
      <c r="A820" s="1" t="s">
        <v>1834</v>
      </c>
      <c r="B820" s="1" t="s">
        <v>45</v>
      </c>
      <c r="C820" s="1" t="s">
        <v>46</v>
      </c>
      <c r="D820" s="1" t="s">
        <v>47</v>
      </c>
      <c r="E820" s="1" t="s">
        <v>2949</v>
      </c>
      <c r="F820" s="1" t="s">
        <v>1020</v>
      </c>
      <c r="G820" s="1" t="s">
        <v>1023</v>
      </c>
      <c r="H820" s="1">
        <v>2</v>
      </c>
      <c r="I820" s="1">
        <v>3</v>
      </c>
      <c r="J820" s="1" t="s">
        <v>2568</v>
      </c>
      <c r="K820" s="2">
        <v>378.54</v>
      </c>
      <c r="L820" s="1">
        <v>2</v>
      </c>
      <c r="M820" s="2">
        <v>757.08</v>
      </c>
      <c r="N820" s="2">
        <v>15.14</v>
      </c>
      <c r="O820" s="2">
        <v>741.94</v>
      </c>
      <c r="P820" s="1">
        <v>101</v>
      </c>
      <c r="Q820" s="2">
        <v>264.98</v>
      </c>
      <c r="R820" s="2">
        <v>211.98</v>
      </c>
      <c r="S820" s="1" t="s">
        <v>1016</v>
      </c>
      <c r="T820" s="1" t="s">
        <v>1004</v>
      </c>
      <c r="U820" s="1" t="s">
        <v>1004</v>
      </c>
    </row>
    <row r="821" spans="1:21" x14ac:dyDescent="0.3">
      <c r="A821" s="1" t="s">
        <v>1835</v>
      </c>
      <c r="B821" s="1" t="s">
        <v>72</v>
      </c>
      <c r="C821" s="1" t="s">
        <v>73</v>
      </c>
      <c r="D821" s="1" t="s">
        <v>47</v>
      </c>
      <c r="E821" s="1" t="s">
        <v>2950</v>
      </c>
      <c r="F821" s="1" t="s">
        <v>1020</v>
      </c>
      <c r="G821" s="1" t="s">
        <v>1010</v>
      </c>
      <c r="H821" s="1">
        <v>9</v>
      </c>
      <c r="I821" s="1">
        <v>3</v>
      </c>
      <c r="J821" s="1" t="s">
        <v>2572</v>
      </c>
      <c r="K821" s="2">
        <v>338.07</v>
      </c>
      <c r="L821" s="1">
        <v>25</v>
      </c>
      <c r="M821" s="2">
        <v>3042.63</v>
      </c>
      <c r="N821" s="2">
        <v>760.66</v>
      </c>
      <c r="O821" s="2">
        <v>2281.9699999999998</v>
      </c>
      <c r="P821" s="1">
        <v>279</v>
      </c>
      <c r="Q821" s="2">
        <v>236.65</v>
      </c>
      <c r="R821" s="2">
        <v>152.12</v>
      </c>
      <c r="S821" s="1" t="s">
        <v>1011</v>
      </c>
      <c r="T821" s="1" t="s">
        <v>1004</v>
      </c>
      <c r="U821" s="1" t="s">
        <v>1004</v>
      </c>
    </row>
    <row r="822" spans="1:21" x14ac:dyDescent="0.3">
      <c r="A822" s="1" t="s">
        <v>1836</v>
      </c>
      <c r="B822" s="1" t="s">
        <v>63</v>
      </c>
      <c r="C822" s="1" t="s">
        <v>64</v>
      </c>
      <c r="D822" s="1" t="s">
        <v>28</v>
      </c>
      <c r="E822" s="1" t="s">
        <v>2951</v>
      </c>
      <c r="F822" s="1" t="s">
        <v>1006</v>
      </c>
      <c r="G822" s="1" t="s">
        <v>1002</v>
      </c>
      <c r="H822" s="1">
        <v>13</v>
      </c>
      <c r="I822" s="1">
        <v>1</v>
      </c>
      <c r="J822" s="1" t="s">
        <v>2833</v>
      </c>
      <c r="K822" s="2">
        <v>339.81</v>
      </c>
      <c r="L822" s="1">
        <v>25</v>
      </c>
      <c r="M822" s="2">
        <v>4417.53</v>
      </c>
      <c r="N822" s="2">
        <v>1104.3800000000001</v>
      </c>
      <c r="O822" s="2">
        <v>3313.15</v>
      </c>
      <c r="P822" s="1">
        <v>292</v>
      </c>
      <c r="Q822" s="2">
        <v>237.87</v>
      </c>
      <c r="R822" s="2">
        <v>220.84</v>
      </c>
      <c r="S822" s="1" t="s">
        <v>1003</v>
      </c>
      <c r="T822" s="1" t="s">
        <v>1007</v>
      </c>
      <c r="U822" s="1" t="s">
        <v>1007</v>
      </c>
    </row>
    <row r="823" spans="1:21" x14ac:dyDescent="0.3">
      <c r="A823" s="1" t="s">
        <v>1837</v>
      </c>
      <c r="B823" s="1" t="s">
        <v>52</v>
      </c>
      <c r="C823" s="1" t="s">
        <v>53</v>
      </c>
      <c r="D823" s="1" t="s">
        <v>47</v>
      </c>
      <c r="E823" s="1" t="s">
        <v>2952</v>
      </c>
      <c r="F823" s="1" t="s">
        <v>1015</v>
      </c>
      <c r="G823" s="1" t="s">
        <v>1002</v>
      </c>
      <c r="H823" s="1">
        <v>10</v>
      </c>
      <c r="I823" s="1">
        <v>2</v>
      </c>
      <c r="J823" s="1" t="s">
        <v>2842</v>
      </c>
      <c r="K823" s="2">
        <v>415.12</v>
      </c>
      <c r="L823" s="1">
        <v>16</v>
      </c>
      <c r="M823" s="2">
        <v>4151.2</v>
      </c>
      <c r="N823" s="2">
        <v>664.19</v>
      </c>
      <c r="O823" s="2">
        <v>3487.01</v>
      </c>
      <c r="P823" s="1">
        <v>233</v>
      </c>
      <c r="Q823" s="2">
        <v>290.58</v>
      </c>
      <c r="R823" s="2">
        <v>581.21</v>
      </c>
      <c r="S823" s="1" t="s">
        <v>1016</v>
      </c>
      <c r="T823" s="1" t="s">
        <v>1004</v>
      </c>
      <c r="U823" s="1" t="s">
        <v>1007</v>
      </c>
    </row>
    <row r="824" spans="1:21" x14ac:dyDescent="0.3">
      <c r="A824" s="1" t="s">
        <v>1838</v>
      </c>
      <c r="B824" s="1" t="s">
        <v>52</v>
      </c>
      <c r="C824" s="1" t="s">
        <v>53</v>
      </c>
      <c r="D824" s="1" t="s">
        <v>47</v>
      </c>
      <c r="E824" s="1" t="s">
        <v>2953</v>
      </c>
      <c r="F824" s="1" t="s">
        <v>1001</v>
      </c>
      <c r="G824" s="1" t="s">
        <v>1010</v>
      </c>
      <c r="H824" s="1">
        <v>9</v>
      </c>
      <c r="I824" s="1">
        <v>2</v>
      </c>
      <c r="J824" s="1" t="s">
        <v>2623</v>
      </c>
      <c r="K824" s="2">
        <v>180.24</v>
      </c>
      <c r="L824" s="1">
        <v>3</v>
      </c>
      <c r="M824" s="2">
        <v>1622.16</v>
      </c>
      <c r="N824" s="2">
        <v>48.66</v>
      </c>
      <c r="O824" s="2">
        <v>1573.5</v>
      </c>
      <c r="P824" s="1">
        <v>161</v>
      </c>
      <c r="Q824" s="2">
        <v>126.17</v>
      </c>
      <c r="R824" s="2">
        <v>437.97</v>
      </c>
      <c r="S824" s="1" t="s">
        <v>1003</v>
      </c>
      <c r="T824" s="1" t="s">
        <v>1007</v>
      </c>
      <c r="U824" s="1" t="s">
        <v>1007</v>
      </c>
    </row>
    <row r="825" spans="1:21" x14ac:dyDescent="0.3">
      <c r="A825" s="1" t="s">
        <v>1839</v>
      </c>
      <c r="B825" s="1" t="s">
        <v>45</v>
      </c>
      <c r="C825" s="1" t="s">
        <v>46</v>
      </c>
      <c r="D825" s="1" t="s">
        <v>47</v>
      </c>
      <c r="E825" s="1" t="s">
        <v>2954</v>
      </c>
      <c r="F825" s="1" t="s">
        <v>1027</v>
      </c>
      <c r="G825" s="1" t="s">
        <v>1002</v>
      </c>
      <c r="H825" s="1">
        <v>3</v>
      </c>
      <c r="I825" s="1">
        <v>7</v>
      </c>
      <c r="J825" s="1" t="s">
        <v>2772</v>
      </c>
      <c r="K825" s="2">
        <v>212.42</v>
      </c>
      <c r="L825" s="1">
        <v>15</v>
      </c>
      <c r="M825" s="2">
        <v>637.26</v>
      </c>
      <c r="N825" s="2">
        <v>95.59</v>
      </c>
      <c r="O825" s="2">
        <v>541.66999999999996</v>
      </c>
      <c r="P825" s="1">
        <v>142</v>
      </c>
      <c r="Q825" s="2">
        <v>148.69</v>
      </c>
      <c r="R825" s="2">
        <v>95.6</v>
      </c>
      <c r="S825" s="1" t="s">
        <v>1003</v>
      </c>
      <c r="T825" s="1" t="s">
        <v>1004</v>
      </c>
      <c r="U825" s="1" t="s">
        <v>1007</v>
      </c>
    </row>
    <row r="826" spans="1:21" x14ac:dyDescent="0.3">
      <c r="A826" s="1" t="s">
        <v>1840</v>
      </c>
      <c r="B826" s="1" t="s">
        <v>45</v>
      </c>
      <c r="C826" s="1" t="s">
        <v>46</v>
      </c>
      <c r="D826" s="1" t="s">
        <v>47</v>
      </c>
      <c r="E826" s="1" t="s">
        <v>2955</v>
      </c>
      <c r="F826" s="1" t="s">
        <v>1020</v>
      </c>
      <c r="G826" s="1" t="s">
        <v>1023</v>
      </c>
      <c r="H826" s="1">
        <v>4</v>
      </c>
      <c r="I826" s="1">
        <v>6</v>
      </c>
      <c r="J826" s="1" t="s">
        <v>2638</v>
      </c>
      <c r="K826" s="2">
        <v>319.95999999999998</v>
      </c>
      <c r="L826" s="1">
        <v>7</v>
      </c>
      <c r="M826" s="2">
        <v>1279.8399999999999</v>
      </c>
      <c r="N826" s="2">
        <v>89.59</v>
      </c>
      <c r="O826" s="2">
        <v>1190.25</v>
      </c>
      <c r="P826" s="1">
        <v>162</v>
      </c>
      <c r="Q826" s="2">
        <v>223.97</v>
      </c>
      <c r="R826" s="2">
        <v>294.37</v>
      </c>
      <c r="S826" s="1" t="s">
        <v>1003</v>
      </c>
      <c r="T826" s="1" t="s">
        <v>1004</v>
      </c>
      <c r="U826" s="1" t="s">
        <v>1007</v>
      </c>
    </row>
    <row r="827" spans="1:21" x14ac:dyDescent="0.3">
      <c r="A827" s="1" t="s">
        <v>1841</v>
      </c>
      <c r="B827" s="1" t="s">
        <v>102</v>
      </c>
      <c r="C827" s="1" t="s">
        <v>103</v>
      </c>
      <c r="D827" s="1" t="s">
        <v>104</v>
      </c>
      <c r="E827" s="1" t="s">
        <v>2956</v>
      </c>
      <c r="F827" s="1" t="s">
        <v>1001</v>
      </c>
      <c r="G827" s="1" t="s">
        <v>1010</v>
      </c>
      <c r="H827" s="1">
        <v>14</v>
      </c>
      <c r="I827" s="1">
        <v>4</v>
      </c>
      <c r="J827" s="1" t="s">
        <v>2890</v>
      </c>
      <c r="K827" s="2">
        <v>79.459999999999994</v>
      </c>
      <c r="L827" s="1">
        <v>14</v>
      </c>
      <c r="M827" s="2">
        <v>1112.44</v>
      </c>
      <c r="N827" s="2">
        <v>155.74</v>
      </c>
      <c r="O827" s="2">
        <v>956.7</v>
      </c>
      <c r="P827" s="1">
        <v>133</v>
      </c>
      <c r="Q827" s="2">
        <v>55.62</v>
      </c>
      <c r="R827" s="2">
        <v>178.02</v>
      </c>
      <c r="S827" s="1" t="s">
        <v>1016</v>
      </c>
      <c r="T827" s="1" t="s">
        <v>1004</v>
      </c>
      <c r="U827" s="1" t="s">
        <v>1007</v>
      </c>
    </row>
    <row r="828" spans="1:21" x14ac:dyDescent="0.3">
      <c r="A828" s="1" t="s">
        <v>1842</v>
      </c>
      <c r="B828" s="1" t="s">
        <v>176</v>
      </c>
      <c r="C828" s="1" t="s">
        <v>177</v>
      </c>
      <c r="D828" s="1" t="s">
        <v>39</v>
      </c>
      <c r="E828" s="1" t="s">
        <v>2957</v>
      </c>
      <c r="F828" s="1" t="s">
        <v>1013</v>
      </c>
      <c r="G828" s="1" t="s">
        <v>1010</v>
      </c>
      <c r="H828" s="1">
        <v>14</v>
      </c>
      <c r="I828" s="1">
        <v>3</v>
      </c>
      <c r="J828" s="1" t="s">
        <v>2783</v>
      </c>
      <c r="K828" s="2">
        <v>63.05</v>
      </c>
      <c r="L828" s="1">
        <v>3</v>
      </c>
      <c r="M828" s="2">
        <v>882.7</v>
      </c>
      <c r="N828" s="2">
        <v>26.48</v>
      </c>
      <c r="O828" s="2">
        <v>856.22</v>
      </c>
      <c r="P828" s="1">
        <v>118</v>
      </c>
      <c r="Q828" s="2">
        <v>44.13</v>
      </c>
      <c r="R828" s="2">
        <v>238.4</v>
      </c>
      <c r="S828" s="1" t="s">
        <v>1003</v>
      </c>
      <c r="T828" s="1" t="s">
        <v>1004</v>
      </c>
      <c r="U828" s="1" t="s">
        <v>1004</v>
      </c>
    </row>
    <row r="829" spans="1:21" x14ac:dyDescent="0.3">
      <c r="A829" s="1" t="s">
        <v>1843</v>
      </c>
      <c r="B829" s="1" t="s">
        <v>63</v>
      </c>
      <c r="C829" s="1" t="s">
        <v>64</v>
      </c>
      <c r="D829" s="1" t="s">
        <v>28</v>
      </c>
      <c r="E829" s="1" t="s">
        <v>2958</v>
      </c>
      <c r="F829" s="1" t="s">
        <v>1006</v>
      </c>
      <c r="G829" s="1" t="s">
        <v>1002</v>
      </c>
      <c r="H829" s="1">
        <v>15</v>
      </c>
      <c r="I829" s="1">
        <v>3</v>
      </c>
      <c r="J829" s="1" t="s">
        <v>2809</v>
      </c>
      <c r="K829" s="2">
        <v>465.38</v>
      </c>
      <c r="L829" s="1">
        <v>1</v>
      </c>
      <c r="M829" s="2">
        <v>6980.7</v>
      </c>
      <c r="N829" s="2">
        <v>69.81</v>
      </c>
      <c r="O829" s="2">
        <v>6910.89</v>
      </c>
      <c r="P829" s="1">
        <v>106</v>
      </c>
      <c r="Q829" s="2">
        <v>325.77</v>
      </c>
      <c r="R829" s="2">
        <v>2024.34</v>
      </c>
      <c r="S829" s="1" t="s">
        <v>1016</v>
      </c>
      <c r="T829" s="1" t="s">
        <v>1007</v>
      </c>
      <c r="U829" s="1" t="s">
        <v>1004</v>
      </c>
    </row>
    <row r="830" spans="1:21" x14ac:dyDescent="0.3">
      <c r="A830" s="1" t="s">
        <v>1844</v>
      </c>
      <c r="B830" s="1" t="s">
        <v>189</v>
      </c>
      <c r="C830" s="1" t="s">
        <v>190</v>
      </c>
      <c r="D830" s="1" t="s">
        <v>59</v>
      </c>
      <c r="E830" s="1" t="s">
        <v>2959</v>
      </c>
      <c r="F830" s="1" t="s">
        <v>1009</v>
      </c>
      <c r="G830" s="1" t="s">
        <v>1023</v>
      </c>
      <c r="H830" s="1">
        <v>5</v>
      </c>
      <c r="I830" s="1">
        <v>1</v>
      </c>
      <c r="J830" s="1" t="s">
        <v>2572</v>
      </c>
      <c r="K830" s="2">
        <v>459.95</v>
      </c>
      <c r="L830" s="1">
        <v>13</v>
      </c>
      <c r="M830" s="2">
        <v>2299.75</v>
      </c>
      <c r="N830" s="2">
        <v>298.97000000000003</v>
      </c>
      <c r="O830" s="2">
        <v>2000.78</v>
      </c>
      <c r="P830" s="1">
        <v>278</v>
      </c>
      <c r="Q830" s="2">
        <v>321.95999999999998</v>
      </c>
      <c r="R830" s="2">
        <v>390.98</v>
      </c>
      <c r="S830" s="1" t="s">
        <v>1011</v>
      </c>
      <c r="T830" s="1" t="s">
        <v>1007</v>
      </c>
      <c r="U830" s="1" t="s">
        <v>1007</v>
      </c>
    </row>
    <row r="831" spans="1:21" x14ac:dyDescent="0.3">
      <c r="A831" s="1" t="s">
        <v>1845</v>
      </c>
      <c r="B831" s="1" t="s">
        <v>123</v>
      </c>
      <c r="C831" s="1" t="s">
        <v>124</v>
      </c>
      <c r="D831" s="1" t="s">
        <v>47</v>
      </c>
      <c r="E831" s="1" t="s">
        <v>2960</v>
      </c>
      <c r="F831" s="1" t="s">
        <v>1020</v>
      </c>
      <c r="G831" s="1" t="s">
        <v>1010</v>
      </c>
      <c r="H831" s="1">
        <v>8</v>
      </c>
      <c r="I831" s="1">
        <v>3</v>
      </c>
      <c r="J831" s="1" t="s">
        <v>2803</v>
      </c>
      <c r="K831" s="2">
        <v>117.92</v>
      </c>
      <c r="L831" s="1">
        <v>5</v>
      </c>
      <c r="M831" s="2">
        <v>943.36</v>
      </c>
      <c r="N831" s="2">
        <v>47.17</v>
      </c>
      <c r="O831" s="2">
        <v>896.19</v>
      </c>
      <c r="P831" s="1">
        <v>106</v>
      </c>
      <c r="Q831" s="2">
        <v>82.54</v>
      </c>
      <c r="R831" s="2">
        <v>235.87</v>
      </c>
      <c r="S831" s="1" t="s">
        <v>1016</v>
      </c>
      <c r="T831" s="1" t="s">
        <v>1007</v>
      </c>
      <c r="U831" s="1" t="s">
        <v>1004</v>
      </c>
    </row>
    <row r="832" spans="1:21" x14ac:dyDescent="0.3">
      <c r="A832" s="1" t="s">
        <v>1846</v>
      </c>
      <c r="B832" s="1" t="s">
        <v>83</v>
      </c>
      <c r="C832" s="1" t="s">
        <v>84</v>
      </c>
      <c r="D832" s="1" t="s">
        <v>85</v>
      </c>
      <c r="E832" s="1" t="s">
        <v>2961</v>
      </c>
      <c r="F832" s="1" t="s">
        <v>1020</v>
      </c>
      <c r="G832" s="1" t="s">
        <v>1002</v>
      </c>
      <c r="H832" s="1">
        <v>2</v>
      </c>
      <c r="I832" s="1">
        <v>6</v>
      </c>
      <c r="J832" s="1" t="s">
        <v>2962</v>
      </c>
      <c r="K832" s="2">
        <v>158.35</v>
      </c>
      <c r="L832" s="1">
        <v>14</v>
      </c>
      <c r="M832" s="2">
        <v>316.7</v>
      </c>
      <c r="N832" s="2">
        <v>44.34</v>
      </c>
      <c r="O832" s="2">
        <v>272.36</v>
      </c>
      <c r="P832" s="1">
        <v>104</v>
      </c>
      <c r="Q832" s="2">
        <v>110.84</v>
      </c>
      <c r="R832" s="2">
        <v>50.68</v>
      </c>
      <c r="S832" s="1" t="s">
        <v>1003</v>
      </c>
      <c r="T832" s="1" t="s">
        <v>1004</v>
      </c>
      <c r="U832" s="1" t="s">
        <v>1004</v>
      </c>
    </row>
    <row r="833" spans="1:21" x14ac:dyDescent="0.3">
      <c r="A833" s="1" t="s">
        <v>1847</v>
      </c>
      <c r="B833" s="1" t="s">
        <v>130</v>
      </c>
      <c r="C833" s="1" t="s">
        <v>131</v>
      </c>
      <c r="D833" s="1" t="s">
        <v>132</v>
      </c>
      <c r="E833" s="1" t="s">
        <v>2963</v>
      </c>
      <c r="F833" s="1" t="s">
        <v>1001</v>
      </c>
      <c r="G833" s="1" t="s">
        <v>1010</v>
      </c>
      <c r="H833" s="1">
        <v>4</v>
      </c>
      <c r="I833" s="1">
        <v>4</v>
      </c>
      <c r="J833" s="1" t="s">
        <v>2767</v>
      </c>
      <c r="K833" s="2">
        <v>499.39</v>
      </c>
      <c r="L833" s="1">
        <v>19</v>
      </c>
      <c r="M833" s="2">
        <v>1997.56</v>
      </c>
      <c r="N833" s="2">
        <v>379.54</v>
      </c>
      <c r="O833" s="2">
        <v>1618.02</v>
      </c>
      <c r="P833" s="1">
        <v>78</v>
      </c>
      <c r="Q833" s="2">
        <v>349.57</v>
      </c>
      <c r="R833" s="2">
        <v>219.74</v>
      </c>
      <c r="S833" s="1" t="s">
        <v>1011</v>
      </c>
      <c r="T833" s="1" t="s">
        <v>1007</v>
      </c>
      <c r="U833" s="1" t="s">
        <v>1004</v>
      </c>
    </row>
    <row r="834" spans="1:21" x14ac:dyDescent="0.3">
      <c r="A834" s="1" t="s">
        <v>1848</v>
      </c>
      <c r="B834" s="1" t="s">
        <v>130</v>
      </c>
      <c r="C834" s="1" t="s">
        <v>131</v>
      </c>
      <c r="D834" s="1" t="s">
        <v>132</v>
      </c>
      <c r="E834" s="1" t="s">
        <v>2964</v>
      </c>
      <c r="F834" s="1" t="s">
        <v>1027</v>
      </c>
      <c r="G834" s="1" t="s">
        <v>1002</v>
      </c>
      <c r="H834" s="1">
        <v>15</v>
      </c>
      <c r="I834" s="1">
        <v>2</v>
      </c>
      <c r="J834" s="1" t="s">
        <v>2898</v>
      </c>
      <c r="K834" s="2">
        <v>57.67</v>
      </c>
      <c r="L834" s="1">
        <v>14</v>
      </c>
      <c r="M834" s="2">
        <v>865.05</v>
      </c>
      <c r="N834" s="2">
        <v>121.11</v>
      </c>
      <c r="O834" s="2">
        <v>743.94</v>
      </c>
      <c r="P834" s="1">
        <v>235</v>
      </c>
      <c r="Q834" s="2">
        <v>40.369999999999997</v>
      </c>
      <c r="R834" s="2">
        <v>138.38999999999999</v>
      </c>
      <c r="S834" s="1" t="s">
        <v>1011</v>
      </c>
      <c r="T834" s="1" t="s">
        <v>1004</v>
      </c>
      <c r="U834" s="1" t="s">
        <v>1007</v>
      </c>
    </row>
    <row r="835" spans="1:21" x14ac:dyDescent="0.3">
      <c r="A835" s="1" t="s">
        <v>1849</v>
      </c>
      <c r="B835" s="1" t="s">
        <v>83</v>
      </c>
      <c r="C835" s="1" t="s">
        <v>84</v>
      </c>
      <c r="D835" s="1" t="s">
        <v>85</v>
      </c>
      <c r="E835" s="1" t="s">
        <v>2965</v>
      </c>
      <c r="F835" s="1" t="s">
        <v>1027</v>
      </c>
      <c r="G835" s="1" t="s">
        <v>1010</v>
      </c>
      <c r="H835" s="1">
        <v>12</v>
      </c>
      <c r="I835" s="1">
        <v>6</v>
      </c>
      <c r="J835" s="1" t="s">
        <v>2587</v>
      </c>
      <c r="K835" s="2">
        <v>254.51</v>
      </c>
      <c r="L835" s="1">
        <v>7</v>
      </c>
      <c r="M835" s="2">
        <v>3054.12</v>
      </c>
      <c r="N835" s="2">
        <v>213.79</v>
      </c>
      <c r="O835" s="2">
        <v>2840.33</v>
      </c>
      <c r="P835" s="1">
        <v>71</v>
      </c>
      <c r="Q835" s="2">
        <v>178.16</v>
      </c>
      <c r="R835" s="2">
        <v>702.41</v>
      </c>
      <c r="S835" s="1" t="s">
        <v>1016</v>
      </c>
      <c r="T835" s="1" t="s">
        <v>1004</v>
      </c>
      <c r="U835" s="1" t="s">
        <v>1007</v>
      </c>
    </row>
    <row r="836" spans="1:21" x14ac:dyDescent="0.3">
      <c r="A836" s="1" t="s">
        <v>1850</v>
      </c>
      <c r="B836" s="1" t="s">
        <v>95</v>
      </c>
      <c r="C836" s="1" t="s">
        <v>96</v>
      </c>
      <c r="D836" s="1" t="s">
        <v>97</v>
      </c>
      <c r="E836" s="1" t="s">
        <v>2966</v>
      </c>
      <c r="F836" s="1" t="s">
        <v>1027</v>
      </c>
      <c r="G836" s="1" t="s">
        <v>1010</v>
      </c>
      <c r="H836" s="1">
        <v>9</v>
      </c>
      <c r="I836" s="1">
        <v>3</v>
      </c>
      <c r="J836" s="1" t="s">
        <v>2663</v>
      </c>
      <c r="K836" s="2">
        <v>68.5</v>
      </c>
      <c r="L836" s="1">
        <v>16</v>
      </c>
      <c r="M836" s="2">
        <v>616.5</v>
      </c>
      <c r="N836" s="2">
        <v>98.64</v>
      </c>
      <c r="O836" s="2">
        <v>517.86</v>
      </c>
      <c r="P836" s="1">
        <v>283</v>
      </c>
      <c r="Q836" s="2">
        <v>47.95</v>
      </c>
      <c r="R836" s="2">
        <v>86.31</v>
      </c>
      <c r="S836" s="1" t="s">
        <v>1016</v>
      </c>
      <c r="T836" s="1" t="s">
        <v>1004</v>
      </c>
      <c r="U836" s="1" t="s">
        <v>1004</v>
      </c>
    </row>
    <row r="837" spans="1:21" x14ac:dyDescent="0.3">
      <c r="A837" s="1" t="s">
        <v>1851</v>
      </c>
      <c r="B837" s="1" t="s">
        <v>45</v>
      </c>
      <c r="C837" s="1" t="s">
        <v>46</v>
      </c>
      <c r="D837" s="1" t="s">
        <v>47</v>
      </c>
      <c r="E837" s="1" t="s">
        <v>2967</v>
      </c>
      <c r="F837" s="1" t="s">
        <v>1009</v>
      </c>
      <c r="G837" s="1" t="s">
        <v>1023</v>
      </c>
      <c r="H837" s="1">
        <v>2</v>
      </c>
      <c r="I837" s="1">
        <v>5</v>
      </c>
      <c r="J837" s="1" t="s">
        <v>2553</v>
      </c>
      <c r="K837" s="2">
        <v>77.97</v>
      </c>
      <c r="L837" s="1">
        <v>17</v>
      </c>
      <c r="M837" s="2">
        <v>155.94</v>
      </c>
      <c r="N837" s="2">
        <v>26.51</v>
      </c>
      <c r="O837" s="2">
        <v>129.43</v>
      </c>
      <c r="P837" s="1">
        <v>265</v>
      </c>
      <c r="Q837" s="2">
        <v>54.58</v>
      </c>
      <c r="R837" s="2">
        <v>20.27</v>
      </c>
      <c r="S837" s="1" t="s">
        <v>1016</v>
      </c>
      <c r="T837" s="1" t="s">
        <v>1007</v>
      </c>
      <c r="U837" s="1" t="s">
        <v>1007</v>
      </c>
    </row>
    <row r="838" spans="1:21" x14ac:dyDescent="0.3">
      <c r="A838" s="1" t="s">
        <v>1852</v>
      </c>
      <c r="B838" s="1" t="s">
        <v>166</v>
      </c>
      <c r="C838" s="1" t="s">
        <v>167</v>
      </c>
      <c r="D838" s="1" t="s">
        <v>59</v>
      </c>
      <c r="E838" s="1" t="s">
        <v>2968</v>
      </c>
      <c r="F838" s="1" t="s">
        <v>1027</v>
      </c>
      <c r="G838" s="1" t="s">
        <v>1023</v>
      </c>
      <c r="H838" s="1">
        <v>8</v>
      </c>
      <c r="I838" s="1">
        <v>3</v>
      </c>
      <c r="J838" s="1" t="s">
        <v>2595</v>
      </c>
      <c r="K838" s="2">
        <v>267.61</v>
      </c>
      <c r="L838" s="1">
        <v>22</v>
      </c>
      <c r="M838" s="2">
        <v>2140.88</v>
      </c>
      <c r="N838" s="2">
        <v>470.99</v>
      </c>
      <c r="O838" s="2">
        <v>1669.89</v>
      </c>
      <c r="P838" s="1">
        <v>286</v>
      </c>
      <c r="Q838" s="2">
        <v>187.33</v>
      </c>
      <c r="R838" s="2">
        <v>171.25</v>
      </c>
      <c r="S838" s="1" t="s">
        <v>1003</v>
      </c>
      <c r="T838" s="1" t="s">
        <v>1007</v>
      </c>
      <c r="U838" s="1" t="s">
        <v>1004</v>
      </c>
    </row>
    <row r="839" spans="1:21" x14ac:dyDescent="0.3">
      <c r="A839" s="1" t="s">
        <v>1853</v>
      </c>
      <c r="B839" s="1" t="s">
        <v>176</v>
      </c>
      <c r="C839" s="1" t="s">
        <v>177</v>
      </c>
      <c r="D839" s="1" t="s">
        <v>39</v>
      </c>
      <c r="E839" s="1" t="s">
        <v>2969</v>
      </c>
      <c r="F839" s="1" t="s">
        <v>1015</v>
      </c>
      <c r="G839" s="1" t="s">
        <v>1010</v>
      </c>
      <c r="H839" s="1">
        <v>8</v>
      </c>
      <c r="I839" s="1">
        <v>6</v>
      </c>
      <c r="J839" s="1" t="s">
        <v>2769</v>
      </c>
      <c r="K839" s="2">
        <v>212.74</v>
      </c>
      <c r="L839" s="1">
        <v>12</v>
      </c>
      <c r="M839" s="2">
        <v>1701.92</v>
      </c>
      <c r="N839" s="2">
        <v>204.23</v>
      </c>
      <c r="O839" s="2">
        <v>1497.69</v>
      </c>
      <c r="P839" s="1">
        <v>171</v>
      </c>
      <c r="Q839" s="2">
        <v>148.91999999999999</v>
      </c>
      <c r="R839" s="2">
        <v>306.33</v>
      </c>
      <c r="S839" s="1" t="s">
        <v>1003</v>
      </c>
      <c r="T839" s="1" t="s">
        <v>1004</v>
      </c>
      <c r="U839" s="1" t="s">
        <v>1007</v>
      </c>
    </row>
    <row r="840" spans="1:21" x14ac:dyDescent="0.3">
      <c r="A840" s="1" t="s">
        <v>1854</v>
      </c>
      <c r="B840" s="1" t="s">
        <v>189</v>
      </c>
      <c r="C840" s="1" t="s">
        <v>190</v>
      </c>
      <c r="D840" s="1" t="s">
        <v>59</v>
      </c>
      <c r="E840" s="1" t="s">
        <v>2970</v>
      </c>
      <c r="F840" s="1" t="s">
        <v>1013</v>
      </c>
      <c r="G840" s="1" t="s">
        <v>1002</v>
      </c>
      <c r="H840" s="1">
        <v>13</v>
      </c>
      <c r="I840" s="1">
        <v>7</v>
      </c>
      <c r="J840" s="1" t="s">
        <v>2816</v>
      </c>
      <c r="K840" s="2">
        <v>469.9</v>
      </c>
      <c r="L840" s="1">
        <v>17</v>
      </c>
      <c r="M840" s="2">
        <v>6108.7</v>
      </c>
      <c r="N840" s="2">
        <v>1038.48</v>
      </c>
      <c r="O840" s="2">
        <v>5070.22</v>
      </c>
      <c r="P840" s="1">
        <v>58</v>
      </c>
      <c r="Q840" s="2">
        <v>328.93</v>
      </c>
      <c r="R840" s="2">
        <v>794.13</v>
      </c>
      <c r="S840" s="1" t="s">
        <v>1016</v>
      </c>
      <c r="T840" s="1" t="s">
        <v>1007</v>
      </c>
      <c r="U840" s="1" t="s">
        <v>1007</v>
      </c>
    </row>
    <row r="841" spans="1:21" x14ac:dyDescent="0.3">
      <c r="A841" s="1" t="s">
        <v>1855</v>
      </c>
      <c r="B841" s="1" t="s">
        <v>69</v>
      </c>
      <c r="C841" s="1" t="s">
        <v>70</v>
      </c>
      <c r="D841" s="1" t="s">
        <v>59</v>
      </c>
      <c r="E841" s="1" t="s">
        <v>2971</v>
      </c>
      <c r="F841" s="1" t="s">
        <v>1009</v>
      </c>
      <c r="G841" s="1" t="s">
        <v>1010</v>
      </c>
      <c r="H841" s="1">
        <v>2</v>
      </c>
      <c r="I841" s="1">
        <v>7</v>
      </c>
      <c r="J841" s="1" t="s">
        <v>2666</v>
      </c>
      <c r="K841" s="2">
        <v>60.61</v>
      </c>
      <c r="L841" s="1">
        <v>18</v>
      </c>
      <c r="M841" s="2">
        <v>121.22</v>
      </c>
      <c r="N841" s="2">
        <v>21.82</v>
      </c>
      <c r="O841" s="2">
        <v>99.4</v>
      </c>
      <c r="P841" s="1">
        <v>227</v>
      </c>
      <c r="Q841" s="2">
        <v>42.43</v>
      </c>
      <c r="R841" s="2">
        <v>14.54</v>
      </c>
      <c r="S841" s="1" t="s">
        <v>1003</v>
      </c>
      <c r="T841" s="1" t="s">
        <v>1004</v>
      </c>
      <c r="U841" s="1" t="s">
        <v>1007</v>
      </c>
    </row>
    <row r="842" spans="1:21" x14ac:dyDescent="0.3">
      <c r="A842" s="1" t="s">
        <v>1856</v>
      </c>
      <c r="B842" s="1" t="s">
        <v>37</v>
      </c>
      <c r="C842" s="1" t="s">
        <v>38</v>
      </c>
      <c r="D842" s="1" t="s">
        <v>39</v>
      </c>
      <c r="E842" s="1" t="s">
        <v>2972</v>
      </c>
      <c r="F842" s="1" t="s">
        <v>1027</v>
      </c>
      <c r="G842" s="1" t="s">
        <v>1010</v>
      </c>
      <c r="H842" s="1">
        <v>6</v>
      </c>
      <c r="I842" s="1">
        <v>6</v>
      </c>
      <c r="J842" s="1" t="s">
        <v>2846</v>
      </c>
      <c r="K842" s="2">
        <v>351.5</v>
      </c>
      <c r="L842" s="1">
        <v>24</v>
      </c>
      <c r="M842" s="2">
        <v>2109</v>
      </c>
      <c r="N842" s="2">
        <v>506.16</v>
      </c>
      <c r="O842" s="2">
        <v>1602.84</v>
      </c>
      <c r="P842" s="1">
        <v>268</v>
      </c>
      <c r="Q842" s="2">
        <v>246.05</v>
      </c>
      <c r="R842" s="2">
        <v>126.54</v>
      </c>
      <c r="S842" s="1" t="s">
        <v>1011</v>
      </c>
      <c r="T842" s="1" t="s">
        <v>1007</v>
      </c>
      <c r="U842" s="1" t="s">
        <v>1004</v>
      </c>
    </row>
    <row r="843" spans="1:21" x14ac:dyDescent="0.3">
      <c r="A843" s="1" t="s">
        <v>1857</v>
      </c>
      <c r="B843" s="1" t="s">
        <v>237</v>
      </c>
      <c r="C843" s="1" t="s">
        <v>238</v>
      </c>
      <c r="D843" s="1" t="s">
        <v>85</v>
      </c>
      <c r="E843" s="1" t="s">
        <v>2973</v>
      </c>
      <c r="F843" s="1" t="s">
        <v>1020</v>
      </c>
      <c r="G843" s="1" t="s">
        <v>1002</v>
      </c>
      <c r="H843" s="1">
        <v>15</v>
      </c>
      <c r="I843" s="1">
        <v>1</v>
      </c>
      <c r="J843" s="1" t="s">
        <v>2644</v>
      </c>
      <c r="K843" s="2">
        <v>187.5</v>
      </c>
      <c r="L843" s="1">
        <v>5</v>
      </c>
      <c r="M843" s="2">
        <v>2812.5</v>
      </c>
      <c r="N843" s="2">
        <v>140.62</v>
      </c>
      <c r="O843" s="2">
        <v>2671.88</v>
      </c>
      <c r="P843" s="1">
        <v>254</v>
      </c>
      <c r="Q843" s="2">
        <v>131.25</v>
      </c>
      <c r="R843" s="2">
        <v>703.13</v>
      </c>
      <c r="S843" s="1" t="s">
        <v>1016</v>
      </c>
      <c r="T843" s="1" t="s">
        <v>1007</v>
      </c>
      <c r="U843" s="1" t="s">
        <v>1007</v>
      </c>
    </row>
    <row r="844" spans="1:21" x14ac:dyDescent="0.3">
      <c r="A844" s="1" t="s">
        <v>1858</v>
      </c>
      <c r="B844" s="1" t="s">
        <v>189</v>
      </c>
      <c r="C844" s="1" t="s">
        <v>190</v>
      </c>
      <c r="D844" s="1" t="s">
        <v>59</v>
      </c>
      <c r="E844" s="1" t="s">
        <v>2974</v>
      </c>
      <c r="F844" s="1" t="s">
        <v>1013</v>
      </c>
      <c r="G844" s="1" t="s">
        <v>1023</v>
      </c>
      <c r="H844" s="1">
        <v>1</v>
      </c>
      <c r="I844" s="1">
        <v>4</v>
      </c>
      <c r="J844" s="1" t="s">
        <v>2609</v>
      </c>
      <c r="K844" s="2">
        <v>340.78</v>
      </c>
      <c r="L844" s="1">
        <v>3</v>
      </c>
      <c r="M844" s="2">
        <v>340.78</v>
      </c>
      <c r="N844" s="2">
        <v>10.220000000000001</v>
      </c>
      <c r="O844" s="2">
        <v>330.56</v>
      </c>
      <c r="P844" s="1">
        <v>88</v>
      </c>
      <c r="Q844" s="2">
        <v>238.55</v>
      </c>
      <c r="R844" s="2">
        <v>92.01</v>
      </c>
      <c r="S844" s="1" t="s">
        <v>1003</v>
      </c>
      <c r="T844" s="1" t="s">
        <v>1004</v>
      </c>
      <c r="U844" s="1" t="s">
        <v>1004</v>
      </c>
    </row>
    <row r="845" spans="1:21" x14ac:dyDescent="0.3">
      <c r="A845" s="1" t="s">
        <v>1859</v>
      </c>
      <c r="B845" s="1" t="s">
        <v>176</v>
      </c>
      <c r="C845" s="1" t="s">
        <v>177</v>
      </c>
      <c r="D845" s="1" t="s">
        <v>39</v>
      </c>
      <c r="E845" s="1" t="s">
        <v>2975</v>
      </c>
      <c r="F845" s="1" t="s">
        <v>1006</v>
      </c>
      <c r="G845" s="1" t="s">
        <v>1023</v>
      </c>
      <c r="H845" s="1">
        <v>15</v>
      </c>
      <c r="I845" s="1">
        <v>3</v>
      </c>
      <c r="J845" s="1" t="s">
        <v>2834</v>
      </c>
      <c r="K845" s="2">
        <v>226.99</v>
      </c>
      <c r="L845" s="1">
        <v>0</v>
      </c>
      <c r="M845" s="2">
        <v>3404.85</v>
      </c>
      <c r="N845" s="2">
        <v>0</v>
      </c>
      <c r="O845" s="2">
        <v>3404.85</v>
      </c>
      <c r="P845" s="1">
        <v>163</v>
      </c>
      <c r="Q845" s="2">
        <v>158.88999999999999</v>
      </c>
      <c r="R845" s="2">
        <v>1021.5</v>
      </c>
      <c r="S845" s="1" t="s">
        <v>1016</v>
      </c>
      <c r="T845" s="1" t="s">
        <v>1004</v>
      </c>
      <c r="U845" s="1" t="s">
        <v>1007</v>
      </c>
    </row>
    <row r="846" spans="1:21" x14ac:dyDescent="0.3">
      <c r="A846" s="1" t="s">
        <v>1860</v>
      </c>
      <c r="B846" s="1" t="s">
        <v>176</v>
      </c>
      <c r="C846" s="1" t="s">
        <v>177</v>
      </c>
      <c r="D846" s="1" t="s">
        <v>39</v>
      </c>
      <c r="E846" s="1" t="s">
        <v>2976</v>
      </c>
      <c r="F846" s="1" t="s">
        <v>1020</v>
      </c>
      <c r="G846" s="1" t="s">
        <v>1023</v>
      </c>
      <c r="H846" s="1">
        <v>9</v>
      </c>
      <c r="I846" s="1">
        <v>1</v>
      </c>
      <c r="J846" s="1" t="s">
        <v>2785</v>
      </c>
      <c r="K846" s="2">
        <v>100.5</v>
      </c>
      <c r="L846" s="1">
        <v>8</v>
      </c>
      <c r="M846" s="2">
        <v>904.5</v>
      </c>
      <c r="N846" s="2">
        <v>72.36</v>
      </c>
      <c r="O846" s="2">
        <v>832.14</v>
      </c>
      <c r="P846" s="1">
        <v>118</v>
      </c>
      <c r="Q846" s="2">
        <v>70.349999999999994</v>
      </c>
      <c r="R846" s="2">
        <v>198.99</v>
      </c>
      <c r="S846" s="1" t="s">
        <v>1011</v>
      </c>
      <c r="T846" s="1" t="s">
        <v>1007</v>
      </c>
      <c r="U846" s="1" t="s">
        <v>1004</v>
      </c>
    </row>
    <row r="847" spans="1:21" x14ac:dyDescent="0.3">
      <c r="A847" s="1" t="s">
        <v>1861</v>
      </c>
      <c r="B847" s="1" t="s">
        <v>192</v>
      </c>
      <c r="C847" s="1" t="s">
        <v>193</v>
      </c>
      <c r="D847" s="1" t="s">
        <v>85</v>
      </c>
      <c r="E847" s="1" t="s">
        <v>2977</v>
      </c>
      <c r="F847" s="1" t="s">
        <v>1013</v>
      </c>
      <c r="G847" s="1" t="s">
        <v>1023</v>
      </c>
      <c r="H847" s="1">
        <v>2</v>
      </c>
      <c r="I847" s="1">
        <v>2</v>
      </c>
      <c r="J847" s="1" t="s">
        <v>2978</v>
      </c>
      <c r="K847" s="2">
        <v>469.64</v>
      </c>
      <c r="L847" s="1">
        <v>6</v>
      </c>
      <c r="M847" s="2">
        <v>939.28</v>
      </c>
      <c r="N847" s="2">
        <v>56.36</v>
      </c>
      <c r="O847" s="2">
        <v>882.92</v>
      </c>
      <c r="P847" s="1">
        <v>174</v>
      </c>
      <c r="Q847" s="2">
        <v>328.75</v>
      </c>
      <c r="R847" s="2">
        <v>225.42</v>
      </c>
      <c r="S847" s="1" t="s">
        <v>1011</v>
      </c>
      <c r="T847" s="1" t="s">
        <v>1007</v>
      </c>
      <c r="U847" s="1" t="s">
        <v>1004</v>
      </c>
    </row>
    <row r="848" spans="1:21" x14ac:dyDescent="0.3">
      <c r="A848" s="1" t="s">
        <v>1862</v>
      </c>
      <c r="B848" s="1" t="s">
        <v>26</v>
      </c>
      <c r="C848" s="1" t="s">
        <v>27</v>
      </c>
      <c r="D848" s="1" t="s">
        <v>28</v>
      </c>
      <c r="E848" s="1" t="s">
        <v>2979</v>
      </c>
      <c r="F848" s="1" t="s">
        <v>1027</v>
      </c>
      <c r="G848" s="1" t="s">
        <v>1010</v>
      </c>
      <c r="H848" s="1">
        <v>7</v>
      </c>
      <c r="I848" s="1">
        <v>4</v>
      </c>
      <c r="J848" s="1" t="s">
        <v>2819</v>
      </c>
      <c r="K848" s="2">
        <v>475.77</v>
      </c>
      <c r="L848" s="1">
        <v>16</v>
      </c>
      <c r="M848" s="2">
        <v>3330.39</v>
      </c>
      <c r="N848" s="2">
        <v>532.86</v>
      </c>
      <c r="O848" s="2">
        <v>2797.53</v>
      </c>
      <c r="P848" s="1">
        <v>100</v>
      </c>
      <c r="Q848" s="2">
        <v>333.04</v>
      </c>
      <c r="R848" s="2">
        <v>466.25</v>
      </c>
      <c r="S848" s="1" t="s">
        <v>1011</v>
      </c>
      <c r="T848" s="1" t="s">
        <v>1004</v>
      </c>
      <c r="U848" s="1" t="s">
        <v>1004</v>
      </c>
    </row>
    <row r="849" spans="1:21" x14ac:dyDescent="0.3">
      <c r="A849" s="1" t="s">
        <v>1863</v>
      </c>
      <c r="B849" s="1" t="s">
        <v>26</v>
      </c>
      <c r="C849" s="1" t="s">
        <v>27</v>
      </c>
      <c r="D849" s="1" t="s">
        <v>28</v>
      </c>
      <c r="E849" s="1" t="s">
        <v>2980</v>
      </c>
      <c r="F849" s="1" t="s">
        <v>1001</v>
      </c>
      <c r="G849" s="1" t="s">
        <v>1010</v>
      </c>
      <c r="H849" s="1">
        <v>4</v>
      </c>
      <c r="I849" s="1">
        <v>3</v>
      </c>
      <c r="J849" s="1" t="s">
        <v>2981</v>
      </c>
      <c r="K849" s="2">
        <v>103.97</v>
      </c>
      <c r="L849" s="1">
        <v>23</v>
      </c>
      <c r="M849" s="2">
        <v>415.88</v>
      </c>
      <c r="N849" s="2">
        <v>95.65</v>
      </c>
      <c r="O849" s="2">
        <v>320.23</v>
      </c>
      <c r="P849" s="1">
        <v>212</v>
      </c>
      <c r="Q849" s="2">
        <v>72.78</v>
      </c>
      <c r="R849" s="2">
        <v>29.11</v>
      </c>
      <c r="S849" s="1" t="s">
        <v>1016</v>
      </c>
      <c r="T849" s="1" t="s">
        <v>1004</v>
      </c>
      <c r="U849" s="1" t="s">
        <v>1004</v>
      </c>
    </row>
    <row r="850" spans="1:21" x14ac:dyDescent="0.3">
      <c r="A850" s="1" t="s">
        <v>1864</v>
      </c>
      <c r="B850" s="1" t="s">
        <v>123</v>
      </c>
      <c r="C850" s="1" t="s">
        <v>124</v>
      </c>
      <c r="D850" s="1" t="s">
        <v>47</v>
      </c>
      <c r="E850" s="1" t="s">
        <v>2982</v>
      </c>
      <c r="F850" s="1" t="s">
        <v>1009</v>
      </c>
      <c r="G850" s="1" t="s">
        <v>1023</v>
      </c>
      <c r="H850" s="1">
        <v>13</v>
      </c>
      <c r="I850" s="1">
        <v>3</v>
      </c>
      <c r="J850" s="1" t="s">
        <v>2877</v>
      </c>
      <c r="K850" s="2">
        <v>122.77</v>
      </c>
      <c r="L850" s="1">
        <v>9</v>
      </c>
      <c r="M850" s="2">
        <v>1596.01</v>
      </c>
      <c r="N850" s="2">
        <v>143.63999999999999</v>
      </c>
      <c r="O850" s="2">
        <v>1452.37</v>
      </c>
      <c r="P850" s="1">
        <v>92</v>
      </c>
      <c r="Q850" s="2">
        <v>85.94</v>
      </c>
      <c r="R850" s="2">
        <v>335.15</v>
      </c>
      <c r="S850" s="1" t="s">
        <v>1016</v>
      </c>
      <c r="T850" s="1" t="s">
        <v>1007</v>
      </c>
      <c r="U850" s="1" t="s">
        <v>1007</v>
      </c>
    </row>
    <row r="851" spans="1:21" x14ac:dyDescent="0.3">
      <c r="A851" s="1" t="s">
        <v>1865</v>
      </c>
      <c r="B851" s="1" t="s">
        <v>72</v>
      </c>
      <c r="C851" s="1" t="s">
        <v>73</v>
      </c>
      <c r="D851" s="1" t="s">
        <v>47</v>
      </c>
      <c r="E851" s="1" t="s">
        <v>2983</v>
      </c>
      <c r="F851" s="1" t="s">
        <v>1020</v>
      </c>
      <c r="G851" s="1" t="s">
        <v>1023</v>
      </c>
      <c r="H851" s="1">
        <v>1</v>
      </c>
      <c r="I851" s="1">
        <v>5</v>
      </c>
      <c r="J851" s="1" t="s">
        <v>2882</v>
      </c>
      <c r="K851" s="2">
        <v>97.19</v>
      </c>
      <c r="L851" s="1">
        <v>0</v>
      </c>
      <c r="M851" s="2">
        <v>97.19</v>
      </c>
      <c r="N851" s="2">
        <v>0</v>
      </c>
      <c r="O851" s="2">
        <v>97.19</v>
      </c>
      <c r="P851" s="1">
        <v>251</v>
      </c>
      <c r="Q851" s="2">
        <v>68.03</v>
      </c>
      <c r="R851" s="2">
        <v>29.16</v>
      </c>
      <c r="S851" s="1" t="s">
        <v>1003</v>
      </c>
      <c r="T851" s="1" t="s">
        <v>1007</v>
      </c>
      <c r="U851" s="1" t="s">
        <v>1004</v>
      </c>
    </row>
    <row r="852" spans="1:21" x14ac:dyDescent="0.3">
      <c r="A852" s="1" t="s">
        <v>1866</v>
      </c>
      <c r="B852" s="1" t="s">
        <v>72</v>
      </c>
      <c r="C852" s="1" t="s">
        <v>73</v>
      </c>
      <c r="D852" s="1" t="s">
        <v>47</v>
      </c>
      <c r="E852" s="1" t="s">
        <v>2984</v>
      </c>
      <c r="F852" s="1" t="s">
        <v>1006</v>
      </c>
      <c r="G852" s="1" t="s">
        <v>1023</v>
      </c>
      <c r="H852" s="1">
        <v>7</v>
      </c>
      <c r="I852" s="1">
        <v>2</v>
      </c>
      <c r="J852" s="1" t="s">
        <v>2735</v>
      </c>
      <c r="K852" s="2">
        <v>197.72</v>
      </c>
      <c r="L852" s="1">
        <v>12</v>
      </c>
      <c r="M852" s="2">
        <v>1384.04</v>
      </c>
      <c r="N852" s="2">
        <v>166.08</v>
      </c>
      <c r="O852" s="2">
        <v>1217.96</v>
      </c>
      <c r="P852" s="1">
        <v>228</v>
      </c>
      <c r="Q852" s="2">
        <v>138.4</v>
      </c>
      <c r="R852" s="2">
        <v>249.16</v>
      </c>
      <c r="S852" s="1" t="s">
        <v>1016</v>
      </c>
      <c r="T852" s="1" t="s">
        <v>1004</v>
      </c>
      <c r="U852" s="1" t="s">
        <v>1007</v>
      </c>
    </row>
    <row r="853" spans="1:21" x14ac:dyDescent="0.3">
      <c r="A853" s="1" t="s">
        <v>1867</v>
      </c>
      <c r="B853" s="1" t="s">
        <v>123</v>
      </c>
      <c r="C853" s="1" t="s">
        <v>124</v>
      </c>
      <c r="D853" s="1" t="s">
        <v>47</v>
      </c>
      <c r="E853" s="1" t="s">
        <v>2985</v>
      </c>
      <c r="F853" s="1" t="s">
        <v>1001</v>
      </c>
      <c r="G853" s="1" t="s">
        <v>1010</v>
      </c>
      <c r="H853" s="1">
        <v>15</v>
      </c>
      <c r="I853" s="1">
        <v>2</v>
      </c>
      <c r="J853" s="1" t="s">
        <v>2825</v>
      </c>
      <c r="K853" s="2">
        <v>469.51</v>
      </c>
      <c r="L853" s="1">
        <v>24</v>
      </c>
      <c r="M853" s="2">
        <v>7042.65</v>
      </c>
      <c r="N853" s="2">
        <v>1690.24</v>
      </c>
      <c r="O853" s="2">
        <v>5352.41</v>
      </c>
      <c r="P853" s="1">
        <v>205</v>
      </c>
      <c r="Q853" s="2">
        <v>328.66</v>
      </c>
      <c r="R853" s="2">
        <v>422.51</v>
      </c>
      <c r="S853" s="1" t="s">
        <v>1016</v>
      </c>
      <c r="T853" s="1" t="s">
        <v>1004</v>
      </c>
      <c r="U853" s="1" t="s">
        <v>1004</v>
      </c>
    </row>
    <row r="854" spans="1:21" x14ac:dyDescent="0.3">
      <c r="A854" s="1" t="s">
        <v>1868</v>
      </c>
      <c r="B854" s="1" t="s">
        <v>72</v>
      </c>
      <c r="C854" s="1" t="s">
        <v>73</v>
      </c>
      <c r="D854" s="1" t="s">
        <v>47</v>
      </c>
      <c r="E854" s="1" t="s">
        <v>2986</v>
      </c>
      <c r="F854" s="1" t="s">
        <v>1020</v>
      </c>
      <c r="G854" s="1" t="s">
        <v>1010</v>
      </c>
      <c r="H854" s="1">
        <v>6</v>
      </c>
      <c r="I854" s="1">
        <v>5</v>
      </c>
      <c r="J854" s="1" t="s">
        <v>2987</v>
      </c>
      <c r="K854" s="2">
        <v>373.68</v>
      </c>
      <c r="L854" s="1">
        <v>0</v>
      </c>
      <c r="M854" s="2">
        <v>2242.08</v>
      </c>
      <c r="N854" s="2">
        <v>0</v>
      </c>
      <c r="O854" s="2">
        <v>2242.08</v>
      </c>
      <c r="P854" s="1">
        <v>116</v>
      </c>
      <c r="Q854" s="2">
        <v>261.58</v>
      </c>
      <c r="R854" s="2">
        <v>672.6</v>
      </c>
      <c r="S854" s="1" t="s">
        <v>1016</v>
      </c>
      <c r="T854" s="1" t="s">
        <v>1004</v>
      </c>
      <c r="U854" s="1" t="s">
        <v>1007</v>
      </c>
    </row>
    <row r="855" spans="1:21" x14ac:dyDescent="0.3">
      <c r="A855" s="1" t="s">
        <v>1869</v>
      </c>
      <c r="B855" s="1" t="s">
        <v>166</v>
      </c>
      <c r="C855" s="1" t="s">
        <v>167</v>
      </c>
      <c r="D855" s="1" t="s">
        <v>59</v>
      </c>
      <c r="E855" s="1" t="s">
        <v>2988</v>
      </c>
      <c r="F855" s="1" t="s">
        <v>1001</v>
      </c>
      <c r="G855" s="1" t="s">
        <v>1010</v>
      </c>
      <c r="H855" s="1">
        <v>5</v>
      </c>
      <c r="I855" s="1">
        <v>6</v>
      </c>
      <c r="J855" s="1" t="s">
        <v>2861</v>
      </c>
      <c r="K855" s="2">
        <v>142.47</v>
      </c>
      <c r="L855" s="1">
        <v>2</v>
      </c>
      <c r="M855" s="2">
        <v>712.35</v>
      </c>
      <c r="N855" s="2">
        <v>14.25</v>
      </c>
      <c r="O855" s="2">
        <v>698.1</v>
      </c>
      <c r="P855" s="1">
        <v>95</v>
      </c>
      <c r="Q855" s="2">
        <v>99.73</v>
      </c>
      <c r="R855" s="2">
        <v>199.45</v>
      </c>
      <c r="S855" s="1" t="s">
        <v>1003</v>
      </c>
      <c r="T855" s="1" t="s">
        <v>1004</v>
      </c>
      <c r="U855" s="1" t="s">
        <v>1004</v>
      </c>
    </row>
    <row r="856" spans="1:21" x14ac:dyDescent="0.3">
      <c r="A856" s="1" t="s">
        <v>1870</v>
      </c>
      <c r="B856" s="1" t="s">
        <v>95</v>
      </c>
      <c r="C856" s="1" t="s">
        <v>96</v>
      </c>
      <c r="D856" s="1" t="s">
        <v>97</v>
      </c>
      <c r="E856" s="1" t="s">
        <v>2989</v>
      </c>
      <c r="F856" s="1" t="s">
        <v>1020</v>
      </c>
      <c r="G856" s="1" t="s">
        <v>1010</v>
      </c>
      <c r="H856" s="1">
        <v>9</v>
      </c>
      <c r="I856" s="1">
        <v>1</v>
      </c>
      <c r="J856" s="1" t="s">
        <v>2919</v>
      </c>
      <c r="K856" s="2">
        <v>368.33</v>
      </c>
      <c r="L856" s="1">
        <v>22</v>
      </c>
      <c r="M856" s="2">
        <v>3314.97</v>
      </c>
      <c r="N856" s="2">
        <v>729.29</v>
      </c>
      <c r="O856" s="2">
        <v>2585.6799999999998</v>
      </c>
      <c r="P856" s="1">
        <v>54</v>
      </c>
      <c r="Q856" s="2">
        <v>257.83</v>
      </c>
      <c r="R856" s="2">
        <v>265.20999999999998</v>
      </c>
      <c r="S856" s="1" t="s">
        <v>1003</v>
      </c>
      <c r="T856" s="1" t="s">
        <v>1004</v>
      </c>
      <c r="U856" s="1" t="s">
        <v>1004</v>
      </c>
    </row>
    <row r="857" spans="1:21" x14ac:dyDescent="0.3">
      <c r="A857" s="1" t="s">
        <v>1871</v>
      </c>
      <c r="B857" s="1" t="s">
        <v>118</v>
      </c>
      <c r="C857" s="1" t="s">
        <v>119</v>
      </c>
      <c r="D857" s="1" t="s">
        <v>97</v>
      </c>
      <c r="E857" s="1" t="s">
        <v>2990</v>
      </c>
      <c r="F857" s="1" t="s">
        <v>1001</v>
      </c>
      <c r="G857" s="1" t="s">
        <v>1010</v>
      </c>
      <c r="H857" s="1">
        <v>13</v>
      </c>
      <c r="I857" s="1">
        <v>7</v>
      </c>
      <c r="J857" s="1" t="s">
        <v>2900</v>
      </c>
      <c r="K857" s="2">
        <v>453.22</v>
      </c>
      <c r="L857" s="1">
        <v>0</v>
      </c>
      <c r="M857" s="2">
        <v>5891.86</v>
      </c>
      <c r="N857" s="2">
        <v>0</v>
      </c>
      <c r="O857" s="2">
        <v>5891.86</v>
      </c>
      <c r="P857" s="1">
        <v>84</v>
      </c>
      <c r="Q857" s="2">
        <v>317.25</v>
      </c>
      <c r="R857" s="2">
        <v>1767.61</v>
      </c>
      <c r="S857" s="1" t="s">
        <v>1003</v>
      </c>
      <c r="T857" s="1" t="s">
        <v>1004</v>
      </c>
      <c r="U857" s="1" t="s">
        <v>1004</v>
      </c>
    </row>
    <row r="858" spans="1:21" x14ac:dyDescent="0.3">
      <c r="A858" s="1" t="s">
        <v>1872</v>
      </c>
      <c r="B858" s="1" t="s">
        <v>118</v>
      </c>
      <c r="C858" s="1" t="s">
        <v>119</v>
      </c>
      <c r="D858" s="1" t="s">
        <v>97</v>
      </c>
      <c r="E858" s="1" t="s">
        <v>2991</v>
      </c>
      <c r="F858" s="1" t="s">
        <v>1013</v>
      </c>
      <c r="G858" s="1" t="s">
        <v>1010</v>
      </c>
      <c r="H858" s="1">
        <v>9</v>
      </c>
      <c r="I858" s="1">
        <v>6</v>
      </c>
      <c r="J858" s="1" t="s">
        <v>2992</v>
      </c>
      <c r="K858" s="2">
        <v>494.42</v>
      </c>
      <c r="L858" s="1">
        <v>10</v>
      </c>
      <c r="M858" s="2">
        <v>4449.78</v>
      </c>
      <c r="N858" s="2">
        <v>444.98</v>
      </c>
      <c r="O858" s="2">
        <v>4004.8</v>
      </c>
      <c r="P858" s="1">
        <v>83</v>
      </c>
      <c r="Q858" s="2">
        <v>346.09</v>
      </c>
      <c r="R858" s="2">
        <v>889.99</v>
      </c>
      <c r="S858" s="1" t="s">
        <v>1016</v>
      </c>
      <c r="T858" s="1" t="s">
        <v>1007</v>
      </c>
      <c r="U858" s="1" t="s">
        <v>1007</v>
      </c>
    </row>
    <row r="859" spans="1:21" x14ac:dyDescent="0.3">
      <c r="A859" s="1" t="s">
        <v>1873</v>
      </c>
      <c r="B859" s="1" t="s">
        <v>107</v>
      </c>
      <c r="C859" s="1" t="s">
        <v>108</v>
      </c>
      <c r="D859" s="1" t="s">
        <v>39</v>
      </c>
      <c r="E859" s="1" t="s">
        <v>2993</v>
      </c>
      <c r="F859" s="1" t="s">
        <v>1015</v>
      </c>
      <c r="G859" s="1" t="s">
        <v>1002</v>
      </c>
      <c r="H859" s="1">
        <v>1</v>
      </c>
      <c r="I859" s="1">
        <v>3</v>
      </c>
      <c r="J859" s="1" t="s">
        <v>2880</v>
      </c>
      <c r="K859" s="2">
        <v>255.08</v>
      </c>
      <c r="L859" s="1">
        <v>13</v>
      </c>
      <c r="M859" s="2">
        <v>255.08</v>
      </c>
      <c r="N859" s="2">
        <v>33.159999999999997</v>
      </c>
      <c r="O859" s="2">
        <v>221.92</v>
      </c>
      <c r="P859" s="1">
        <v>69</v>
      </c>
      <c r="Q859" s="2">
        <v>178.56</v>
      </c>
      <c r="R859" s="2">
        <v>43.36</v>
      </c>
      <c r="S859" s="1" t="s">
        <v>1011</v>
      </c>
      <c r="T859" s="1" t="s">
        <v>1004</v>
      </c>
      <c r="U859" s="1" t="s">
        <v>1007</v>
      </c>
    </row>
    <row r="860" spans="1:21" x14ac:dyDescent="0.3">
      <c r="A860" s="1" t="s">
        <v>1874</v>
      </c>
      <c r="B860" s="1" t="s">
        <v>37</v>
      </c>
      <c r="C860" s="1" t="s">
        <v>38</v>
      </c>
      <c r="D860" s="1" t="s">
        <v>39</v>
      </c>
      <c r="E860" s="1" t="s">
        <v>2994</v>
      </c>
      <c r="F860" s="1" t="s">
        <v>1009</v>
      </c>
      <c r="G860" s="1" t="s">
        <v>1010</v>
      </c>
      <c r="H860" s="1">
        <v>13</v>
      </c>
      <c r="I860" s="1">
        <v>1</v>
      </c>
      <c r="J860" s="1" t="s">
        <v>2575</v>
      </c>
      <c r="K860" s="2">
        <v>70.11</v>
      </c>
      <c r="L860" s="1">
        <v>22</v>
      </c>
      <c r="M860" s="2">
        <v>911.43</v>
      </c>
      <c r="N860" s="2">
        <v>200.51</v>
      </c>
      <c r="O860" s="2">
        <v>710.92</v>
      </c>
      <c r="P860" s="1">
        <v>100</v>
      </c>
      <c r="Q860" s="2">
        <v>49.08</v>
      </c>
      <c r="R860" s="2">
        <v>72.88</v>
      </c>
      <c r="S860" s="1" t="s">
        <v>1016</v>
      </c>
      <c r="T860" s="1" t="s">
        <v>1004</v>
      </c>
      <c r="U860" s="1" t="s">
        <v>1007</v>
      </c>
    </row>
    <row r="861" spans="1:21" x14ac:dyDescent="0.3">
      <c r="A861" s="1" t="s">
        <v>1875</v>
      </c>
      <c r="B861" s="1" t="s">
        <v>118</v>
      </c>
      <c r="C861" s="1" t="s">
        <v>119</v>
      </c>
      <c r="D861" s="1" t="s">
        <v>97</v>
      </c>
      <c r="E861" s="1" t="s">
        <v>2995</v>
      </c>
      <c r="F861" s="1" t="s">
        <v>1027</v>
      </c>
      <c r="G861" s="1" t="s">
        <v>1023</v>
      </c>
      <c r="H861" s="1">
        <v>5</v>
      </c>
      <c r="I861" s="1">
        <v>4</v>
      </c>
      <c r="J861" s="1" t="s">
        <v>2832</v>
      </c>
      <c r="K861" s="2">
        <v>489.12</v>
      </c>
      <c r="L861" s="1">
        <v>4</v>
      </c>
      <c r="M861" s="2">
        <v>2445.6</v>
      </c>
      <c r="N861" s="2">
        <v>97.82</v>
      </c>
      <c r="O861" s="2">
        <v>2347.7800000000002</v>
      </c>
      <c r="P861" s="1">
        <v>295</v>
      </c>
      <c r="Q861" s="2">
        <v>342.38</v>
      </c>
      <c r="R861" s="2">
        <v>635.88</v>
      </c>
      <c r="S861" s="1" t="s">
        <v>1016</v>
      </c>
      <c r="T861" s="1" t="s">
        <v>1004</v>
      </c>
      <c r="U861" s="1" t="s">
        <v>1007</v>
      </c>
    </row>
    <row r="862" spans="1:21" x14ac:dyDescent="0.3">
      <c r="A862" s="1" t="s">
        <v>1876</v>
      </c>
      <c r="B862" s="1" t="s">
        <v>37</v>
      </c>
      <c r="C862" s="1" t="s">
        <v>38</v>
      </c>
      <c r="D862" s="1" t="s">
        <v>39</v>
      </c>
      <c r="E862" s="1" t="s">
        <v>2996</v>
      </c>
      <c r="F862" s="1" t="s">
        <v>1027</v>
      </c>
      <c r="G862" s="1" t="s">
        <v>1023</v>
      </c>
      <c r="H862" s="1">
        <v>2</v>
      </c>
      <c r="I862" s="1">
        <v>5</v>
      </c>
      <c r="J862" s="1" t="s">
        <v>2649</v>
      </c>
      <c r="K862" s="2">
        <v>225.36</v>
      </c>
      <c r="L862" s="1">
        <v>0</v>
      </c>
      <c r="M862" s="2">
        <v>450.72</v>
      </c>
      <c r="N862" s="2">
        <v>0</v>
      </c>
      <c r="O862" s="2">
        <v>450.72</v>
      </c>
      <c r="P862" s="1">
        <v>190</v>
      </c>
      <c r="Q862" s="2">
        <v>157.75</v>
      </c>
      <c r="R862" s="2">
        <v>135.22</v>
      </c>
      <c r="S862" s="1" t="s">
        <v>1011</v>
      </c>
      <c r="T862" s="1" t="s">
        <v>1004</v>
      </c>
      <c r="U862" s="1" t="s">
        <v>1004</v>
      </c>
    </row>
    <row r="863" spans="1:21" x14ac:dyDescent="0.3">
      <c r="A863" s="1" t="s">
        <v>1877</v>
      </c>
      <c r="B863" s="1" t="s">
        <v>95</v>
      </c>
      <c r="C863" s="1" t="s">
        <v>96</v>
      </c>
      <c r="D863" s="1" t="s">
        <v>97</v>
      </c>
      <c r="E863" s="1" t="s">
        <v>2997</v>
      </c>
      <c r="F863" s="1" t="s">
        <v>1001</v>
      </c>
      <c r="G863" s="1" t="s">
        <v>1023</v>
      </c>
      <c r="H863" s="1">
        <v>5</v>
      </c>
      <c r="I863" s="1">
        <v>7</v>
      </c>
      <c r="J863" s="1" t="s">
        <v>2629</v>
      </c>
      <c r="K863" s="2">
        <v>204.83</v>
      </c>
      <c r="L863" s="1">
        <v>5</v>
      </c>
      <c r="M863" s="2">
        <v>1024.1500000000001</v>
      </c>
      <c r="N863" s="2">
        <v>51.21</v>
      </c>
      <c r="O863" s="2">
        <v>972.94</v>
      </c>
      <c r="P863" s="1">
        <v>294</v>
      </c>
      <c r="Q863" s="2">
        <v>143.38</v>
      </c>
      <c r="R863" s="2">
        <v>256.04000000000002</v>
      </c>
      <c r="S863" s="1" t="s">
        <v>1011</v>
      </c>
      <c r="T863" s="1" t="s">
        <v>1007</v>
      </c>
      <c r="U863" s="1" t="s">
        <v>1007</v>
      </c>
    </row>
    <row r="864" spans="1:21" x14ac:dyDescent="0.3">
      <c r="A864" s="1" t="s">
        <v>1878</v>
      </c>
      <c r="B864" s="1" t="s">
        <v>107</v>
      </c>
      <c r="C864" s="1" t="s">
        <v>108</v>
      </c>
      <c r="D864" s="1" t="s">
        <v>39</v>
      </c>
      <c r="E864" s="1" t="s">
        <v>2998</v>
      </c>
      <c r="F864" s="1" t="s">
        <v>1001</v>
      </c>
      <c r="G864" s="1" t="s">
        <v>1010</v>
      </c>
      <c r="H864" s="1">
        <v>13</v>
      </c>
      <c r="I864" s="1">
        <v>3</v>
      </c>
      <c r="J864" s="1" t="s">
        <v>2635</v>
      </c>
      <c r="K864" s="2">
        <v>136.9</v>
      </c>
      <c r="L864" s="1">
        <v>13</v>
      </c>
      <c r="M864" s="2">
        <v>1779.7</v>
      </c>
      <c r="N864" s="2">
        <v>231.36</v>
      </c>
      <c r="O864" s="2">
        <v>1548.34</v>
      </c>
      <c r="P864" s="1">
        <v>296</v>
      </c>
      <c r="Q864" s="2">
        <v>95.83</v>
      </c>
      <c r="R864" s="2">
        <v>302.55</v>
      </c>
      <c r="S864" s="1" t="s">
        <v>1003</v>
      </c>
      <c r="T864" s="1" t="s">
        <v>1004</v>
      </c>
      <c r="U864" s="1" t="s">
        <v>1007</v>
      </c>
    </row>
    <row r="865" spans="1:21" x14ac:dyDescent="0.3">
      <c r="A865" s="1" t="s">
        <v>1879</v>
      </c>
      <c r="B865" s="1" t="s">
        <v>118</v>
      </c>
      <c r="C865" s="1" t="s">
        <v>119</v>
      </c>
      <c r="D865" s="1" t="s">
        <v>97</v>
      </c>
      <c r="E865" s="1" t="s">
        <v>2999</v>
      </c>
      <c r="F865" s="1" t="s">
        <v>1001</v>
      </c>
      <c r="G865" s="1" t="s">
        <v>1002</v>
      </c>
      <c r="H865" s="1">
        <v>8</v>
      </c>
      <c r="I865" s="1">
        <v>1</v>
      </c>
      <c r="J865" s="1" t="s">
        <v>2641</v>
      </c>
      <c r="K865" s="2">
        <v>192.83</v>
      </c>
      <c r="L865" s="1">
        <v>14</v>
      </c>
      <c r="M865" s="2">
        <v>1542.64</v>
      </c>
      <c r="N865" s="2">
        <v>215.97</v>
      </c>
      <c r="O865" s="2">
        <v>1326.67</v>
      </c>
      <c r="P865" s="1">
        <v>265</v>
      </c>
      <c r="Q865" s="2">
        <v>134.97999999999999</v>
      </c>
      <c r="R865" s="2">
        <v>246.83</v>
      </c>
      <c r="S865" s="1" t="s">
        <v>1003</v>
      </c>
      <c r="T865" s="1" t="s">
        <v>1004</v>
      </c>
      <c r="U865" s="1" t="s">
        <v>1007</v>
      </c>
    </row>
    <row r="866" spans="1:21" x14ac:dyDescent="0.3">
      <c r="A866" s="1" t="s">
        <v>1880</v>
      </c>
      <c r="B866" s="1" t="s">
        <v>95</v>
      </c>
      <c r="C866" s="1" t="s">
        <v>96</v>
      </c>
      <c r="D866" s="1" t="s">
        <v>97</v>
      </c>
      <c r="E866" s="1" t="s">
        <v>3000</v>
      </c>
      <c r="F866" s="1" t="s">
        <v>1027</v>
      </c>
      <c r="G866" s="1" t="s">
        <v>1010</v>
      </c>
      <c r="H866" s="1">
        <v>13</v>
      </c>
      <c r="I866" s="1">
        <v>1</v>
      </c>
      <c r="J866" s="1" t="s">
        <v>2896</v>
      </c>
      <c r="K866" s="2">
        <v>382.88</v>
      </c>
      <c r="L866" s="1">
        <v>16</v>
      </c>
      <c r="M866" s="2">
        <v>4977.4399999999996</v>
      </c>
      <c r="N866" s="2">
        <v>796.39</v>
      </c>
      <c r="O866" s="2">
        <v>4181.05</v>
      </c>
      <c r="P866" s="1">
        <v>147</v>
      </c>
      <c r="Q866" s="2">
        <v>268.02</v>
      </c>
      <c r="R866" s="2">
        <v>696.79</v>
      </c>
      <c r="S866" s="1" t="s">
        <v>1011</v>
      </c>
      <c r="T866" s="1" t="s">
        <v>1004</v>
      </c>
      <c r="U866" s="1" t="s">
        <v>1004</v>
      </c>
    </row>
    <row r="867" spans="1:21" x14ac:dyDescent="0.3">
      <c r="A867" s="1" t="s">
        <v>1881</v>
      </c>
      <c r="B867" s="1" t="s">
        <v>72</v>
      </c>
      <c r="C867" s="1" t="s">
        <v>73</v>
      </c>
      <c r="D867" s="1" t="s">
        <v>47</v>
      </c>
      <c r="E867" s="1" t="s">
        <v>3001</v>
      </c>
      <c r="F867" s="1" t="s">
        <v>1013</v>
      </c>
      <c r="G867" s="1" t="s">
        <v>1010</v>
      </c>
      <c r="H867" s="1">
        <v>8</v>
      </c>
      <c r="I867" s="1">
        <v>7</v>
      </c>
      <c r="J867" s="1" t="s">
        <v>2803</v>
      </c>
      <c r="K867" s="2">
        <v>428.56</v>
      </c>
      <c r="L867" s="1">
        <v>18</v>
      </c>
      <c r="M867" s="2">
        <v>3428.48</v>
      </c>
      <c r="N867" s="2">
        <v>617.13</v>
      </c>
      <c r="O867" s="2">
        <v>2811.35</v>
      </c>
      <c r="P867" s="1">
        <v>109</v>
      </c>
      <c r="Q867" s="2">
        <v>299.99</v>
      </c>
      <c r="R867" s="2">
        <v>411.43</v>
      </c>
      <c r="S867" s="1" t="s">
        <v>1011</v>
      </c>
      <c r="T867" s="1" t="s">
        <v>1004</v>
      </c>
      <c r="U867" s="1" t="s">
        <v>1007</v>
      </c>
    </row>
    <row r="868" spans="1:21" x14ac:dyDescent="0.3">
      <c r="A868" s="1" t="s">
        <v>1882</v>
      </c>
      <c r="B868" s="1" t="s">
        <v>130</v>
      </c>
      <c r="C868" s="1" t="s">
        <v>131</v>
      </c>
      <c r="D868" s="1" t="s">
        <v>132</v>
      </c>
      <c r="E868" s="1" t="s">
        <v>3002</v>
      </c>
      <c r="F868" s="1" t="s">
        <v>1020</v>
      </c>
      <c r="G868" s="1" t="s">
        <v>1023</v>
      </c>
      <c r="H868" s="1">
        <v>3</v>
      </c>
      <c r="I868" s="1">
        <v>2</v>
      </c>
      <c r="J868" s="1" t="s">
        <v>2729</v>
      </c>
      <c r="K868" s="2">
        <v>161.33000000000001</v>
      </c>
      <c r="L868" s="1">
        <v>10</v>
      </c>
      <c r="M868" s="2">
        <v>483.99</v>
      </c>
      <c r="N868" s="2">
        <v>48.4</v>
      </c>
      <c r="O868" s="2">
        <v>435.59</v>
      </c>
      <c r="P868" s="1">
        <v>184</v>
      </c>
      <c r="Q868" s="2">
        <v>112.93</v>
      </c>
      <c r="R868" s="2">
        <v>96.8</v>
      </c>
      <c r="S868" s="1" t="s">
        <v>1011</v>
      </c>
      <c r="T868" s="1" t="s">
        <v>1007</v>
      </c>
      <c r="U868" s="1" t="s">
        <v>1004</v>
      </c>
    </row>
    <row r="869" spans="1:21" x14ac:dyDescent="0.3">
      <c r="A869" s="1" t="s">
        <v>1883</v>
      </c>
      <c r="B869" s="1" t="s">
        <v>130</v>
      </c>
      <c r="C869" s="1" t="s">
        <v>131</v>
      </c>
      <c r="D869" s="1" t="s">
        <v>132</v>
      </c>
      <c r="E869" s="1" t="s">
        <v>3003</v>
      </c>
      <c r="F869" s="1" t="s">
        <v>1001</v>
      </c>
      <c r="G869" s="1" t="s">
        <v>1002</v>
      </c>
      <c r="H869" s="1">
        <v>2</v>
      </c>
      <c r="I869" s="1">
        <v>1</v>
      </c>
      <c r="J869" s="1" t="s">
        <v>2755</v>
      </c>
      <c r="K869" s="2">
        <v>322.02</v>
      </c>
      <c r="L869" s="1">
        <v>21</v>
      </c>
      <c r="M869" s="2">
        <v>644.04</v>
      </c>
      <c r="N869" s="2">
        <v>135.25</v>
      </c>
      <c r="O869" s="2">
        <v>508.79</v>
      </c>
      <c r="P869" s="1">
        <v>290</v>
      </c>
      <c r="Q869" s="2">
        <v>225.41</v>
      </c>
      <c r="R869" s="2">
        <v>57.97</v>
      </c>
      <c r="S869" s="1" t="s">
        <v>1003</v>
      </c>
      <c r="T869" s="1" t="s">
        <v>1007</v>
      </c>
      <c r="U869" s="1" t="s">
        <v>1007</v>
      </c>
    </row>
    <row r="870" spans="1:21" x14ac:dyDescent="0.3">
      <c r="A870" s="1" t="s">
        <v>1884</v>
      </c>
      <c r="B870" s="1" t="s">
        <v>192</v>
      </c>
      <c r="C870" s="1" t="s">
        <v>193</v>
      </c>
      <c r="D870" s="1" t="s">
        <v>85</v>
      </c>
      <c r="E870" s="1" t="s">
        <v>3004</v>
      </c>
      <c r="F870" s="1" t="s">
        <v>1020</v>
      </c>
      <c r="G870" s="1" t="s">
        <v>1023</v>
      </c>
      <c r="H870" s="1">
        <v>7</v>
      </c>
      <c r="I870" s="1">
        <v>5</v>
      </c>
      <c r="J870" s="1" t="s">
        <v>2766</v>
      </c>
      <c r="K870" s="2">
        <v>148.31</v>
      </c>
      <c r="L870" s="1">
        <v>4</v>
      </c>
      <c r="M870" s="2">
        <v>1038.17</v>
      </c>
      <c r="N870" s="2">
        <v>41.53</v>
      </c>
      <c r="O870" s="2">
        <v>996.64</v>
      </c>
      <c r="P870" s="1">
        <v>149</v>
      </c>
      <c r="Q870" s="2">
        <v>103.82</v>
      </c>
      <c r="R870" s="2">
        <v>269.89999999999998</v>
      </c>
      <c r="S870" s="1" t="s">
        <v>1016</v>
      </c>
      <c r="T870" s="1" t="s">
        <v>1007</v>
      </c>
      <c r="U870" s="1" t="s">
        <v>1004</v>
      </c>
    </row>
    <row r="871" spans="1:21" x14ac:dyDescent="0.3">
      <c r="A871" s="1" t="s">
        <v>1885</v>
      </c>
      <c r="B871" s="1" t="s">
        <v>57</v>
      </c>
      <c r="C871" s="1" t="s">
        <v>58</v>
      </c>
      <c r="D871" s="1" t="s">
        <v>59</v>
      </c>
      <c r="E871" s="1" t="s">
        <v>3005</v>
      </c>
      <c r="F871" s="1" t="s">
        <v>1020</v>
      </c>
      <c r="G871" s="1" t="s">
        <v>1010</v>
      </c>
      <c r="H871" s="1">
        <v>14</v>
      </c>
      <c r="I871" s="1">
        <v>1</v>
      </c>
      <c r="J871" s="1" t="s">
        <v>2802</v>
      </c>
      <c r="K871" s="2">
        <v>190.93</v>
      </c>
      <c r="L871" s="1">
        <v>3</v>
      </c>
      <c r="M871" s="2">
        <v>2673.02</v>
      </c>
      <c r="N871" s="2">
        <v>80.19</v>
      </c>
      <c r="O871" s="2">
        <v>2592.83</v>
      </c>
      <c r="P871" s="1">
        <v>228</v>
      </c>
      <c r="Q871" s="2">
        <v>133.65</v>
      </c>
      <c r="R871" s="2">
        <v>721.73</v>
      </c>
      <c r="S871" s="1" t="s">
        <v>1011</v>
      </c>
      <c r="T871" s="1" t="s">
        <v>1007</v>
      </c>
      <c r="U871" s="1" t="s">
        <v>1004</v>
      </c>
    </row>
    <row r="872" spans="1:21" x14ac:dyDescent="0.3">
      <c r="A872" s="1" t="s">
        <v>1886</v>
      </c>
      <c r="B872" s="1" t="s">
        <v>102</v>
      </c>
      <c r="C872" s="1" t="s">
        <v>103</v>
      </c>
      <c r="D872" s="1" t="s">
        <v>104</v>
      </c>
      <c r="E872" s="1" t="s">
        <v>3006</v>
      </c>
      <c r="F872" s="1" t="s">
        <v>1001</v>
      </c>
      <c r="G872" s="1" t="s">
        <v>1010</v>
      </c>
      <c r="H872" s="1">
        <v>12</v>
      </c>
      <c r="I872" s="1">
        <v>2</v>
      </c>
      <c r="J872" s="1" t="s">
        <v>2704</v>
      </c>
      <c r="K872" s="2">
        <v>336.44</v>
      </c>
      <c r="L872" s="1">
        <v>6</v>
      </c>
      <c r="M872" s="2">
        <v>4037.28</v>
      </c>
      <c r="N872" s="2">
        <v>242.24</v>
      </c>
      <c r="O872" s="2">
        <v>3795.04</v>
      </c>
      <c r="P872" s="1">
        <v>108</v>
      </c>
      <c r="Q872" s="2">
        <v>235.51</v>
      </c>
      <c r="R872" s="2">
        <v>968.92</v>
      </c>
      <c r="S872" s="1" t="s">
        <v>1003</v>
      </c>
      <c r="T872" s="1" t="s">
        <v>1004</v>
      </c>
      <c r="U872" s="1" t="s">
        <v>1007</v>
      </c>
    </row>
    <row r="873" spans="1:21" x14ac:dyDescent="0.3">
      <c r="A873" s="1" t="s">
        <v>1887</v>
      </c>
      <c r="B873" s="1" t="s">
        <v>63</v>
      </c>
      <c r="C873" s="1" t="s">
        <v>64</v>
      </c>
      <c r="D873" s="1" t="s">
        <v>28</v>
      </c>
      <c r="E873" s="1" t="s">
        <v>3007</v>
      </c>
      <c r="F873" s="1" t="s">
        <v>1006</v>
      </c>
      <c r="G873" s="1" t="s">
        <v>1023</v>
      </c>
      <c r="H873" s="1">
        <v>15</v>
      </c>
      <c r="I873" s="1">
        <v>6</v>
      </c>
      <c r="J873" s="1" t="s">
        <v>2668</v>
      </c>
      <c r="K873" s="2">
        <v>111.53</v>
      </c>
      <c r="L873" s="1">
        <v>12</v>
      </c>
      <c r="M873" s="2">
        <v>1672.95</v>
      </c>
      <c r="N873" s="2">
        <v>200.75</v>
      </c>
      <c r="O873" s="2">
        <v>1472.2</v>
      </c>
      <c r="P873" s="1">
        <v>213</v>
      </c>
      <c r="Q873" s="2">
        <v>78.069999999999993</v>
      </c>
      <c r="R873" s="2">
        <v>301.14999999999998</v>
      </c>
      <c r="S873" s="1" t="s">
        <v>1003</v>
      </c>
      <c r="T873" s="1" t="s">
        <v>1007</v>
      </c>
      <c r="U873" s="1" t="s">
        <v>1007</v>
      </c>
    </row>
    <row r="874" spans="1:21" x14ac:dyDescent="0.3">
      <c r="A874" s="1" t="s">
        <v>1888</v>
      </c>
      <c r="B874" s="1" t="s">
        <v>52</v>
      </c>
      <c r="C874" s="1" t="s">
        <v>53</v>
      </c>
      <c r="D874" s="1" t="s">
        <v>47</v>
      </c>
      <c r="E874" s="1" t="s">
        <v>3008</v>
      </c>
      <c r="F874" s="1" t="s">
        <v>1006</v>
      </c>
      <c r="G874" s="1" t="s">
        <v>1010</v>
      </c>
      <c r="H874" s="1">
        <v>11</v>
      </c>
      <c r="I874" s="1">
        <v>5</v>
      </c>
      <c r="J874" s="1" t="s">
        <v>2518</v>
      </c>
      <c r="K874" s="2">
        <v>55.55</v>
      </c>
      <c r="L874" s="1">
        <v>10</v>
      </c>
      <c r="M874" s="2">
        <v>611.04999999999995</v>
      </c>
      <c r="N874" s="2">
        <v>61.1</v>
      </c>
      <c r="O874" s="2">
        <v>549.95000000000005</v>
      </c>
      <c r="P874" s="1">
        <v>166</v>
      </c>
      <c r="Q874" s="2">
        <v>38.880000000000003</v>
      </c>
      <c r="R874" s="2">
        <v>122.27</v>
      </c>
      <c r="S874" s="1" t="s">
        <v>1011</v>
      </c>
      <c r="T874" s="1" t="s">
        <v>1007</v>
      </c>
      <c r="U874" s="1" t="s">
        <v>1004</v>
      </c>
    </row>
    <row r="875" spans="1:21" x14ac:dyDescent="0.3">
      <c r="A875" s="1" t="s">
        <v>1889</v>
      </c>
      <c r="B875" s="1" t="s">
        <v>102</v>
      </c>
      <c r="C875" s="1" t="s">
        <v>103</v>
      </c>
      <c r="D875" s="1" t="s">
        <v>104</v>
      </c>
      <c r="E875" s="1" t="s">
        <v>3009</v>
      </c>
      <c r="F875" s="1" t="s">
        <v>1009</v>
      </c>
      <c r="G875" s="1" t="s">
        <v>1023</v>
      </c>
      <c r="H875" s="1">
        <v>11</v>
      </c>
      <c r="I875" s="1">
        <v>6</v>
      </c>
      <c r="J875" s="1" t="s">
        <v>2756</v>
      </c>
      <c r="K875" s="2">
        <v>87.49</v>
      </c>
      <c r="L875" s="1">
        <v>5</v>
      </c>
      <c r="M875" s="2">
        <v>962.39</v>
      </c>
      <c r="N875" s="2">
        <v>48.12</v>
      </c>
      <c r="O875" s="2">
        <v>914.27</v>
      </c>
      <c r="P875" s="1">
        <v>136</v>
      </c>
      <c r="Q875" s="2">
        <v>61.24</v>
      </c>
      <c r="R875" s="2">
        <v>240.63</v>
      </c>
      <c r="S875" s="1" t="s">
        <v>1011</v>
      </c>
      <c r="T875" s="1" t="s">
        <v>1007</v>
      </c>
      <c r="U875" s="1" t="s">
        <v>1004</v>
      </c>
    </row>
    <row r="876" spans="1:21" x14ac:dyDescent="0.3">
      <c r="A876" s="1" t="s">
        <v>1890</v>
      </c>
      <c r="B876" s="1" t="s">
        <v>26</v>
      </c>
      <c r="C876" s="1" t="s">
        <v>27</v>
      </c>
      <c r="D876" s="1" t="s">
        <v>28</v>
      </c>
      <c r="E876" s="1" t="s">
        <v>3010</v>
      </c>
      <c r="F876" s="1" t="s">
        <v>1013</v>
      </c>
      <c r="G876" s="1" t="s">
        <v>1010</v>
      </c>
      <c r="H876" s="1">
        <v>1</v>
      </c>
      <c r="I876" s="1">
        <v>4</v>
      </c>
      <c r="J876" s="1" t="s">
        <v>2770</v>
      </c>
      <c r="K876" s="2">
        <v>493.96</v>
      </c>
      <c r="L876" s="1">
        <v>21</v>
      </c>
      <c r="M876" s="2">
        <v>493.96</v>
      </c>
      <c r="N876" s="2">
        <v>103.73</v>
      </c>
      <c r="O876" s="2">
        <v>390.23</v>
      </c>
      <c r="P876" s="1">
        <v>263</v>
      </c>
      <c r="Q876" s="2">
        <v>345.77</v>
      </c>
      <c r="R876" s="2">
        <v>44.46</v>
      </c>
      <c r="S876" s="1" t="s">
        <v>1003</v>
      </c>
      <c r="T876" s="1" t="s">
        <v>1007</v>
      </c>
      <c r="U876" s="1" t="s">
        <v>1004</v>
      </c>
    </row>
    <row r="877" spans="1:21" x14ac:dyDescent="0.3">
      <c r="A877" s="1" t="s">
        <v>1891</v>
      </c>
      <c r="B877" s="1" t="s">
        <v>57</v>
      </c>
      <c r="C877" s="1" t="s">
        <v>58</v>
      </c>
      <c r="D877" s="1" t="s">
        <v>59</v>
      </c>
      <c r="E877" s="1" t="s">
        <v>3011</v>
      </c>
      <c r="F877" s="1" t="s">
        <v>1001</v>
      </c>
      <c r="G877" s="1" t="s">
        <v>1010</v>
      </c>
      <c r="H877" s="1">
        <v>6</v>
      </c>
      <c r="I877" s="1">
        <v>7</v>
      </c>
      <c r="J877" s="1" t="s">
        <v>2540</v>
      </c>
      <c r="K877" s="2">
        <v>108.87</v>
      </c>
      <c r="L877" s="1">
        <v>9</v>
      </c>
      <c r="M877" s="2">
        <v>653.22</v>
      </c>
      <c r="N877" s="2">
        <v>58.79</v>
      </c>
      <c r="O877" s="2">
        <v>594.42999999999995</v>
      </c>
      <c r="P877" s="1">
        <v>143</v>
      </c>
      <c r="Q877" s="2">
        <v>76.209999999999994</v>
      </c>
      <c r="R877" s="2">
        <v>137.16999999999999</v>
      </c>
      <c r="S877" s="1" t="s">
        <v>1016</v>
      </c>
      <c r="T877" s="1" t="s">
        <v>1007</v>
      </c>
      <c r="U877" s="1" t="s">
        <v>1004</v>
      </c>
    </row>
    <row r="878" spans="1:21" x14ac:dyDescent="0.3">
      <c r="A878" s="1" t="s">
        <v>1892</v>
      </c>
      <c r="B878" s="1" t="s">
        <v>69</v>
      </c>
      <c r="C878" s="1" t="s">
        <v>70</v>
      </c>
      <c r="D878" s="1" t="s">
        <v>59</v>
      </c>
      <c r="E878" s="1" t="s">
        <v>3012</v>
      </c>
      <c r="F878" s="1" t="s">
        <v>1020</v>
      </c>
      <c r="G878" s="1" t="s">
        <v>1010</v>
      </c>
      <c r="H878" s="1">
        <v>7</v>
      </c>
      <c r="I878" s="1">
        <v>1</v>
      </c>
      <c r="J878" s="1" t="s">
        <v>2881</v>
      </c>
      <c r="K878" s="2">
        <v>499.61</v>
      </c>
      <c r="L878" s="1">
        <v>0</v>
      </c>
      <c r="M878" s="2">
        <v>3497.27</v>
      </c>
      <c r="N878" s="2">
        <v>0</v>
      </c>
      <c r="O878" s="2">
        <v>3497.27</v>
      </c>
      <c r="P878" s="1">
        <v>270</v>
      </c>
      <c r="Q878" s="2">
        <v>349.73</v>
      </c>
      <c r="R878" s="2">
        <v>1049.1600000000001</v>
      </c>
      <c r="S878" s="1" t="s">
        <v>1016</v>
      </c>
      <c r="T878" s="1" t="s">
        <v>1004</v>
      </c>
      <c r="U878" s="1" t="s">
        <v>1007</v>
      </c>
    </row>
    <row r="879" spans="1:21" x14ac:dyDescent="0.3">
      <c r="A879" s="1" t="s">
        <v>1893</v>
      </c>
      <c r="B879" s="1" t="s">
        <v>118</v>
      </c>
      <c r="C879" s="1" t="s">
        <v>119</v>
      </c>
      <c r="D879" s="1" t="s">
        <v>97</v>
      </c>
      <c r="E879" s="1" t="s">
        <v>3013</v>
      </c>
      <c r="F879" s="1" t="s">
        <v>1013</v>
      </c>
      <c r="G879" s="1" t="s">
        <v>1002</v>
      </c>
      <c r="H879" s="1">
        <v>13</v>
      </c>
      <c r="I879" s="1">
        <v>5</v>
      </c>
      <c r="J879" s="1" t="s">
        <v>2585</v>
      </c>
      <c r="K879" s="2">
        <v>108.67</v>
      </c>
      <c r="L879" s="1">
        <v>5</v>
      </c>
      <c r="M879" s="2">
        <v>1412.71</v>
      </c>
      <c r="N879" s="2">
        <v>70.64</v>
      </c>
      <c r="O879" s="2">
        <v>1342.07</v>
      </c>
      <c r="P879" s="1">
        <v>120</v>
      </c>
      <c r="Q879" s="2">
        <v>76.069999999999993</v>
      </c>
      <c r="R879" s="2">
        <v>353.16</v>
      </c>
      <c r="S879" s="1" t="s">
        <v>1011</v>
      </c>
      <c r="T879" s="1" t="s">
        <v>1007</v>
      </c>
      <c r="U879" s="1" t="s">
        <v>1004</v>
      </c>
    </row>
    <row r="880" spans="1:21" x14ac:dyDescent="0.3">
      <c r="A880" s="1" t="s">
        <v>1894</v>
      </c>
      <c r="B880" s="1" t="s">
        <v>192</v>
      </c>
      <c r="C880" s="1" t="s">
        <v>193</v>
      </c>
      <c r="D880" s="1" t="s">
        <v>85</v>
      </c>
      <c r="E880" s="1" t="s">
        <v>3014</v>
      </c>
      <c r="F880" s="1" t="s">
        <v>1006</v>
      </c>
      <c r="G880" s="1" t="s">
        <v>1010</v>
      </c>
      <c r="H880" s="1">
        <v>3</v>
      </c>
      <c r="I880" s="1">
        <v>1</v>
      </c>
      <c r="J880" s="1" t="s">
        <v>2672</v>
      </c>
      <c r="K880" s="2">
        <v>182.76</v>
      </c>
      <c r="L880" s="1">
        <v>7</v>
      </c>
      <c r="M880" s="2">
        <v>548.28</v>
      </c>
      <c r="N880" s="2">
        <v>38.380000000000003</v>
      </c>
      <c r="O880" s="2">
        <v>509.9</v>
      </c>
      <c r="P880" s="1">
        <v>232</v>
      </c>
      <c r="Q880" s="2">
        <v>127.93</v>
      </c>
      <c r="R880" s="2">
        <v>126.11</v>
      </c>
      <c r="S880" s="1" t="s">
        <v>1016</v>
      </c>
      <c r="T880" s="1" t="s">
        <v>1004</v>
      </c>
      <c r="U880" s="1" t="s">
        <v>1004</v>
      </c>
    </row>
    <row r="881" spans="1:21" x14ac:dyDescent="0.3">
      <c r="A881" s="1" t="s">
        <v>1895</v>
      </c>
      <c r="B881" s="1" t="s">
        <v>237</v>
      </c>
      <c r="C881" s="1" t="s">
        <v>238</v>
      </c>
      <c r="D881" s="1" t="s">
        <v>85</v>
      </c>
      <c r="E881" s="1" t="s">
        <v>3015</v>
      </c>
      <c r="F881" s="1" t="s">
        <v>1020</v>
      </c>
      <c r="G881" s="1" t="s">
        <v>1023</v>
      </c>
      <c r="H881" s="1">
        <v>1</v>
      </c>
      <c r="I881" s="1">
        <v>3</v>
      </c>
      <c r="J881" s="1" t="s">
        <v>2539</v>
      </c>
      <c r="K881" s="2">
        <v>375.62</v>
      </c>
      <c r="L881" s="1">
        <v>16</v>
      </c>
      <c r="M881" s="2">
        <v>375.62</v>
      </c>
      <c r="N881" s="2">
        <v>60.1</v>
      </c>
      <c r="O881" s="2">
        <v>315.52</v>
      </c>
      <c r="P881" s="1">
        <v>204</v>
      </c>
      <c r="Q881" s="2">
        <v>262.93</v>
      </c>
      <c r="R881" s="2">
        <v>52.59</v>
      </c>
      <c r="S881" s="1" t="s">
        <v>1016</v>
      </c>
      <c r="T881" s="1" t="s">
        <v>1007</v>
      </c>
      <c r="U881" s="1" t="s">
        <v>1007</v>
      </c>
    </row>
    <row r="882" spans="1:21" x14ac:dyDescent="0.3">
      <c r="A882" s="1" t="s">
        <v>1896</v>
      </c>
      <c r="B882" s="1" t="s">
        <v>69</v>
      </c>
      <c r="C882" s="1" t="s">
        <v>70</v>
      </c>
      <c r="D882" s="1" t="s">
        <v>59</v>
      </c>
      <c r="E882" s="1" t="s">
        <v>3016</v>
      </c>
      <c r="F882" s="1" t="s">
        <v>1006</v>
      </c>
      <c r="G882" s="1" t="s">
        <v>1002</v>
      </c>
      <c r="H882" s="1">
        <v>11</v>
      </c>
      <c r="I882" s="1">
        <v>3</v>
      </c>
      <c r="J882" s="1" t="s">
        <v>2742</v>
      </c>
      <c r="K882" s="2">
        <v>75.64</v>
      </c>
      <c r="L882" s="1">
        <v>22</v>
      </c>
      <c r="M882" s="2">
        <v>832.04</v>
      </c>
      <c r="N882" s="2">
        <v>183.05</v>
      </c>
      <c r="O882" s="2">
        <v>648.99</v>
      </c>
      <c r="P882" s="1">
        <v>85</v>
      </c>
      <c r="Q882" s="2">
        <v>52.95</v>
      </c>
      <c r="R882" s="2">
        <v>66.540000000000006</v>
      </c>
      <c r="S882" s="1" t="s">
        <v>1016</v>
      </c>
      <c r="T882" s="1" t="s">
        <v>1007</v>
      </c>
      <c r="U882" s="1" t="s">
        <v>1007</v>
      </c>
    </row>
    <row r="883" spans="1:21" x14ac:dyDescent="0.3">
      <c r="A883" s="1" t="s">
        <v>1897</v>
      </c>
      <c r="B883" s="1" t="s">
        <v>176</v>
      </c>
      <c r="C883" s="1" t="s">
        <v>177</v>
      </c>
      <c r="D883" s="1" t="s">
        <v>39</v>
      </c>
      <c r="E883" s="1" t="s">
        <v>3017</v>
      </c>
      <c r="F883" s="1" t="s">
        <v>1020</v>
      </c>
      <c r="G883" s="1" t="s">
        <v>1023</v>
      </c>
      <c r="H883" s="1">
        <v>15</v>
      </c>
      <c r="I883" s="1">
        <v>5</v>
      </c>
      <c r="J883" s="1" t="s">
        <v>2724</v>
      </c>
      <c r="K883" s="2">
        <v>112.53</v>
      </c>
      <c r="L883" s="1">
        <v>6</v>
      </c>
      <c r="M883" s="2">
        <v>1687.95</v>
      </c>
      <c r="N883" s="2">
        <v>101.28</v>
      </c>
      <c r="O883" s="2">
        <v>1586.67</v>
      </c>
      <c r="P883" s="1">
        <v>300</v>
      </c>
      <c r="Q883" s="2">
        <v>78.77</v>
      </c>
      <c r="R883" s="2">
        <v>405.12</v>
      </c>
      <c r="S883" s="1" t="s">
        <v>1011</v>
      </c>
      <c r="T883" s="1" t="s">
        <v>1004</v>
      </c>
      <c r="U883" s="1" t="s">
        <v>1004</v>
      </c>
    </row>
    <row r="884" spans="1:21" x14ac:dyDescent="0.3">
      <c r="A884" s="1" t="s">
        <v>1898</v>
      </c>
      <c r="B884" s="1" t="s">
        <v>192</v>
      </c>
      <c r="C884" s="1" t="s">
        <v>193</v>
      </c>
      <c r="D884" s="1" t="s">
        <v>85</v>
      </c>
      <c r="E884" s="1" t="s">
        <v>3018</v>
      </c>
      <c r="F884" s="1" t="s">
        <v>1013</v>
      </c>
      <c r="G884" s="1" t="s">
        <v>1002</v>
      </c>
      <c r="H884" s="1">
        <v>2</v>
      </c>
      <c r="I884" s="1">
        <v>2</v>
      </c>
      <c r="J884" s="1" t="s">
        <v>2588</v>
      </c>
      <c r="K884" s="2">
        <v>494.49</v>
      </c>
      <c r="L884" s="1">
        <v>9</v>
      </c>
      <c r="M884" s="2">
        <v>988.98</v>
      </c>
      <c r="N884" s="2">
        <v>89.01</v>
      </c>
      <c r="O884" s="2">
        <v>899.97</v>
      </c>
      <c r="P884" s="1">
        <v>238</v>
      </c>
      <c r="Q884" s="2">
        <v>346.14</v>
      </c>
      <c r="R884" s="2">
        <v>207.69</v>
      </c>
      <c r="S884" s="1" t="s">
        <v>1011</v>
      </c>
      <c r="T884" s="1" t="s">
        <v>1004</v>
      </c>
      <c r="U884" s="1" t="s">
        <v>1007</v>
      </c>
    </row>
    <row r="885" spans="1:21" x14ac:dyDescent="0.3">
      <c r="A885" s="1" t="s">
        <v>1899</v>
      </c>
      <c r="B885" s="1" t="s">
        <v>72</v>
      </c>
      <c r="C885" s="1" t="s">
        <v>73</v>
      </c>
      <c r="D885" s="1" t="s">
        <v>47</v>
      </c>
      <c r="E885" s="1" t="s">
        <v>3019</v>
      </c>
      <c r="F885" s="1" t="s">
        <v>1020</v>
      </c>
      <c r="G885" s="1" t="s">
        <v>1023</v>
      </c>
      <c r="H885" s="1">
        <v>12</v>
      </c>
      <c r="I885" s="1">
        <v>5</v>
      </c>
      <c r="J885" s="1" t="s">
        <v>2815</v>
      </c>
      <c r="K885" s="2">
        <v>498.01</v>
      </c>
      <c r="L885" s="1">
        <v>5</v>
      </c>
      <c r="M885" s="2">
        <v>5976.12</v>
      </c>
      <c r="N885" s="2">
        <v>298.81</v>
      </c>
      <c r="O885" s="2">
        <v>5677.31</v>
      </c>
      <c r="P885" s="1">
        <v>74</v>
      </c>
      <c r="Q885" s="2">
        <v>348.61</v>
      </c>
      <c r="R885" s="2">
        <v>1493.99</v>
      </c>
      <c r="S885" s="1" t="s">
        <v>1011</v>
      </c>
      <c r="T885" s="1" t="s">
        <v>1004</v>
      </c>
      <c r="U885" s="1" t="s">
        <v>1004</v>
      </c>
    </row>
    <row r="886" spans="1:21" x14ac:dyDescent="0.3">
      <c r="A886" s="1" t="s">
        <v>1900</v>
      </c>
      <c r="B886" s="1" t="s">
        <v>111</v>
      </c>
      <c r="C886" s="1" t="s">
        <v>112</v>
      </c>
      <c r="D886" s="1" t="s">
        <v>97</v>
      </c>
      <c r="E886" s="1" t="s">
        <v>3020</v>
      </c>
      <c r="F886" s="1" t="s">
        <v>1009</v>
      </c>
      <c r="G886" s="1" t="s">
        <v>1002</v>
      </c>
      <c r="H886" s="1">
        <v>7</v>
      </c>
      <c r="I886" s="1">
        <v>5</v>
      </c>
      <c r="J886" s="1" t="s">
        <v>2687</v>
      </c>
      <c r="K886" s="2">
        <v>471.63</v>
      </c>
      <c r="L886" s="1">
        <v>11</v>
      </c>
      <c r="M886" s="2">
        <v>3301.41</v>
      </c>
      <c r="N886" s="2">
        <v>363.16</v>
      </c>
      <c r="O886" s="2">
        <v>2938.25</v>
      </c>
      <c r="P886" s="1">
        <v>147</v>
      </c>
      <c r="Q886" s="2">
        <v>330.14</v>
      </c>
      <c r="R886" s="2">
        <v>627.27</v>
      </c>
      <c r="S886" s="1" t="s">
        <v>1011</v>
      </c>
      <c r="T886" s="1" t="s">
        <v>1007</v>
      </c>
      <c r="U886" s="1" t="s">
        <v>1004</v>
      </c>
    </row>
    <row r="887" spans="1:21" x14ac:dyDescent="0.3">
      <c r="A887" s="1" t="s">
        <v>1901</v>
      </c>
      <c r="B887" s="1" t="s">
        <v>237</v>
      </c>
      <c r="C887" s="1" t="s">
        <v>238</v>
      </c>
      <c r="D887" s="1" t="s">
        <v>85</v>
      </c>
      <c r="E887" s="1" t="s">
        <v>3021</v>
      </c>
      <c r="F887" s="1" t="s">
        <v>1001</v>
      </c>
      <c r="G887" s="1" t="s">
        <v>1002</v>
      </c>
      <c r="H887" s="1">
        <v>3</v>
      </c>
      <c r="I887" s="1">
        <v>3</v>
      </c>
      <c r="J887" s="1" t="s">
        <v>2926</v>
      </c>
      <c r="K887" s="2">
        <v>213.35</v>
      </c>
      <c r="L887" s="1">
        <v>14</v>
      </c>
      <c r="M887" s="2">
        <v>640.04999999999995</v>
      </c>
      <c r="N887" s="2">
        <v>89.61</v>
      </c>
      <c r="O887" s="2">
        <v>550.44000000000005</v>
      </c>
      <c r="P887" s="1">
        <v>211</v>
      </c>
      <c r="Q887" s="2">
        <v>149.34</v>
      </c>
      <c r="R887" s="2">
        <v>102.42</v>
      </c>
      <c r="S887" s="1" t="s">
        <v>1003</v>
      </c>
      <c r="T887" s="1" t="s">
        <v>1004</v>
      </c>
      <c r="U887" s="1" t="s">
        <v>1004</v>
      </c>
    </row>
    <row r="888" spans="1:21" x14ac:dyDescent="0.3">
      <c r="A888" s="1" t="s">
        <v>1902</v>
      </c>
      <c r="B888" s="1" t="s">
        <v>176</v>
      </c>
      <c r="C888" s="1" t="s">
        <v>177</v>
      </c>
      <c r="D888" s="1" t="s">
        <v>39</v>
      </c>
      <c r="E888" s="1" t="s">
        <v>3022</v>
      </c>
      <c r="F888" s="1" t="s">
        <v>1001</v>
      </c>
      <c r="G888" s="1" t="s">
        <v>1002</v>
      </c>
      <c r="H888" s="1">
        <v>2</v>
      </c>
      <c r="I888" s="1">
        <v>4</v>
      </c>
      <c r="J888" s="1" t="s">
        <v>2655</v>
      </c>
      <c r="K888" s="2">
        <v>267.43</v>
      </c>
      <c r="L888" s="1">
        <v>16</v>
      </c>
      <c r="M888" s="2">
        <v>534.86</v>
      </c>
      <c r="N888" s="2">
        <v>85.58</v>
      </c>
      <c r="O888" s="2">
        <v>449.28</v>
      </c>
      <c r="P888" s="1">
        <v>228</v>
      </c>
      <c r="Q888" s="2">
        <v>187.2</v>
      </c>
      <c r="R888" s="2">
        <v>74.88</v>
      </c>
      <c r="S888" s="1" t="s">
        <v>1003</v>
      </c>
      <c r="T888" s="1" t="s">
        <v>1007</v>
      </c>
      <c r="U888" s="1" t="s">
        <v>1007</v>
      </c>
    </row>
    <row r="889" spans="1:21" x14ac:dyDescent="0.3">
      <c r="A889" s="1" t="s">
        <v>1903</v>
      </c>
      <c r="B889" s="1" t="s">
        <v>237</v>
      </c>
      <c r="C889" s="1" t="s">
        <v>238</v>
      </c>
      <c r="D889" s="1" t="s">
        <v>85</v>
      </c>
      <c r="E889" s="1" t="s">
        <v>3023</v>
      </c>
      <c r="F889" s="1" t="s">
        <v>1001</v>
      </c>
      <c r="G889" s="1" t="s">
        <v>1023</v>
      </c>
      <c r="H889" s="1">
        <v>3</v>
      </c>
      <c r="I889" s="1">
        <v>7</v>
      </c>
      <c r="J889" s="1" t="s">
        <v>2897</v>
      </c>
      <c r="K889" s="2">
        <v>198.35</v>
      </c>
      <c r="L889" s="1">
        <v>13</v>
      </c>
      <c r="M889" s="2">
        <v>595.04999999999995</v>
      </c>
      <c r="N889" s="2">
        <v>77.36</v>
      </c>
      <c r="O889" s="2">
        <v>517.69000000000005</v>
      </c>
      <c r="P889" s="1">
        <v>203</v>
      </c>
      <c r="Q889" s="2">
        <v>138.84</v>
      </c>
      <c r="R889" s="2">
        <v>101.17</v>
      </c>
      <c r="S889" s="1" t="s">
        <v>1016</v>
      </c>
      <c r="T889" s="1" t="s">
        <v>1004</v>
      </c>
      <c r="U889" s="1" t="s">
        <v>1004</v>
      </c>
    </row>
    <row r="890" spans="1:21" x14ac:dyDescent="0.3">
      <c r="A890" s="1" t="s">
        <v>1904</v>
      </c>
      <c r="B890" s="1" t="s">
        <v>37</v>
      </c>
      <c r="C890" s="1" t="s">
        <v>38</v>
      </c>
      <c r="D890" s="1" t="s">
        <v>39</v>
      </c>
      <c r="E890" s="1" t="s">
        <v>3024</v>
      </c>
      <c r="F890" s="1" t="s">
        <v>1001</v>
      </c>
      <c r="G890" s="1" t="s">
        <v>1010</v>
      </c>
      <c r="H890" s="1">
        <v>7</v>
      </c>
      <c r="I890" s="1">
        <v>7</v>
      </c>
      <c r="J890" s="1" t="s">
        <v>2722</v>
      </c>
      <c r="K890" s="2">
        <v>78.53</v>
      </c>
      <c r="L890" s="1">
        <v>20</v>
      </c>
      <c r="M890" s="2">
        <v>549.71</v>
      </c>
      <c r="N890" s="2">
        <v>109.94</v>
      </c>
      <c r="O890" s="2">
        <v>439.77</v>
      </c>
      <c r="P890" s="1">
        <v>249</v>
      </c>
      <c r="Q890" s="2">
        <v>54.97</v>
      </c>
      <c r="R890" s="2">
        <v>54.98</v>
      </c>
      <c r="S890" s="1" t="s">
        <v>1011</v>
      </c>
      <c r="T890" s="1" t="s">
        <v>1004</v>
      </c>
      <c r="U890" s="1" t="s">
        <v>1004</v>
      </c>
    </row>
    <row r="891" spans="1:21" x14ac:dyDescent="0.3">
      <c r="A891" s="1" t="s">
        <v>1905</v>
      </c>
      <c r="B891" s="1" t="s">
        <v>83</v>
      </c>
      <c r="C891" s="1" t="s">
        <v>84</v>
      </c>
      <c r="D891" s="1" t="s">
        <v>85</v>
      </c>
      <c r="E891" s="1" t="s">
        <v>3025</v>
      </c>
      <c r="F891" s="1" t="s">
        <v>1015</v>
      </c>
      <c r="G891" s="1" t="s">
        <v>1023</v>
      </c>
      <c r="H891" s="1">
        <v>15</v>
      </c>
      <c r="I891" s="1">
        <v>4</v>
      </c>
      <c r="J891" s="1" t="s">
        <v>2857</v>
      </c>
      <c r="K891" s="2">
        <v>432.82</v>
      </c>
      <c r="L891" s="1">
        <v>23</v>
      </c>
      <c r="M891" s="2">
        <v>6492.3</v>
      </c>
      <c r="N891" s="2">
        <v>1493.23</v>
      </c>
      <c r="O891" s="2">
        <v>4999.07</v>
      </c>
      <c r="P891" s="1">
        <v>112</v>
      </c>
      <c r="Q891" s="2">
        <v>302.97000000000003</v>
      </c>
      <c r="R891" s="2">
        <v>454.52</v>
      </c>
      <c r="S891" s="1" t="s">
        <v>1011</v>
      </c>
      <c r="T891" s="1" t="s">
        <v>1004</v>
      </c>
      <c r="U891" s="1" t="s">
        <v>1007</v>
      </c>
    </row>
    <row r="892" spans="1:21" x14ac:dyDescent="0.3">
      <c r="A892" s="1" t="s">
        <v>1906</v>
      </c>
      <c r="B892" s="1" t="s">
        <v>192</v>
      </c>
      <c r="C892" s="1" t="s">
        <v>193</v>
      </c>
      <c r="D892" s="1" t="s">
        <v>85</v>
      </c>
      <c r="E892" s="1" t="s">
        <v>3026</v>
      </c>
      <c r="F892" s="1" t="s">
        <v>1020</v>
      </c>
      <c r="G892" s="1" t="s">
        <v>1023</v>
      </c>
      <c r="H892" s="1">
        <v>9</v>
      </c>
      <c r="I892" s="1">
        <v>4</v>
      </c>
      <c r="J892" s="1" t="s">
        <v>2627</v>
      </c>
      <c r="K892" s="2">
        <v>289.45999999999998</v>
      </c>
      <c r="L892" s="1">
        <v>16</v>
      </c>
      <c r="M892" s="2">
        <v>2605.14</v>
      </c>
      <c r="N892" s="2">
        <v>416.82</v>
      </c>
      <c r="O892" s="2">
        <v>2188.3200000000002</v>
      </c>
      <c r="P892" s="1">
        <v>182</v>
      </c>
      <c r="Q892" s="2">
        <v>202.62</v>
      </c>
      <c r="R892" s="2">
        <v>364.74</v>
      </c>
      <c r="S892" s="1" t="s">
        <v>1011</v>
      </c>
      <c r="T892" s="1" t="s">
        <v>1007</v>
      </c>
      <c r="U892" s="1" t="s">
        <v>1004</v>
      </c>
    </row>
    <row r="893" spans="1:21" x14ac:dyDescent="0.3">
      <c r="A893" s="1" t="s">
        <v>1907</v>
      </c>
      <c r="B893" s="1" t="s">
        <v>52</v>
      </c>
      <c r="C893" s="1" t="s">
        <v>53</v>
      </c>
      <c r="D893" s="1" t="s">
        <v>47</v>
      </c>
      <c r="E893" s="1" t="s">
        <v>3027</v>
      </c>
      <c r="F893" s="1" t="s">
        <v>1006</v>
      </c>
      <c r="G893" s="1" t="s">
        <v>1002</v>
      </c>
      <c r="H893" s="1">
        <v>15</v>
      </c>
      <c r="I893" s="1">
        <v>4</v>
      </c>
      <c r="J893" s="1" t="s">
        <v>2915</v>
      </c>
      <c r="K893" s="2">
        <v>444.82</v>
      </c>
      <c r="L893" s="1">
        <v>22</v>
      </c>
      <c r="M893" s="2">
        <v>6672.3</v>
      </c>
      <c r="N893" s="2">
        <v>1467.91</v>
      </c>
      <c r="O893" s="2">
        <v>5204.3900000000003</v>
      </c>
      <c r="P893" s="1">
        <v>73</v>
      </c>
      <c r="Q893" s="2">
        <v>311.37</v>
      </c>
      <c r="R893" s="2">
        <v>533.84</v>
      </c>
      <c r="S893" s="1" t="s">
        <v>1011</v>
      </c>
      <c r="T893" s="1" t="s">
        <v>1007</v>
      </c>
      <c r="U893" s="1" t="s">
        <v>1004</v>
      </c>
    </row>
    <row r="894" spans="1:21" x14ac:dyDescent="0.3">
      <c r="A894" s="1" t="s">
        <v>1908</v>
      </c>
      <c r="B894" s="1" t="s">
        <v>72</v>
      </c>
      <c r="C894" s="1" t="s">
        <v>73</v>
      </c>
      <c r="D894" s="1" t="s">
        <v>47</v>
      </c>
      <c r="E894" s="1" t="s">
        <v>3028</v>
      </c>
      <c r="F894" s="1" t="s">
        <v>1013</v>
      </c>
      <c r="G894" s="1" t="s">
        <v>1023</v>
      </c>
      <c r="H894" s="1">
        <v>6</v>
      </c>
      <c r="I894" s="1">
        <v>5</v>
      </c>
      <c r="J894" s="1" t="s">
        <v>2848</v>
      </c>
      <c r="K894" s="2">
        <v>492</v>
      </c>
      <c r="L894" s="1">
        <v>23</v>
      </c>
      <c r="M894" s="2">
        <v>2952</v>
      </c>
      <c r="N894" s="2">
        <v>678.96</v>
      </c>
      <c r="O894" s="2">
        <v>2273.04</v>
      </c>
      <c r="P894" s="1">
        <v>217</v>
      </c>
      <c r="Q894" s="2">
        <v>344.4</v>
      </c>
      <c r="R894" s="2">
        <v>206.64</v>
      </c>
      <c r="S894" s="1" t="s">
        <v>1011</v>
      </c>
      <c r="T894" s="1" t="s">
        <v>1007</v>
      </c>
      <c r="U894" s="1" t="s">
        <v>1007</v>
      </c>
    </row>
    <row r="895" spans="1:21" x14ac:dyDescent="0.3">
      <c r="A895" s="1" t="s">
        <v>1909</v>
      </c>
      <c r="B895" s="1" t="s">
        <v>95</v>
      </c>
      <c r="C895" s="1" t="s">
        <v>96</v>
      </c>
      <c r="D895" s="1" t="s">
        <v>97</v>
      </c>
      <c r="E895" s="1" t="s">
        <v>3029</v>
      </c>
      <c r="F895" s="1" t="s">
        <v>1006</v>
      </c>
      <c r="G895" s="1" t="s">
        <v>1023</v>
      </c>
      <c r="H895" s="1">
        <v>5</v>
      </c>
      <c r="I895" s="1">
        <v>5</v>
      </c>
      <c r="J895" s="1" t="s">
        <v>2800</v>
      </c>
      <c r="K895" s="2">
        <v>412.97</v>
      </c>
      <c r="L895" s="1">
        <v>16</v>
      </c>
      <c r="M895" s="2">
        <v>2064.85</v>
      </c>
      <c r="N895" s="2">
        <v>330.38</v>
      </c>
      <c r="O895" s="2">
        <v>1734.47</v>
      </c>
      <c r="P895" s="1">
        <v>165</v>
      </c>
      <c r="Q895" s="2">
        <v>289.08</v>
      </c>
      <c r="R895" s="2">
        <v>289.07</v>
      </c>
      <c r="S895" s="1" t="s">
        <v>1016</v>
      </c>
      <c r="T895" s="1" t="s">
        <v>1004</v>
      </c>
      <c r="U895" s="1" t="s">
        <v>1007</v>
      </c>
    </row>
    <row r="896" spans="1:21" x14ac:dyDescent="0.3">
      <c r="A896" s="1" t="s">
        <v>1910</v>
      </c>
      <c r="B896" s="1" t="s">
        <v>52</v>
      </c>
      <c r="C896" s="1" t="s">
        <v>53</v>
      </c>
      <c r="D896" s="1" t="s">
        <v>47</v>
      </c>
      <c r="E896" s="1" t="s">
        <v>3030</v>
      </c>
      <c r="F896" s="1" t="s">
        <v>1013</v>
      </c>
      <c r="G896" s="1" t="s">
        <v>1023</v>
      </c>
      <c r="H896" s="1">
        <v>1</v>
      </c>
      <c r="I896" s="1">
        <v>1</v>
      </c>
      <c r="J896" s="1" t="s">
        <v>2750</v>
      </c>
      <c r="K896" s="2">
        <v>319.68</v>
      </c>
      <c r="L896" s="1">
        <v>1</v>
      </c>
      <c r="M896" s="2">
        <v>319.68</v>
      </c>
      <c r="N896" s="2">
        <v>3.2</v>
      </c>
      <c r="O896" s="2">
        <v>316.48</v>
      </c>
      <c r="P896" s="1">
        <v>178</v>
      </c>
      <c r="Q896" s="2">
        <v>223.78</v>
      </c>
      <c r="R896" s="2">
        <v>92.7</v>
      </c>
      <c r="S896" s="1" t="s">
        <v>1003</v>
      </c>
      <c r="T896" s="1" t="s">
        <v>1007</v>
      </c>
      <c r="U896" s="1" t="s">
        <v>1004</v>
      </c>
    </row>
    <row r="897" spans="1:21" x14ac:dyDescent="0.3">
      <c r="A897" s="1" t="s">
        <v>1911</v>
      </c>
      <c r="B897" s="1" t="s">
        <v>176</v>
      </c>
      <c r="C897" s="1" t="s">
        <v>177</v>
      </c>
      <c r="D897" s="1" t="s">
        <v>39</v>
      </c>
      <c r="E897" s="1" t="s">
        <v>3031</v>
      </c>
      <c r="F897" s="1" t="s">
        <v>1001</v>
      </c>
      <c r="G897" s="1" t="s">
        <v>1023</v>
      </c>
      <c r="H897" s="1">
        <v>8</v>
      </c>
      <c r="I897" s="1">
        <v>6</v>
      </c>
      <c r="J897" s="1" t="s">
        <v>2813</v>
      </c>
      <c r="K897" s="2">
        <v>154.69999999999999</v>
      </c>
      <c r="L897" s="1">
        <v>25</v>
      </c>
      <c r="M897" s="2">
        <v>1237.5999999999999</v>
      </c>
      <c r="N897" s="2">
        <v>309.39999999999998</v>
      </c>
      <c r="O897" s="2">
        <v>928.2</v>
      </c>
      <c r="P897" s="1">
        <v>237</v>
      </c>
      <c r="Q897" s="2">
        <v>108.29</v>
      </c>
      <c r="R897" s="2">
        <v>61.88</v>
      </c>
      <c r="S897" s="1" t="s">
        <v>1016</v>
      </c>
      <c r="T897" s="1" t="s">
        <v>1007</v>
      </c>
      <c r="U897" s="1" t="s">
        <v>1007</v>
      </c>
    </row>
    <row r="898" spans="1:21" x14ac:dyDescent="0.3">
      <c r="A898" s="1" t="s">
        <v>1912</v>
      </c>
      <c r="B898" s="1" t="s">
        <v>57</v>
      </c>
      <c r="C898" s="1" t="s">
        <v>58</v>
      </c>
      <c r="D898" s="1" t="s">
        <v>59</v>
      </c>
      <c r="E898" s="1" t="s">
        <v>3032</v>
      </c>
      <c r="F898" s="1" t="s">
        <v>1020</v>
      </c>
      <c r="G898" s="1" t="s">
        <v>1023</v>
      </c>
      <c r="H898" s="1">
        <v>4</v>
      </c>
      <c r="I898" s="1">
        <v>1</v>
      </c>
      <c r="J898" s="1" t="s">
        <v>2781</v>
      </c>
      <c r="K898" s="2">
        <v>473.66</v>
      </c>
      <c r="L898" s="1">
        <v>19</v>
      </c>
      <c r="M898" s="2">
        <v>1894.64</v>
      </c>
      <c r="N898" s="2">
        <v>359.98</v>
      </c>
      <c r="O898" s="2">
        <v>1534.66</v>
      </c>
      <c r="P898" s="1">
        <v>58</v>
      </c>
      <c r="Q898" s="2">
        <v>331.56</v>
      </c>
      <c r="R898" s="2">
        <v>208.42</v>
      </c>
      <c r="S898" s="1" t="s">
        <v>1016</v>
      </c>
      <c r="T898" s="1" t="s">
        <v>1004</v>
      </c>
      <c r="U898" s="1" t="s">
        <v>1007</v>
      </c>
    </row>
    <row r="899" spans="1:21" x14ac:dyDescent="0.3">
      <c r="A899" s="1" t="s">
        <v>1913</v>
      </c>
      <c r="B899" s="1" t="s">
        <v>26</v>
      </c>
      <c r="C899" s="1" t="s">
        <v>27</v>
      </c>
      <c r="D899" s="1" t="s">
        <v>28</v>
      </c>
      <c r="E899" s="1" t="s">
        <v>3033</v>
      </c>
      <c r="F899" s="1" t="s">
        <v>1027</v>
      </c>
      <c r="G899" s="1" t="s">
        <v>1002</v>
      </c>
      <c r="H899" s="1">
        <v>10</v>
      </c>
      <c r="I899" s="1">
        <v>6</v>
      </c>
      <c r="J899" s="1" t="s">
        <v>2540</v>
      </c>
      <c r="K899" s="2">
        <v>267.99</v>
      </c>
      <c r="L899" s="1">
        <v>24</v>
      </c>
      <c r="M899" s="2">
        <v>2679.9</v>
      </c>
      <c r="N899" s="2">
        <v>643.17999999999995</v>
      </c>
      <c r="O899" s="2">
        <v>2036.72</v>
      </c>
      <c r="P899" s="1">
        <v>89</v>
      </c>
      <c r="Q899" s="2">
        <v>187.59</v>
      </c>
      <c r="R899" s="2">
        <v>160.82</v>
      </c>
      <c r="S899" s="1" t="s">
        <v>1011</v>
      </c>
      <c r="T899" s="1" t="s">
        <v>1004</v>
      </c>
      <c r="U899" s="1" t="s">
        <v>1004</v>
      </c>
    </row>
    <row r="900" spans="1:21" x14ac:dyDescent="0.3">
      <c r="A900" s="1" t="s">
        <v>1914</v>
      </c>
      <c r="B900" s="1" t="s">
        <v>52</v>
      </c>
      <c r="C900" s="1" t="s">
        <v>53</v>
      </c>
      <c r="D900" s="1" t="s">
        <v>47</v>
      </c>
      <c r="E900" s="1" t="s">
        <v>3034</v>
      </c>
      <c r="F900" s="1" t="s">
        <v>1006</v>
      </c>
      <c r="G900" s="1" t="s">
        <v>1023</v>
      </c>
      <c r="H900" s="1">
        <v>3</v>
      </c>
      <c r="I900" s="1">
        <v>7</v>
      </c>
      <c r="J900" s="1" t="s">
        <v>2623</v>
      </c>
      <c r="K900" s="2">
        <v>224</v>
      </c>
      <c r="L900" s="1">
        <v>18</v>
      </c>
      <c r="M900" s="2">
        <v>672</v>
      </c>
      <c r="N900" s="2">
        <v>120.96</v>
      </c>
      <c r="O900" s="2">
        <v>551.04</v>
      </c>
      <c r="P900" s="1">
        <v>147</v>
      </c>
      <c r="Q900" s="2">
        <v>156.80000000000001</v>
      </c>
      <c r="R900" s="2">
        <v>80.64</v>
      </c>
      <c r="S900" s="1" t="s">
        <v>1011</v>
      </c>
      <c r="T900" s="1" t="s">
        <v>1004</v>
      </c>
      <c r="U900" s="1" t="s">
        <v>1004</v>
      </c>
    </row>
    <row r="901" spans="1:21" x14ac:dyDescent="0.3">
      <c r="A901" s="1" t="s">
        <v>1915</v>
      </c>
      <c r="B901" s="1" t="s">
        <v>26</v>
      </c>
      <c r="C901" s="1" t="s">
        <v>27</v>
      </c>
      <c r="D901" s="1" t="s">
        <v>28</v>
      </c>
      <c r="E901" s="1" t="s">
        <v>3035</v>
      </c>
      <c r="F901" s="1" t="s">
        <v>1006</v>
      </c>
      <c r="G901" s="1" t="s">
        <v>1023</v>
      </c>
      <c r="H901" s="1">
        <v>15</v>
      </c>
      <c r="I901" s="1">
        <v>6</v>
      </c>
      <c r="J901" s="1" t="s">
        <v>2747</v>
      </c>
      <c r="K901" s="2">
        <v>403.67</v>
      </c>
      <c r="L901" s="1">
        <v>17</v>
      </c>
      <c r="M901" s="2">
        <v>6055.05</v>
      </c>
      <c r="N901" s="2">
        <v>1029.3599999999999</v>
      </c>
      <c r="O901" s="2">
        <v>5025.6899999999996</v>
      </c>
      <c r="P901" s="1">
        <v>130</v>
      </c>
      <c r="Q901" s="2">
        <v>282.57</v>
      </c>
      <c r="R901" s="2">
        <v>787.14</v>
      </c>
      <c r="S901" s="1" t="s">
        <v>1016</v>
      </c>
      <c r="T901" s="1" t="s">
        <v>1004</v>
      </c>
      <c r="U901" s="1" t="s">
        <v>1007</v>
      </c>
    </row>
    <row r="902" spans="1:21" x14ac:dyDescent="0.3">
      <c r="A902" s="1" t="s">
        <v>1916</v>
      </c>
      <c r="B902" s="1" t="s">
        <v>237</v>
      </c>
      <c r="C902" s="1" t="s">
        <v>238</v>
      </c>
      <c r="D902" s="1" t="s">
        <v>85</v>
      </c>
      <c r="E902" s="1" t="s">
        <v>3036</v>
      </c>
      <c r="F902" s="1" t="s">
        <v>1027</v>
      </c>
      <c r="G902" s="1" t="s">
        <v>1002</v>
      </c>
      <c r="H902" s="1">
        <v>11</v>
      </c>
      <c r="I902" s="1">
        <v>4</v>
      </c>
      <c r="J902" s="1" t="s">
        <v>2676</v>
      </c>
      <c r="K902" s="2">
        <v>89.34</v>
      </c>
      <c r="L902" s="1">
        <v>10</v>
      </c>
      <c r="M902" s="2">
        <v>982.74</v>
      </c>
      <c r="N902" s="2">
        <v>98.27</v>
      </c>
      <c r="O902" s="2">
        <v>884.47</v>
      </c>
      <c r="P902" s="1">
        <v>257</v>
      </c>
      <c r="Q902" s="2">
        <v>62.54</v>
      </c>
      <c r="R902" s="2">
        <v>196.53</v>
      </c>
      <c r="S902" s="1" t="s">
        <v>1003</v>
      </c>
      <c r="T902" s="1" t="s">
        <v>1007</v>
      </c>
      <c r="U902" s="1" t="s">
        <v>1007</v>
      </c>
    </row>
    <row r="903" spans="1:21" x14ac:dyDescent="0.3">
      <c r="A903" s="1" t="s">
        <v>1917</v>
      </c>
      <c r="B903" s="1" t="s">
        <v>57</v>
      </c>
      <c r="C903" s="1" t="s">
        <v>58</v>
      </c>
      <c r="D903" s="1" t="s">
        <v>59</v>
      </c>
      <c r="E903" s="1" t="s">
        <v>3037</v>
      </c>
      <c r="F903" s="1" t="s">
        <v>1020</v>
      </c>
      <c r="G903" s="1" t="s">
        <v>1002</v>
      </c>
      <c r="H903" s="1">
        <v>11</v>
      </c>
      <c r="I903" s="1">
        <v>2</v>
      </c>
      <c r="J903" s="1" t="s">
        <v>2583</v>
      </c>
      <c r="K903" s="2">
        <v>326.27999999999997</v>
      </c>
      <c r="L903" s="1">
        <v>23</v>
      </c>
      <c r="M903" s="2">
        <v>3589.08</v>
      </c>
      <c r="N903" s="2">
        <v>825.49</v>
      </c>
      <c r="O903" s="2">
        <v>2763.59</v>
      </c>
      <c r="P903" s="1">
        <v>235</v>
      </c>
      <c r="Q903" s="2">
        <v>228.4</v>
      </c>
      <c r="R903" s="2">
        <v>251.19</v>
      </c>
      <c r="S903" s="1" t="s">
        <v>1016</v>
      </c>
      <c r="T903" s="1" t="s">
        <v>1007</v>
      </c>
      <c r="U903" s="1" t="s">
        <v>1004</v>
      </c>
    </row>
    <row r="904" spans="1:21" x14ac:dyDescent="0.3">
      <c r="A904" s="1" t="s">
        <v>1918</v>
      </c>
      <c r="B904" s="1" t="s">
        <v>166</v>
      </c>
      <c r="C904" s="1" t="s">
        <v>167</v>
      </c>
      <c r="D904" s="1" t="s">
        <v>59</v>
      </c>
      <c r="E904" s="1" t="s">
        <v>3038</v>
      </c>
      <c r="F904" s="1" t="s">
        <v>1020</v>
      </c>
      <c r="G904" s="1" t="s">
        <v>1002</v>
      </c>
      <c r="H904" s="1">
        <v>8</v>
      </c>
      <c r="I904" s="1">
        <v>6</v>
      </c>
      <c r="J904" s="1" t="s">
        <v>2751</v>
      </c>
      <c r="K904" s="2">
        <v>269.88</v>
      </c>
      <c r="L904" s="1">
        <v>3</v>
      </c>
      <c r="M904" s="2">
        <v>2159.04</v>
      </c>
      <c r="N904" s="2">
        <v>64.77</v>
      </c>
      <c r="O904" s="2">
        <v>2094.27</v>
      </c>
      <c r="P904" s="1">
        <v>83</v>
      </c>
      <c r="Q904" s="2">
        <v>188.92</v>
      </c>
      <c r="R904" s="2">
        <v>582.91</v>
      </c>
      <c r="S904" s="1" t="s">
        <v>1016</v>
      </c>
      <c r="T904" s="1" t="s">
        <v>1007</v>
      </c>
      <c r="U904" s="1" t="s">
        <v>1007</v>
      </c>
    </row>
    <row r="905" spans="1:21" x14ac:dyDescent="0.3">
      <c r="A905" s="1" t="s">
        <v>1919</v>
      </c>
      <c r="B905" s="1" t="s">
        <v>63</v>
      </c>
      <c r="C905" s="1" t="s">
        <v>64</v>
      </c>
      <c r="D905" s="1" t="s">
        <v>28</v>
      </c>
      <c r="E905" s="1" t="s">
        <v>3039</v>
      </c>
      <c r="F905" s="1" t="s">
        <v>1015</v>
      </c>
      <c r="G905" s="1" t="s">
        <v>1010</v>
      </c>
      <c r="H905" s="1">
        <v>3</v>
      </c>
      <c r="I905" s="1">
        <v>2</v>
      </c>
      <c r="J905" s="1" t="s">
        <v>3040</v>
      </c>
      <c r="K905" s="2">
        <v>440.05</v>
      </c>
      <c r="L905" s="1">
        <v>1</v>
      </c>
      <c r="M905" s="2">
        <v>1320.15</v>
      </c>
      <c r="N905" s="2">
        <v>13.2</v>
      </c>
      <c r="O905" s="2">
        <v>1306.95</v>
      </c>
      <c r="P905" s="1">
        <v>163</v>
      </c>
      <c r="Q905" s="2">
        <v>308.02999999999997</v>
      </c>
      <c r="R905" s="2">
        <v>382.86</v>
      </c>
      <c r="S905" s="1" t="s">
        <v>1003</v>
      </c>
      <c r="T905" s="1" t="s">
        <v>1007</v>
      </c>
      <c r="U905" s="1" t="s">
        <v>1007</v>
      </c>
    </row>
    <row r="906" spans="1:21" x14ac:dyDescent="0.3">
      <c r="A906" s="1" t="s">
        <v>1920</v>
      </c>
      <c r="B906" s="1" t="s">
        <v>166</v>
      </c>
      <c r="C906" s="1" t="s">
        <v>167</v>
      </c>
      <c r="D906" s="1" t="s">
        <v>59</v>
      </c>
      <c r="E906" s="1" t="s">
        <v>3041</v>
      </c>
      <c r="F906" s="1" t="s">
        <v>1013</v>
      </c>
      <c r="G906" s="1" t="s">
        <v>1002</v>
      </c>
      <c r="H906" s="1">
        <v>8</v>
      </c>
      <c r="I906" s="1">
        <v>5</v>
      </c>
      <c r="J906" s="1" t="s">
        <v>2750</v>
      </c>
      <c r="K906" s="2">
        <v>365.05</v>
      </c>
      <c r="L906" s="1">
        <v>7</v>
      </c>
      <c r="M906" s="2">
        <v>2920.4</v>
      </c>
      <c r="N906" s="2">
        <v>204.43</v>
      </c>
      <c r="O906" s="2">
        <v>2715.97</v>
      </c>
      <c r="P906" s="1">
        <v>193</v>
      </c>
      <c r="Q906" s="2">
        <v>255.53</v>
      </c>
      <c r="R906" s="2">
        <v>671.73</v>
      </c>
      <c r="S906" s="1" t="s">
        <v>1016</v>
      </c>
      <c r="T906" s="1" t="s">
        <v>1007</v>
      </c>
      <c r="U906" s="1" t="s">
        <v>1004</v>
      </c>
    </row>
    <row r="907" spans="1:21" x14ac:dyDescent="0.3">
      <c r="A907" s="1" t="s">
        <v>1921</v>
      </c>
      <c r="B907" s="1" t="s">
        <v>123</v>
      </c>
      <c r="C907" s="1" t="s">
        <v>124</v>
      </c>
      <c r="D907" s="1" t="s">
        <v>47</v>
      </c>
      <c r="E907" s="1" t="s">
        <v>3042</v>
      </c>
      <c r="F907" s="1" t="s">
        <v>1027</v>
      </c>
      <c r="G907" s="1" t="s">
        <v>1002</v>
      </c>
      <c r="H907" s="1">
        <v>9</v>
      </c>
      <c r="I907" s="1">
        <v>7</v>
      </c>
      <c r="J907" s="1" t="s">
        <v>3043</v>
      </c>
      <c r="K907" s="2">
        <v>296.2</v>
      </c>
      <c r="L907" s="1">
        <v>14</v>
      </c>
      <c r="M907" s="2">
        <v>2665.8</v>
      </c>
      <c r="N907" s="2">
        <v>373.21</v>
      </c>
      <c r="O907" s="2">
        <v>2292.59</v>
      </c>
      <c r="P907" s="1">
        <v>242</v>
      </c>
      <c r="Q907" s="2">
        <v>207.34</v>
      </c>
      <c r="R907" s="2">
        <v>426.53</v>
      </c>
      <c r="S907" s="1" t="s">
        <v>1011</v>
      </c>
      <c r="T907" s="1" t="s">
        <v>1007</v>
      </c>
      <c r="U907" s="1" t="s">
        <v>1004</v>
      </c>
    </row>
    <row r="908" spans="1:21" x14ac:dyDescent="0.3">
      <c r="A908" s="1" t="s">
        <v>1922</v>
      </c>
      <c r="B908" s="1" t="s">
        <v>111</v>
      </c>
      <c r="C908" s="1" t="s">
        <v>112</v>
      </c>
      <c r="D908" s="1" t="s">
        <v>97</v>
      </c>
      <c r="E908" s="1" t="s">
        <v>3044</v>
      </c>
      <c r="F908" s="1" t="s">
        <v>1013</v>
      </c>
      <c r="G908" s="1" t="s">
        <v>1010</v>
      </c>
      <c r="H908" s="1">
        <v>13</v>
      </c>
      <c r="I908" s="1">
        <v>7</v>
      </c>
      <c r="J908" s="1" t="s">
        <v>2561</v>
      </c>
      <c r="K908" s="2">
        <v>155.88999999999999</v>
      </c>
      <c r="L908" s="1">
        <v>23</v>
      </c>
      <c r="M908" s="2">
        <v>2026.57</v>
      </c>
      <c r="N908" s="2">
        <v>466.11</v>
      </c>
      <c r="O908" s="2">
        <v>1560.46</v>
      </c>
      <c r="P908" s="1">
        <v>84</v>
      </c>
      <c r="Q908" s="2">
        <v>109.12</v>
      </c>
      <c r="R908" s="2">
        <v>141.9</v>
      </c>
      <c r="S908" s="1" t="s">
        <v>1003</v>
      </c>
      <c r="T908" s="1" t="s">
        <v>1007</v>
      </c>
      <c r="U908" s="1" t="s">
        <v>1007</v>
      </c>
    </row>
    <row r="909" spans="1:21" x14ac:dyDescent="0.3">
      <c r="A909" s="1" t="s">
        <v>1923</v>
      </c>
      <c r="B909" s="1" t="s">
        <v>107</v>
      </c>
      <c r="C909" s="1" t="s">
        <v>108</v>
      </c>
      <c r="D909" s="1" t="s">
        <v>39</v>
      </c>
      <c r="E909" s="1" t="s">
        <v>3045</v>
      </c>
      <c r="F909" s="1" t="s">
        <v>1006</v>
      </c>
      <c r="G909" s="1" t="s">
        <v>1010</v>
      </c>
      <c r="H909" s="1">
        <v>12</v>
      </c>
      <c r="I909" s="1">
        <v>4</v>
      </c>
      <c r="J909" s="1" t="s">
        <v>2747</v>
      </c>
      <c r="K909" s="2">
        <v>269.7</v>
      </c>
      <c r="L909" s="1">
        <v>13</v>
      </c>
      <c r="M909" s="2">
        <v>3236.4</v>
      </c>
      <c r="N909" s="2">
        <v>420.73</v>
      </c>
      <c r="O909" s="2">
        <v>2815.67</v>
      </c>
      <c r="P909" s="1">
        <v>125</v>
      </c>
      <c r="Q909" s="2">
        <v>188.79</v>
      </c>
      <c r="R909" s="2">
        <v>550.19000000000005</v>
      </c>
      <c r="S909" s="1" t="s">
        <v>1011</v>
      </c>
      <c r="T909" s="1" t="s">
        <v>1004</v>
      </c>
      <c r="U909" s="1" t="s">
        <v>1007</v>
      </c>
    </row>
    <row r="910" spans="1:21" x14ac:dyDescent="0.3">
      <c r="A910" s="1" t="s">
        <v>1924</v>
      </c>
      <c r="B910" s="1" t="s">
        <v>107</v>
      </c>
      <c r="C910" s="1" t="s">
        <v>108</v>
      </c>
      <c r="D910" s="1" t="s">
        <v>39</v>
      </c>
      <c r="E910" s="1" t="s">
        <v>3046</v>
      </c>
      <c r="F910" s="1" t="s">
        <v>1020</v>
      </c>
      <c r="G910" s="1" t="s">
        <v>1002</v>
      </c>
      <c r="H910" s="1">
        <v>3</v>
      </c>
      <c r="I910" s="1">
        <v>5</v>
      </c>
      <c r="J910" s="1" t="s">
        <v>2645</v>
      </c>
      <c r="K910" s="2">
        <v>204.94</v>
      </c>
      <c r="L910" s="1">
        <v>20</v>
      </c>
      <c r="M910" s="2">
        <v>614.82000000000005</v>
      </c>
      <c r="N910" s="2">
        <v>122.96</v>
      </c>
      <c r="O910" s="2">
        <v>491.86</v>
      </c>
      <c r="P910" s="1">
        <v>132</v>
      </c>
      <c r="Q910" s="2">
        <v>143.46</v>
      </c>
      <c r="R910" s="2">
        <v>61.48</v>
      </c>
      <c r="S910" s="1" t="s">
        <v>1003</v>
      </c>
      <c r="T910" s="1" t="s">
        <v>1004</v>
      </c>
      <c r="U910" s="1" t="s">
        <v>1004</v>
      </c>
    </row>
    <row r="911" spans="1:21" x14ac:dyDescent="0.3">
      <c r="A911" s="1" t="s">
        <v>1925</v>
      </c>
      <c r="B911" s="1" t="s">
        <v>176</v>
      </c>
      <c r="C911" s="1" t="s">
        <v>177</v>
      </c>
      <c r="D911" s="1" t="s">
        <v>39</v>
      </c>
      <c r="E911" s="1" t="s">
        <v>3047</v>
      </c>
      <c r="F911" s="1" t="s">
        <v>1013</v>
      </c>
      <c r="G911" s="1" t="s">
        <v>1002</v>
      </c>
      <c r="H911" s="1">
        <v>11</v>
      </c>
      <c r="I911" s="1">
        <v>7</v>
      </c>
      <c r="J911" s="1" t="s">
        <v>2742</v>
      </c>
      <c r="K911" s="2">
        <v>110.63</v>
      </c>
      <c r="L911" s="1">
        <v>11</v>
      </c>
      <c r="M911" s="2">
        <v>1216.93</v>
      </c>
      <c r="N911" s="2">
        <v>133.86000000000001</v>
      </c>
      <c r="O911" s="2">
        <v>1083.07</v>
      </c>
      <c r="P911" s="1">
        <v>96</v>
      </c>
      <c r="Q911" s="2">
        <v>77.44</v>
      </c>
      <c r="R911" s="2">
        <v>231.23</v>
      </c>
      <c r="S911" s="1" t="s">
        <v>1011</v>
      </c>
      <c r="T911" s="1" t="s">
        <v>1004</v>
      </c>
      <c r="U911" s="1" t="s">
        <v>1007</v>
      </c>
    </row>
    <row r="912" spans="1:21" x14ac:dyDescent="0.3">
      <c r="A912" s="1" t="s">
        <v>1926</v>
      </c>
      <c r="B912" s="1" t="s">
        <v>77</v>
      </c>
      <c r="C912" s="1" t="s">
        <v>78</v>
      </c>
      <c r="D912" s="1" t="s">
        <v>47</v>
      </c>
      <c r="E912" s="1" t="s">
        <v>3048</v>
      </c>
      <c r="F912" s="1" t="s">
        <v>1009</v>
      </c>
      <c r="G912" s="1" t="s">
        <v>1023</v>
      </c>
      <c r="H912" s="1">
        <v>5</v>
      </c>
      <c r="I912" s="1">
        <v>2</v>
      </c>
      <c r="J912" s="1" t="s">
        <v>2813</v>
      </c>
      <c r="K912" s="2">
        <v>153.16</v>
      </c>
      <c r="L912" s="1">
        <v>2</v>
      </c>
      <c r="M912" s="2">
        <v>765.8</v>
      </c>
      <c r="N912" s="2">
        <v>15.32</v>
      </c>
      <c r="O912" s="2">
        <v>750.48</v>
      </c>
      <c r="P912" s="1">
        <v>121</v>
      </c>
      <c r="Q912" s="2">
        <v>107.21</v>
      </c>
      <c r="R912" s="2">
        <v>214.43</v>
      </c>
      <c r="S912" s="1" t="s">
        <v>1003</v>
      </c>
      <c r="T912" s="1" t="s">
        <v>1007</v>
      </c>
      <c r="U912" s="1" t="s">
        <v>1004</v>
      </c>
    </row>
    <row r="913" spans="1:21" x14ac:dyDescent="0.3">
      <c r="A913" s="1" t="s">
        <v>1927</v>
      </c>
      <c r="B913" s="1" t="s">
        <v>118</v>
      </c>
      <c r="C913" s="1" t="s">
        <v>119</v>
      </c>
      <c r="D913" s="1" t="s">
        <v>97</v>
      </c>
      <c r="E913" s="1" t="s">
        <v>3049</v>
      </c>
      <c r="F913" s="1" t="s">
        <v>1006</v>
      </c>
      <c r="G913" s="1" t="s">
        <v>1023</v>
      </c>
      <c r="H913" s="1">
        <v>13</v>
      </c>
      <c r="I913" s="1">
        <v>1</v>
      </c>
      <c r="J913" s="1" t="s">
        <v>2886</v>
      </c>
      <c r="K913" s="2">
        <v>329.77</v>
      </c>
      <c r="L913" s="1">
        <v>22</v>
      </c>
      <c r="M913" s="2">
        <v>4287.01</v>
      </c>
      <c r="N913" s="2">
        <v>943.14</v>
      </c>
      <c r="O913" s="2">
        <v>3343.87</v>
      </c>
      <c r="P913" s="1">
        <v>197</v>
      </c>
      <c r="Q913" s="2">
        <v>230.84</v>
      </c>
      <c r="R913" s="2">
        <v>342.95</v>
      </c>
      <c r="S913" s="1" t="s">
        <v>1016</v>
      </c>
      <c r="T913" s="1" t="s">
        <v>1007</v>
      </c>
      <c r="U913" s="1" t="s">
        <v>1007</v>
      </c>
    </row>
    <row r="914" spans="1:21" x14ac:dyDescent="0.3">
      <c r="A914" s="1" t="s">
        <v>1928</v>
      </c>
      <c r="B914" s="1" t="s">
        <v>176</v>
      </c>
      <c r="C914" s="1" t="s">
        <v>177</v>
      </c>
      <c r="D914" s="1" t="s">
        <v>39</v>
      </c>
      <c r="E914" s="1" t="s">
        <v>3050</v>
      </c>
      <c r="F914" s="1" t="s">
        <v>1006</v>
      </c>
      <c r="G914" s="1" t="s">
        <v>1010</v>
      </c>
      <c r="H914" s="1">
        <v>4</v>
      </c>
      <c r="I914" s="1">
        <v>4</v>
      </c>
      <c r="J914" s="1" t="s">
        <v>2696</v>
      </c>
      <c r="K914" s="2">
        <v>313.3</v>
      </c>
      <c r="L914" s="1">
        <v>20</v>
      </c>
      <c r="M914" s="2">
        <v>1253.2</v>
      </c>
      <c r="N914" s="2">
        <v>250.64</v>
      </c>
      <c r="O914" s="2">
        <v>1002.56</v>
      </c>
      <c r="P914" s="1">
        <v>110</v>
      </c>
      <c r="Q914" s="2">
        <v>219.31</v>
      </c>
      <c r="R914" s="2">
        <v>125.32</v>
      </c>
      <c r="S914" s="1" t="s">
        <v>1016</v>
      </c>
      <c r="T914" s="1" t="s">
        <v>1007</v>
      </c>
      <c r="U914" s="1" t="s">
        <v>1007</v>
      </c>
    </row>
    <row r="915" spans="1:21" x14ac:dyDescent="0.3">
      <c r="A915" s="1" t="s">
        <v>1929</v>
      </c>
      <c r="B915" s="1" t="s">
        <v>26</v>
      </c>
      <c r="C915" s="1" t="s">
        <v>27</v>
      </c>
      <c r="D915" s="1" t="s">
        <v>28</v>
      </c>
      <c r="E915" s="1" t="s">
        <v>3051</v>
      </c>
      <c r="F915" s="1" t="s">
        <v>1020</v>
      </c>
      <c r="G915" s="1" t="s">
        <v>1002</v>
      </c>
      <c r="H915" s="1">
        <v>14</v>
      </c>
      <c r="I915" s="1">
        <v>4</v>
      </c>
      <c r="J915" s="1" t="s">
        <v>2987</v>
      </c>
      <c r="K915" s="2">
        <v>187.78</v>
      </c>
      <c r="L915" s="1">
        <v>1</v>
      </c>
      <c r="M915" s="2">
        <v>2628.92</v>
      </c>
      <c r="N915" s="2">
        <v>26.29</v>
      </c>
      <c r="O915" s="2">
        <v>2602.63</v>
      </c>
      <c r="P915" s="1">
        <v>108</v>
      </c>
      <c r="Q915" s="2">
        <v>131.44999999999999</v>
      </c>
      <c r="R915" s="2">
        <v>762.33</v>
      </c>
      <c r="S915" s="1" t="s">
        <v>1003</v>
      </c>
      <c r="T915" s="1" t="s">
        <v>1004</v>
      </c>
      <c r="U915" s="1" t="s">
        <v>1004</v>
      </c>
    </row>
    <row r="916" spans="1:21" x14ac:dyDescent="0.3">
      <c r="A916" s="1" t="s">
        <v>1930</v>
      </c>
      <c r="B916" s="1" t="s">
        <v>69</v>
      </c>
      <c r="C916" s="1" t="s">
        <v>70</v>
      </c>
      <c r="D916" s="1" t="s">
        <v>59</v>
      </c>
      <c r="E916" s="1" t="s">
        <v>3052</v>
      </c>
      <c r="F916" s="1" t="s">
        <v>1009</v>
      </c>
      <c r="G916" s="1" t="s">
        <v>1023</v>
      </c>
      <c r="H916" s="1">
        <v>12</v>
      </c>
      <c r="I916" s="1">
        <v>5</v>
      </c>
      <c r="J916" s="1" t="s">
        <v>3053</v>
      </c>
      <c r="K916" s="2">
        <v>431.9</v>
      </c>
      <c r="L916" s="1">
        <v>23</v>
      </c>
      <c r="M916" s="2">
        <v>5182.8</v>
      </c>
      <c r="N916" s="2">
        <v>1192.04</v>
      </c>
      <c r="O916" s="2">
        <v>3990.76</v>
      </c>
      <c r="P916" s="1">
        <v>206</v>
      </c>
      <c r="Q916" s="2">
        <v>302.33</v>
      </c>
      <c r="R916" s="2">
        <v>362.8</v>
      </c>
      <c r="S916" s="1" t="s">
        <v>1003</v>
      </c>
      <c r="T916" s="1" t="s">
        <v>1004</v>
      </c>
      <c r="U916" s="1" t="s">
        <v>1007</v>
      </c>
    </row>
    <row r="917" spans="1:21" x14ac:dyDescent="0.3">
      <c r="A917" s="1" t="s">
        <v>1931</v>
      </c>
      <c r="B917" s="1" t="s">
        <v>83</v>
      </c>
      <c r="C917" s="1" t="s">
        <v>84</v>
      </c>
      <c r="D917" s="1" t="s">
        <v>85</v>
      </c>
      <c r="E917" s="1" t="s">
        <v>3054</v>
      </c>
      <c r="F917" s="1" t="s">
        <v>1001</v>
      </c>
      <c r="G917" s="1" t="s">
        <v>1002</v>
      </c>
      <c r="H917" s="1">
        <v>2</v>
      </c>
      <c r="I917" s="1">
        <v>5</v>
      </c>
      <c r="J917" s="1" t="s">
        <v>2625</v>
      </c>
      <c r="K917" s="2">
        <v>179.55</v>
      </c>
      <c r="L917" s="1">
        <v>7</v>
      </c>
      <c r="M917" s="2">
        <v>359.1</v>
      </c>
      <c r="N917" s="2">
        <v>25.14</v>
      </c>
      <c r="O917" s="2">
        <v>333.96</v>
      </c>
      <c r="P917" s="1">
        <v>105</v>
      </c>
      <c r="Q917" s="2">
        <v>125.69</v>
      </c>
      <c r="R917" s="2">
        <v>82.58</v>
      </c>
      <c r="S917" s="1" t="s">
        <v>1011</v>
      </c>
      <c r="T917" s="1" t="s">
        <v>1007</v>
      </c>
      <c r="U917" s="1" t="s">
        <v>1004</v>
      </c>
    </row>
    <row r="918" spans="1:21" x14ac:dyDescent="0.3">
      <c r="A918" s="1" t="s">
        <v>1932</v>
      </c>
      <c r="B918" s="1" t="s">
        <v>166</v>
      </c>
      <c r="C918" s="1" t="s">
        <v>167</v>
      </c>
      <c r="D918" s="1" t="s">
        <v>59</v>
      </c>
      <c r="E918" s="1" t="s">
        <v>3055</v>
      </c>
      <c r="F918" s="1" t="s">
        <v>1013</v>
      </c>
      <c r="G918" s="1" t="s">
        <v>1002</v>
      </c>
      <c r="H918" s="1">
        <v>10</v>
      </c>
      <c r="I918" s="1">
        <v>5</v>
      </c>
      <c r="J918" s="1" t="s">
        <v>2733</v>
      </c>
      <c r="K918" s="2">
        <v>376.88</v>
      </c>
      <c r="L918" s="1">
        <v>22</v>
      </c>
      <c r="M918" s="2">
        <v>3768.8</v>
      </c>
      <c r="N918" s="2">
        <v>829.14</v>
      </c>
      <c r="O918" s="2">
        <v>2939.66</v>
      </c>
      <c r="P918" s="1">
        <v>278</v>
      </c>
      <c r="Q918" s="2">
        <v>263.82</v>
      </c>
      <c r="R918" s="2">
        <v>301.45999999999998</v>
      </c>
      <c r="S918" s="1" t="s">
        <v>1011</v>
      </c>
      <c r="T918" s="1" t="s">
        <v>1004</v>
      </c>
      <c r="U918" s="1" t="s">
        <v>1007</v>
      </c>
    </row>
    <row r="919" spans="1:21" x14ac:dyDescent="0.3">
      <c r="A919" s="1" t="s">
        <v>1933</v>
      </c>
      <c r="B919" s="1" t="s">
        <v>63</v>
      </c>
      <c r="C919" s="1" t="s">
        <v>64</v>
      </c>
      <c r="D919" s="1" t="s">
        <v>28</v>
      </c>
      <c r="E919" s="1" t="s">
        <v>3056</v>
      </c>
      <c r="F919" s="1" t="s">
        <v>1020</v>
      </c>
      <c r="G919" s="1" t="s">
        <v>1002</v>
      </c>
      <c r="H919" s="1">
        <v>12</v>
      </c>
      <c r="I919" s="1">
        <v>5</v>
      </c>
      <c r="J919" s="1" t="s">
        <v>2781</v>
      </c>
      <c r="K919" s="2">
        <v>330.77</v>
      </c>
      <c r="L919" s="1">
        <v>9</v>
      </c>
      <c r="M919" s="2">
        <v>3969.24</v>
      </c>
      <c r="N919" s="2">
        <v>357.23</v>
      </c>
      <c r="O919" s="2">
        <v>3612.01</v>
      </c>
      <c r="P919" s="1">
        <v>294</v>
      </c>
      <c r="Q919" s="2">
        <v>231.54</v>
      </c>
      <c r="R919" s="2">
        <v>833.53</v>
      </c>
      <c r="S919" s="1" t="s">
        <v>1016</v>
      </c>
      <c r="T919" s="1" t="s">
        <v>1007</v>
      </c>
      <c r="U919" s="1" t="s">
        <v>1004</v>
      </c>
    </row>
    <row r="920" spans="1:21" x14ac:dyDescent="0.3">
      <c r="A920" s="1" t="s">
        <v>1934</v>
      </c>
      <c r="B920" s="1" t="s">
        <v>111</v>
      </c>
      <c r="C920" s="1" t="s">
        <v>112</v>
      </c>
      <c r="D920" s="1" t="s">
        <v>97</v>
      </c>
      <c r="E920" s="1" t="s">
        <v>3057</v>
      </c>
      <c r="F920" s="1" t="s">
        <v>1009</v>
      </c>
      <c r="G920" s="1" t="s">
        <v>1002</v>
      </c>
      <c r="H920" s="1">
        <v>13</v>
      </c>
      <c r="I920" s="1">
        <v>2</v>
      </c>
      <c r="J920" s="1" t="s">
        <v>2688</v>
      </c>
      <c r="K920" s="2">
        <v>79.290000000000006</v>
      </c>
      <c r="L920" s="1">
        <v>3</v>
      </c>
      <c r="M920" s="2">
        <v>1030.77</v>
      </c>
      <c r="N920" s="2">
        <v>30.92</v>
      </c>
      <c r="O920" s="2">
        <v>999.85</v>
      </c>
      <c r="P920" s="1">
        <v>237</v>
      </c>
      <c r="Q920" s="2">
        <v>55.5</v>
      </c>
      <c r="R920" s="2">
        <v>278.35000000000002</v>
      </c>
      <c r="S920" s="1" t="s">
        <v>1003</v>
      </c>
      <c r="T920" s="1" t="s">
        <v>1007</v>
      </c>
      <c r="U920" s="1" t="s">
        <v>1004</v>
      </c>
    </row>
    <row r="921" spans="1:21" x14ac:dyDescent="0.3">
      <c r="A921" s="1" t="s">
        <v>1935</v>
      </c>
      <c r="B921" s="1" t="s">
        <v>95</v>
      </c>
      <c r="C921" s="1" t="s">
        <v>96</v>
      </c>
      <c r="D921" s="1" t="s">
        <v>97</v>
      </c>
      <c r="E921" s="1" t="s">
        <v>3058</v>
      </c>
      <c r="F921" s="1" t="s">
        <v>1020</v>
      </c>
      <c r="G921" s="1" t="s">
        <v>1023</v>
      </c>
      <c r="H921" s="1">
        <v>14</v>
      </c>
      <c r="I921" s="1">
        <v>3</v>
      </c>
      <c r="J921" s="1" t="s">
        <v>2707</v>
      </c>
      <c r="K921" s="2">
        <v>441.34</v>
      </c>
      <c r="L921" s="1">
        <v>14</v>
      </c>
      <c r="M921" s="2">
        <v>6178.76</v>
      </c>
      <c r="N921" s="2">
        <v>865.03</v>
      </c>
      <c r="O921" s="2">
        <v>5313.73</v>
      </c>
      <c r="P921" s="1">
        <v>58</v>
      </c>
      <c r="Q921" s="2">
        <v>308.94</v>
      </c>
      <c r="R921" s="2">
        <v>988.57</v>
      </c>
      <c r="S921" s="1" t="s">
        <v>1011</v>
      </c>
      <c r="T921" s="1" t="s">
        <v>1007</v>
      </c>
      <c r="U921" s="1" t="s">
        <v>1007</v>
      </c>
    </row>
    <row r="922" spans="1:21" x14ac:dyDescent="0.3">
      <c r="A922" s="1" t="s">
        <v>1936</v>
      </c>
      <c r="B922" s="1" t="s">
        <v>176</v>
      </c>
      <c r="C922" s="1" t="s">
        <v>177</v>
      </c>
      <c r="D922" s="1" t="s">
        <v>39</v>
      </c>
      <c r="E922" s="1" t="s">
        <v>3059</v>
      </c>
      <c r="F922" s="1" t="s">
        <v>1020</v>
      </c>
      <c r="G922" s="1" t="s">
        <v>1023</v>
      </c>
      <c r="H922" s="1">
        <v>12</v>
      </c>
      <c r="I922" s="1">
        <v>4</v>
      </c>
      <c r="J922" s="1" t="s">
        <v>2701</v>
      </c>
      <c r="K922" s="2">
        <v>231.5</v>
      </c>
      <c r="L922" s="1">
        <v>3</v>
      </c>
      <c r="M922" s="2">
        <v>2778</v>
      </c>
      <c r="N922" s="2">
        <v>83.34</v>
      </c>
      <c r="O922" s="2">
        <v>2694.66</v>
      </c>
      <c r="P922" s="1">
        <v>230</v>
      </c>
      <c r="Q922" s="2">
        <v>162.05000000000001</v>
      </c>
      <c r="R922" s="2">
        <v>750.06</v>
      </c>
      <c r="S922" s="1" t="s">
        <v>1016</v>
      </c>
      <c r="T922" s="1" t="s">
        <v>1004</v>
      </c>
      <c r="U922" s="1" t="s">
        <v>1007</v>
      </c>
    </row>
    <row r="923" spans="1:21" x14ac:dyDescent="0.3">
      <c r="A923" s="1" t="s">
        <v>1937</v>
      </c>
      <c r="B923" s="1" t="s">
        <v>123</v>
      </c>
      <c r="C923" s="1" t="s">
        <v>124</v>
      </c>
      <c r="D923" s="1" t="s">
        <v>47</v>
      </c>
      <c r="E923" s="1" t="s">
        <v>3060</v>
      </c>
      <c r="F923" s="1" t="s">
        <v>1020</v>
      </c>
      <c r="G923" s="1" t="s">
        <v>1010</v>
      </c>
      <c r="H923" s="1">
        <v>8</v>
      </c>
      <c r="I923" s="1">
        <v>3</v>
      </c>
      <c r="J923" s="1" t="s">
        <v>2715</v>
      </c>
      <c r="K923" s="2">
        <v>167.57</v>
      </c>
      <c r="L923" s="1">
        <v>18</v>
      </c>
      <c r="M923" s="2">
        <v>1340.56</v>
      </c>
      <c r="N923" s="2">
        <v>241.3</v>
      </c>
      <c r="O923" s="2">
        <v>1099.26</v>
      </c>
      <c r="P923" s="1">
        <v>122</v>
      </c>
      <c r="Q923" s="2">
        <v>117.3</v>
      </c>
      <c r="R923" s="2">
        <v>160.86000000000001</v>
      </c>
      <c r="S923" s="1" t="s">
        <v>1003</v>
      </c>
      <c r="T923" s="1" t="s">
        <v>1007</v>
      </c>
      <c r="U923" s="1" t="s">
        <v>1007</v>
      </c>
    </row>
    <row r="924" spans="1:21" x14ac:dyDescent="0.3">
      <c r="A924" s="1" t="s">
        <v>1938</v>
      </c>
      <c r="B924" s="1" t="s">
        <v>37</v>
      </c>
      <c r="C924" s="1" t="s">
        <v>38</v>
      </c>
      <c r="D924" s="1" t="s">
        <v>39</v>
      </c>
      <c r="E924" s="1" t="s">
        <v>3061</v>
      </c>
      <c r="F924" s="1" t="s">
        <v>1001</v>
      </c>
      <c r="G924" s="1" t="s">
        <v>1010</v>
      </c>
      <c r="H924" s="1">
        <v>12</v>
      </c>
      <c r="I924" s="1">
        <v>4</v>
      </c>
      <c r="J924" s="1" t="s">
        <v>2516</v>
      </c>
      <c r="K924" s="2">
        <v>361.55</v>
      </c>
      <c r="L924" s="1">
        <v>15</v>
      </c>
      <c r="M924" s="2">
        <v>4338.6000000000004</v>
      </c>
      <c r="N924" s="2">
        <v>650.79</v>
      </c>
      <c r="O924" s="2">
        <v>3687.81</v>
      </c>
      <c r="P924" s="1">
        <v>78</v>
      </c>
      <c r="Q924" s="2">
        <v>253.08</v>
      </c>
      <c r="R924" s="2">
        <v>650.85</v>
      </c>
      <c r="S924" s="1" t="s">
        <v>1011</v>
      </c>
      <c r="T924" s="1" t="s">
        <v>1007</v>
      </c>
      <c r="U924" s="1" t="s">
        <v>1004</v>
      </c>
    </row>
    <row r="925" spans="1:21" x14ac:dyDescent="0.3">
      <c r="A925" s="1" t="s">
        <v>1939</v>
      </c>
      <c r="B925" s="1" t="s">
        <v>189</v>
      </c>
      <c r="C925" s="1" t="s">
        <v>190</v>
      </c>
      <c r="D925" s="1" t="s">
        <v>59</v>
      </c>
      <c r="E925" s="1" t="s">
        <v>3062</v>
      </c>
      <c r="F925" s="1" t="s">
        <v>1001</v>
      </c>
      <c r="G925" s="1" t="s">
        <v>1010</v>
      </c>
      <c r="H925" s="1">
        <v>1</v>
      </c>
      <c r="I925" s="1">
        <v>1</v>
      </c>
      <c r="J925" s="1" t="s">
        <v>2772</v>
      </c>
      <c r="K925" s="2">
        <v>177.18</v>
      </c>
      <c r="L925" s="1">
        <v>4</v>
      </c>
      <c r="M925" s="2">
        <v>177.18</v>
      </c>
      <c r="N925" s="2">
        <v>7.09</v>
      </c>
      <c r="O925" s="2">
        <v>170.09</v>
      </c>
      <c r="P925" s="1">
        <v>191</v>
      </c>
      <c r="Q925" s="2">
        <v>124.03</v>
      </c>
      <c r="R925" s="2">
        <v>46.06</v>
      </c>
      <c r="S925" s="1" t="s">
        <v>1011</v>
      </c>
      <c r="T925" s="1" t="s">
        <v>1007</v>
      </c>
      <c r="U925" s="1" t="s">
        <v>1007</v>
      </c>
    </row>
    <row r="926" spans="1:21" x14ac:dyDescent="0.3">
      <c r="A926" s="1" t="s">
        <v>1940</v>
      </c>
      <c r="B926" s="1" t="s">
        <v>69</v>
      </c>
      <c r="C926" s="1" t="s">
        <v>70</v>
      </c>
      <c r="D926" s="1" t="s">
        <v>59</v>
      </c>
      <c r="E926" s="1" t="s">
        <v>3063</v>
      </c>
      <c r="F926" s="1" t="s">
        <v>1006</v>
      </c>
      <c r="G926" s="1" t="s">
        <v>1023</v>
      </c>
      <c r="H926" s="1">
        <v>13</v>
      </c>
      <c r="I926" s="1">
        <v>3</v>
      </c>
      <c r="J926" s="1" t="s">
        <v>2753</v>
      </c>
      <c r="K926" s="2">
        <v>99.34</v>
      </c>
      <c r="L926" s="1">
        <v>21</v>
      </c>
      <c r="M926" s="2">
        <v>1291.42</v>
      </c>
      <c r="N926" s="2">
        <v>271.2</v>
      </c>
      <c r="O926" s="2">
        <v>1020.22</v>
      </c>
      <c r="P926" s="1">
        <v>290</v>
      </c>
      <c r="Q926" s="2">
        <v>69.540000000000006</v>
      </c>
      <c r="R926" s="2">
        <v>116.2</v>
      </c>
      <c r="S926" s="1" t="s">
        <v>1011</v>
      </c>
      <c r="T926" s="1" t="s">
        <v>1007</v>
      </c>
      <c r="U926" s="1" t="s">
        <v>1004</v>
      </c>
    </row>
    <row r="927" spans="1:21" x14ac:dyDescent="0.3">
      <c r="A927" s="1" t="s">
        <v>1941</v>
      </c>
      <c r="B927" s="1" t="s">
        <v>63</v>
      </c>
      <c r="C927" s="1" t="s">
        <v>64</v>
      </c>
      <c r="D927" s="1" t="s">
        <v>28</v>
      </c>
      <c r="E927" s="1" t="s">
        <v>3064</v>
      </c>
      <c r="F927" s="1" t="s">
        <v>1006</v>
      </c>
      <c r="G927" s="1" t="s">
        <v>1002</v>
      </c>
      <c r="H927" s="1">
        <v>6</v>
      </c>
      <c r="I927" s="1">
        <v>6</v>
      </c>
      <c r="J927" s="1" t="s">
        <v>2816</v>
      </c>
      <c r="K927" s="2">
        <v>369.8</v>
      </c>
      <c r="L927" s="1">
        <v>12</v>
      </c>
      <c r="M927" s="2">
        <v>2218.8000000000002</v>
      </c>
      <c r="N927" s="2">
        <v>266.26</v>
      </c>
      <c r="O927" s="2">
        <v>1952.54</v>
      </c>
      <c r="P927" s="1">
        <v>83</v>
      </c>
      <c r="Q927" s="2">
        <v>258.86</v>
      </c>
      <c r="R927" s="2">
        <v>399.38</v>
      </c>
      <c r="S927" s="1" t="s">
        <v>1003</v>
      </c>
      <c r="T927" s="1" t="s">
        <v>1007</v>
      </c>
      <c r="U927" s="1" t="s">
        <v>1007</v>
      </c>
    </row>
    <row r="928" spans="1:21" x14ac:dyDescent="0.3">
      <c r="A928" s="1" t="s">
        <v>1942</v>
      </c>
      <c r="B928" s="1" t="s">
        <v>189</v>
      </c>
      <c r="C928" s="1" t="s">
        <v>190</v>
      </c>
      <c r="D928" s="1" t="s">
        <v>59</v>
      </c>
      <c r="E928" s="1" t="s">
        <v>3065</v>
      </c>
      <c r="F928" s="1" t="s">
        <v>1027</v>
      </c>
      <c r="G928" s="1" t="s">
        <v>1023</v>
      </c>
      <c r="H928" s="1">
        <v>3</v>
      </c>
      <c r="I928" s="1">
        <v>6</v>
      </c>
      <c r="J928" s="1" t="s">
        <v>2523</v>
      </c>
      <c r="K928" s="2">
        <v>349.3</v>
      </c>
      <c r="L928" s="1">
        <v>15</v>
      </c>
      <c r="M928" s="2">
        <v>1047.9000000000001</v>
      </c>
      <c r="N928" s="2">
        <v>157.19</v>
      </c>
      <c r="O928" s="2">
        <v>890.71</v>
      </c>
      <c r="P928" s="1">
        <v>91</v>
      </c>
      <c r="Q928" s="2">
        <v>244.51</v>
      </c>
      <c r="R928" s="2">
        <v>157.18</v>
      </c>
      <c r="S928" s="1" t="s">
        <v>1016</v>
      </c>
      <c r="T928" s="1" t="s">
        <v>1004</v>
      </c>
      <c r="U928" s="1" t="s">
        <v>1004</v>
      </c>
    </row>
    <row r="929" spans="1:21" x14ac:dyDescent="0.3">
      <c r="A929" s="1" t="s">
        <v>1943</v>
      </c>
      <c r="B929" s="1" t="s">
        <v>72</v>
      </c>
      <c r="C929" s="1" t="s">
        <v>73</v>
      </c>
      <c r="D929" s="1" t="s">
        <v>47</v>
      </c>
      <c r="E929" s="1" t="s">
        <v>3066</v>
      </c>
      <c r="F929" s="1" t="s">
        <v>1020</v>
      </c>
      <c r="G929" s="1" t="s">
        <v>1010</v>
      </c>
      <c r="H929" s="1">
        <v>11</v>
      </c>
      <c r="I929" s="1">
        <v>1</v>
      </c>
      <c r="J929" s="1" t="s">
        <v>2622</v>
      </c>
      <c r="K929" s="2">
        <v>365.34</v>
      </c>
      <c r="L929" s="1">
        <v>18</v>
      </c>
      <c r="M929" s="2">
        <v>4018.74</v>
      </c>
      <c r="N929" s="2">
        <v>723.37</v>
      </c>
      <c r="O929" s="2">
        <v>3295.37</v>
      </c>
      <c r="P929" s="1">
        <v>183</v>
      </c>
      <c r="Q929" s="2">
        <v>255.74</v>
      </c>
      <c r="R929" s="2">
        <v>482.23</v>
      </c>
      <c r="S929" s="1" t="s">
        <v>1011</v>
      </c>
      <c r="T929" s="1" t="s">
        <v>1007</v>
      </c>
      <c r="U929" s="1" t="s">
        <v>1004</v>
      </c>
    </row>
    <row r="930" spans="1:21" x14ac:dyDescent="0.3">
      <c r="A930" s="1" t="s">
        <v>1944</v>
      </c>
      <c r="B930" s="1" t="s">
        <v>237</v>
      </c>
      <c r="C930" s="1" t="s">
        <v>238</v>
      </c>
      <c r="D930" s="1" t="s">
        <v>85</v>
      </c>
      <c r="E930" s="1" t="s">
        <v>3067</v>
      </c>
      <c r="F930" s="1" t="s">
        <v>1027</v>
      </c>
      <c r="G930" s="1" t="s">
        <v>1010</v>
      </c>
      <c r="H930" s="1">
        <v>1</v>
      </c>
      <c r="I930" s="1">
        <v>7</v>
      </c>
      <c r="J930" s="1" t="s">
        <v>2518</v>
      </c>
      <c r="K930" s="2">
        <v>314.76</v>
      </c>
      <c r="L930" s="1">
        <v>3</v>
      </c>
      <c r="M930" s="2">
        <v>314.76</v>
      </c>
      <c r="N930" s="2">
        <v>9.44</v>
      </c>
      <c r="O930" s="2">
        <v>305.32</v>
      </c>
      <c r="P930" s="1">
        <v>195</v>
      </c>
      <c r="Q930" s="2">
        <v>220.33</v>
      </c>
      <c r="R930" s="2">
        <v>84.99</v>
      </c>
      <c r="S930" s="1" t="s">
        <v>1016</v>
      </c>
      <c r="T930" s="1" t="s">
        <v>1004</v>
      </c>
      <c r="U930" s="1" t="s">
        <v>1004</v>
      </c>
    </row>
    <row r="931" spans="1:21" x14ac:dyDescent="0.3">
      <c r="A931" s="1" t="s">
        <v>1945</v>
      </c>
      <c r="B931" s="1" t="s">
        <v>192</v>
      </c>
      <c r="C931" s="1" t="s">
        <v>193</v>
      </c>
      <c r="D931" s="1" t="s">
        <v>85</v>
      </c>
      <c r="E931" s="1" t="s">
        <v>3068</v>
      </c>
      <c r="F931" s="1" t="s">
        <v>1013</v>
      </c>
      <c r="G931" s="1" t="s">
        <v>1010</v>
      </c>
      <c r="H931" s="1">
        <v>14</v>
      </c>
      <c r="I931" s="1">
        <v>6</v>
      </c>
      <c r="J931" s="1" t="s">
        <v>2665</v>
      </c>
      <c r="K931" s="2">
        <v>370.42</v>
      </c>
      <c r="L931" s="1">
        <v>10</v>
      </c>
      <c r="M931" s="2">
        <v>5185.88</v>
      </c>
      <c r="N931" s="2">
        <v>518.59</v>
      </c>
      <c r="O931" s="2">
        <v>4667.29</v>
      </c>
      <c r="P931" s="1">
        <v>127</v>
      </c>
      <c r="Q931" s="2">
        <v>259.29000000000002</v>
      </c>
      <c r="R931" s="2">
        <v>1037.23</v>
      </c>
      <c r="S931" s="1" t="s">
        <v>1003</v>
      </c>
      <c r="T931" s="1" t="s">
        <v>1004</v>
      </c>
      <c r="U931" s="1" t="s">
        <v>1007</v>
      </c>
    </row>
    <row r="932" spans="1:21" x14ac:dyDescent="0.3">
      <c r="A932" s="1" t="s">
        <v>1946</v>
      </c>
      <c r="B932" s="1" t="s">
        <v>63</v>
      </c>
      <c r="C932" s="1" t="s">
        <v>64</v>
      </c>
      <c r="D932" s="1" t="s">
        <v>28</v>
      </c>
      <c r="E932" s="1" t="s">
        <v>3069</v>
      </c>
      <c r="F932" s="1" t="s">
        <v>1020</v>
      </c>
      <c r="G932" s="1" t="s">
        <v>1010</v>
      </c>
      <c r="H932" s="1">
        <v>5</v>
      </c>
      <c r="I932" s="1">
        <v>1</v>
      </c>
      <c r="J932" s="1" t="s">
        <v>2688</v>
      </c>
      <c r="K932" s="2">
        <v>306.06</v>
      </c>
      <c r="L932" s="1">
        <v>8</v>
      </c>
      <c r="M932" s="2">
        <v>1530.3</v>
      </c>
      <c r="N932" s="2">
        <v>122.42</v>
      </c>
      <c r="O932" s="2">
        <v>1407.88</v>
      </c>
      <c r="P932" s="1">
        <v>75</v>
      </c>
      <c r="Q932" s="2">
        <v>214.24</v>
      </c>
      <c r="R932" s="2">
        <v>336.68</v>
      </c>
      <c r="S932" s="1" t="s">
        <v>1011</v>
      </c>
      <c r="T932" s="1" t="s">
        <v>1007</v>
      </c>
      <c r="U932" s="1" t="s">
        <v>1007</v>
      </c>
    </row>
    <row r="933" spans="1:21" x14ac:dyDescent="0.3">
      <c r="A933" s="1" t="s">
        <v>1947</v>
      </c>
      <c r="B933" s="1" t="s">
        <v>166</v>
      </c>
      <c r="C933" s="1" t="s">
        <v>167</v>
      </c>
      <c r="D933" s="1" t="s">
        <v>59</v>
      </c>
      <c r="E933" s="1" t="s">
        <v>3070</v>
      </c>
      <c r="F933" s="1" t="s">
        <v>1020</v>
      </c>
      <c r="G933" s="1" t="s">
        <v>1002</v>
      </c>
      <c r="H933" s="1">
        <v>3</v>
      </c>
      <c r="I933" s="1">
        <v>4</v>
      </c>
      <c r="J933" s="1" t="s">
        <v>2773</v>
      </c>
      <c r="K933" s="2">
        <v>221.16</v>
      </c>
      <c r="L933" s="1">
        <v>21</v>
      </c>
      <c r="M933" s="2">
        <v>663.48</v>
      </c>
      <c r="N933" s="2">
        <v>139.33000000000001</v>
      </c>
      <c r="O933" s="2">
        <v>524.15</v>
      </c>
      <c r="P933" s="1">
        <v>182</v>
      </c>
      <c r="Q933" s="2">
        <v>154.81</v>
      </c>
      <c r="R933" s="2">
        <v>59.72</v>
      </c>
      <c r="S933" s="1" t="s">
        <v>1011</v>
      </c>
      <c r="T933" s="1" t="s">
        <v>1007</v>
      </c>
      <c r="U933" s="1" t="s">
        <v>1007</v>
      </c>
    </row>
    <row r="934" spans="1:21" x14ac:dyDescent="0.3">
      <c r="A934" s="1" t="s">
        <v>1948</v>
      </c>
      <c r="B934" s="1" t="s">
        <v>83</v>
      </c>
      <c r="C934" s="1" t="s">
        <v>84</v>
      </c>
      <c r="D934" s="1" t="s">
        <v>85</v>
      </c>
      <c r="E934" s="1" t="s">
        <v>3071</v>
      </c>
      <c r="F934" s="1" t="s">
        <v>1001</v>
      </c>
      <c r="G934" s="1" t="s">
        <v>1023</v>
      </c>
      <c r="H934" s="1">
        <v>8</v>
      </c>
      <c r="I934" s="1">
        <v>2</v>
      </c>
      <c r="J934" s="1" t="s">
        <v>3072</v>
      </c>
      <c r="K934" s="2">
        <v>319.04000000000002</v>
      </c>
      <c r="L934" s="1">
        <v>23</v>
      </c>
      <c r="M934" s="2">
        <v>2552.3200000000002</v>
      </c>
      <c r="N934" s="2">
        <v>587.03</v>
      </c>
      <c r="O934" s="2">
        <v>1965.29</v>
      </c>
      <c r="P934" s="1">
        <v>149</v>
      </c>
      <c r="Q934" s="2">
        <v>223.33</v>
      </c>
      <c r="R934" s="2">
        <v>178.65</v>
      </c>
      <c r="S934" s="1" t="s">
        <v>1003</v>
      </c>
      <c r="T934" s="1" t="s">
        <v>1004</v>
      </c>
      <c r="U934" s="1" t="s">
        <v>1004</v>
      </c>
    </row>
    <row r="935" spans="1:21" x14ac:dyDescent="0.3">
      <c r="A935" s="1" t="s">
        <v>1949</v>
      </c>
      <c r="B935" s="1" t="s">
        <v>176</v>
      </c>
      <c r="C935" s="1" t="s">
        <v>177</v>
      </c>
      <c r="D935" s="1" t="s">
        <v>39</v>
      </c>
      <c r="E935" s="1" t="s">
        <v>3073</v>
      </c>
      <c r="F935" s="1" t="s">
        <v>1013</v>
      </c>
      <c r="G935" s="1" t="s">
        <v>1002</v>
      </c>
      <c r="H935" s="1">
        <v>11</v>
      </c>
      <c r="I935" s="1">
        <v>5</v>
      </c>
      <c r="J935" s="1" t="s">
        <v>2810</v>
      </c>
      <c r="K935" s="2">
        <v>414.14</v>
      </c>
      <c r="L935" s="1">
        <v>14</v>
      </c>
      <c r="M935" s="2">
        <v>4555.54</v>
      </c>
      <c r="N935" s="2">
        <v>637.78</v>
      </c>
      <c r="O935" s="2">
        <v>3917.76</v>
      </c>
      <c r="P935" s="1">
        <v>223</v>
      </c>
      <c r="Q935" s="2">
        <v>289.89999999999998</v>
      </c>
      <c r="R935" s="2">
        <v>728.86</v>
      </c>
      <c r="S935" s="1" t="s">
        <v>1003</v>
      </c>
      <c r="T935" s="1" t="s">
        <v>1007</v>
      </c>
      <c r="U935" s="1" t="s">
        <v>1007</v>
      </c>
    </row>
    <row r="936" spans="1:21" x14ac:dyDescent="0.3">
      <c r="A936" s="1" t="s">
        <v>1950</v>
      </c>
      <c r="B936" s="1" t="s">
        <v>63</v>
      </c>
      <c r="C936" s="1" t="s">
        <v>64</v>
      </c>
      <c r="D936" s="1" t="s">
        <v>28</v>
      </c>
      <c r="E936" s="1" t="s">
        <v>3074</v>
      </c>
      <c r="F936" s="1" t="s">
        <v>1009</v>
      </c>
      <c r="G936" s="1" t="s">
        <v>1002</v>
      </c>
      <c r="H936" s="1">
        <v>13</v>
      </c>
      <c r="I936" s="1">
        <v>6</v>
      </c>
      <c r="J936" s="1" t="s">
        <v>2738</v>
      </c>
      <c r="K936" s="2">
        <v>415.84</v>
      </c>
      <c r="L936" s="1">
        <v>14</v>
      </c>
      <c r="M936" s="2">
        <v>5405.92</v>
      </c>
      <c r="N936" s="2">
        <v>756.83</v>
      </c>
      <c r="O936" s="2">
        <v>4649.09</v>
      </c>
      <c r="P936" s="1">
        <v>98</v>
      </c>
      <c r="Q936" s="2">
        <v>291.08999999999997</v>
      </c>
      <c r="R936" s="2">
        <v>864.92</v>
      </c>
      <c r="S936" s="1" t="s">
        <v>1016</v>
      </c>
      <c r="T936" s="1" t="s">
        <v>1004</v>
      </c>
      <c r="U936" s="1" t="s">
        <v>1007</v>
      </c>
    </row>
    <row r="937" spans="1:21" x14ac:dyDescent="0.3">
      <c r="A937" s="1" t="s">
        <v>1951</v>
      </c>
      <c r="B937" s="1" t="s">
        <v>176</v>
      </c>
      <c r="C937" s="1" t="s">
        <v>177</v>
      </c>
      <c r="D937" s="1" t="s">
        <v>39</v>
      </c>
      <c r="E937" s="1" t="s">
        <v>3075</v>
      </c>
      <c r="F937" s="1" t="s">
        <v>1015</v>
      </c>
      <c r="G937" s="1" t="s">
        <v>1002</v>
      </c>
      <c r="H937" s="1">
        <v>4</v>
      </c>
      <c r="I937" s="1">
        <v>7</v>
      </c>
      <c r="J937" s="1" t="s">
        <v>2887</v>
      </c>
      <c r="K937" s="2">
        <v>99.91</v>
      </c>
      <c r="L937" s="1">
        <v>1</v>
      </c>
      <c r="M937" s="2">
        <v>399.64</v>
      </c>
      <c r="N937" s="2">
        <v>4</v>
      </c>
      <c r="O937" s="2">
        <v>395.64</v>
      </c>
      <c r="P937" s="1">
        <v>69</v>
      </c>
      <c r="Q937" s="2">
        <v>69.94</v>
      </c>
      <c r="R937" s="2">
        <v>115.88</v>
      </c>
      <c r="S937" s="1" t="s">
        <v>1003</v>
      </c>
      <c r="T937" s="1" t="s">
        <v>1004</v>
      </c>
      <c r="U937" s="1" t="s">
        <v>1004</v>
      </c>
    </row>
    <row r="938" spans="1:21" x14ac:dyDescent="0.3">
      <c r="A938" s="1" t="s">
        <v>1952</v>
      </c>
      <c r="B938" s="1" t="s">
        <v>189</v>
      </c>
      <c r="C938" s="1" t="s">
        <v>190</v>
      </c>
      <c r="D938" s="1" t="s">
        <v>59</v>
      </c>
      <c r="E938" s="1" t="s">
        <v>3076</v>
      </c>
      <c r="F938" s="1" t="s">
        <v>1020</v>
      </c>
      <c r="G938" s="1" t="s">
        <v>1010</v>
      </c>
      <c r="H938" s="1">
        <v>8</v>
      </c>
      <c r="I938" s="1">
        <v>4</v>
      </c>
      <c r="J938" s="1" t="s">
        <v>2737</v>
      </c>
      <c r="K938" s="2">
        <v>348.34</v>
      </c>
      <c r="L938" s="1">
        <v>8</v>
      </c>
      <c r="M938" s="2">
        <v>2786.72</v>
      </c>
      <c r="N938" s="2">
        <v>222.94</v>
      </c>
      <c r="O938" s="2">
        <v>2563.7800000000002</v>
      </c>
      <c r="P938" s="1">
        <v>226</v>
      </c>
      <c r="Q938" s="2">
        <v>243.84</v>
      </c>
      <c r="R938" s="2">
        <v>613.05999999999995</v>
      </c>
      <c r="S938" s="1" t="s">
        <v>1011</v>
      </c>
      <c r="T938" s="1" t="s">
        <v>1007</v>
      </c>
      <c r="U938" s="1" t="s">
        <v>1007</v>
      </c>
    </row>
    <row r="939" spans="1:21" x14ac:dyDescent="0.3">
      <c r="A939" s="1" t="s">
        <v>1953</v>
      </c>
      <c r="B939" s="1" t="s">
        <v>77</v>
      </c>
      <c r="C939" s="1" t="s">
        <v>78</v>
      </c>
      <c r="D939" s="1" t="s">
        <v>47</v>
      </c>
      <c r="E939" s="1" t="s">
        <v>3077</v>
      </c>
      <c r="F939" s="1" t="s">
        <v>1009</v>
      </c>
      <c r="G939" s="1" t="s">
        <v>1023</v>
      </c>
      <c r="H939" s="1">
        <v>6</v>
      </c>
      <c r="I939" s="1">
        <v>7</v>
      </c>
      <c r="J939" s="1" t="s">
        <v>2746</v>
      </c>
      <c r="K939" s="2">
        <v>286.79000000000002</v>
      </c>
      <c r="L939" s="1">
        <v>25</v>
      </c>
      <c r="M939" s="2">
        <v>1720.74</v>
      </c>
      <c r="N939" s="2">
        <v>430.19</v>
      </c>
      <c r="O939" s="2">
        <v>1290.55</v>
      </c>
      <c r="P939" s="1">
        <v>127</v>
      </c>
      <c r="Q939" s="2">
        <v>200.75</v>
      </c>
      <c r="R939" s="2">
        <v>86.05</v>
      </c>
      <c r="S939" s="1" t="s">
        <v>1016</v>
      </c>
      <c r="T939" s="1" t="s">
        <v>1004</v>
      </c>
      <c r="U939" s="1" t="s">
        <v>1007</v>
      </c>
    </row>
    <row r="940" spans="1:21" x14ac:dyDescent="0.3">
      <c r="A940" s="1" t="s">
        <v>1954</v>
      </c>
      <c r="B940" s="1" t="s">
        <v>107</v>
      </c>
      <c r="C940" s="1" t="s">
        <v>108</v>
      </c>
      <c r="D940" s="1" t="s">
        <v>39</v>
      </c>
      <c r="E940" s="1" t="s">
        <v>3078</v>
      </c>
      <c r="F940" s="1" t="s">
        <v>1015</v>
      </c>
      <c r="G940" s="1" t="s">
        <v>1023</v>
      </c>
      <c r="H940" s="1">
        <v>10</v>
      </c>
      <c r="I940" s="1">
        <v>3</v>
      </c>
      <c r="J940" s="1" t="s">
        <v>2579</v>
      </c>
      <c r="K940" s="2">
        <v>95.71</v>
      </c>
      <c r="L940" s="1">
        <v>10</v>
      </c>
      <c r="M940" s="2">
        <v>957.1</v>
      </c>
      <c r="N940" s="2">
        <v>95.71</v>
      </c>
      <c r="O940" s="2">
        <v>861.39</v>
      </c>
      <c r="P940" s="1">
        <v>166</v>
      </c>
      <c r="Q940" s="2">
        <v>67</v>
      </c>
      <c r="R940" s="2">
        <v>191.39</v>
      </c>
      <c r="S940" s="1" t="s">
        <v>1011</v>
      </c>
      <c r="T940" s="1" t="s">
        <v>1007</v>
      </c>
      <c r="U940" s="1" t="s">
        <v>1007</v>
      </c>
    </row>
    <row r="941" spans="1:21" x14ac:dyDescent="0.3">
      <c r="A941" s="1" t="s">
        <v>1955</v>
      </c>
      <c r="B941" s="1" t="s">
        <v>52</v>
      </c>
      <c r="C941" s="1" t="s">
        <v>53</v>
      </c>
      <c r="D941" s="1" t="s">
        <v>47</v>
      </c>
      <c r="E941" s="1" t="s">
        <v>3079</v>
      </c>
      <c r="F941" s="1" t="s">
        <v>1006</v>
      </c>
      <c r="G941" s="1" t="s">
        <v>1002</v>
      </c>
      <c r="H941" s="1">
        <v>5</v>
      </c>
      <c r="I941" s="1">
        <v>5</v>
      </c>
      <c r="J941" s="1" t="s">
        <v>2925</v>
      </c>
      <c r="K941" s="2">
        <v>295.95</v>
      </c>
      <c r="L941" s="1">
        <v>4</v>
      </c>
      <c r="M941" s="2">
        <v>1479.75</v>
      </c>
      <c r="N941" s="2">
        <v>59.19</v>
      </c>
      <c r="O941" s="2">
        <v>1420.56</v>
      </c>
      <c r="P941" s="1">
        <v>273</v>
      </c>
      <c r="Q941" s="2">
        <v>207.16</v>
      </c>
      <c r="R941" s="2">
        <v>384.76</v>
      </c>
      <c r="S941" s="1" t="s">
        <v>1016</v>
      </c>
      <c r="T941" s="1" t="s">
        <v>1007</v>
      </c>
      <c r="U941" s="1" t="s">
        <v>1007</v>
      </c>
    </row>
    <row r="942" spans="1:21" x14ac:dyDescent="0.3">
      <c r="A942" s="1" t="s">
        <v>1956</v>
      </c>
      <c r="B942" s="1" t="s">
        <v>123</v>
      </c>
      <c r="C942" s="1" t="s">
        <v>124</v>
      </c>
      <c r="D942" s="1" t="s">
        <v>47</v>
      </c>
      <c r="E942" s="1" t="s">
        <v>3080</v>
      </c>
      <c r="F942" s="1" t="s">
        <v>1006</v>
      </c>
      <c r="G942" s="1" t="s">
        <v>1002</v>
      </c>
      <c r="H942" s="1">
        <v>5</v>
      </c>
      <c r="I942" s="1">
        <v>5</v>
      </c>
      <c r="J942" s="1" t="s">
        <v>2578</v>
      </c>
      <c r="K942" s="2">
        <v>128.43</v>
      </c>
      <c r="L942" s="1">
        <v>4</v>
      </c>
      <c r="M942" s="2">
        <v>642.15</v>
      </c>
      <c r="N942" s="2">
        <v>25.69</v>
      </c>
      <c r="O942" s="2">
        <v>616.46</v>
      </c>
      <c r="P942" s="1">
        <v>203</v>
      </c>
      <c r="Q942" s="2">
        <v>89.9</v>
      </c>
      <c r="R942" s="2">
        <v>166.96</v>
      </c>
      <c r="S942" s="1" t="s">
        <v>1016</v>
      </c>
      <c r="T942" s="1" t="s">
        <v>1004</v>
      </c>
      <c r="U942" s="1" t="s">
        <v>1004</v>
      </c>
    </row>
    <row r="943" spans="1:21" x14ac:dyDescent="0.3">
      <c r="A943" s="1" t="s">
        <v>1957</v>
      </c>
      <c r="B943" s="1" t="s">
        <v>102</v>
      </c>
      <c r="C943" s="1" t="s">
        <v>103</v>
      </c>
      <c r="D943" s="1" t="s">
        <v>104</v>
      </c>
      <c r="E943" s="1" t="s">
        <v>3081</v>
      </c>
      <c r="F943" s="1" t="s">
        <v>1027</v>
      </c>
      <c r="G943" s="1" t="s">
        <v>1010</v>
      </c>
      <c r="H943" s="1">
        <v>3</v>
      </c>
      <c r="I943" s="1">
        <v>1</v>
      </c>
      <c r="J943" s="1" t="s">
        <v>2593</v>
      </c>
      <c r="K943" s="2">
        <v>287.8</v>
      </c>
      <c r="L943" s="1">
        <v>15</v>
      </c>
      <c r="M943" s="2">
        <v>863.4</v>
      </c>
      <c r="N943" s="2">
        <v>129.51</v>
      </c>
      <c r="O943" s="2">
        <v>733.89</v>
      </c>
      <c r="P943" s="1">
        <v>135</v>
      </c>
      <c r="Q943" s="2">
        <v>201.46</v>
      </c>
      <c r="R943" s="2">
        <v>129.51</v>
      </c>
      <c r="S943" s="1" t="s">
        <v>1011</v>
      </c>
      <c r="T943" s="1" t="s">
        <v>1007</v>
      </c>
      <c r="U943" s="1" t="s">
        <v>1007</v>
      </c>
    </row>
    <row r="944" spans="1:21" x14ac:dyDescent="0.3">
      <c r="A944" s="1" t="s">
        <v>1958</v>
      </c>
      <c r="B944" s="1" t="s">
        <v>63</v>
      </c>
      <c r="C944" s="1" t="s">
        <v>64</v>
      </c>
      <c r="D944" s="1" t="s">
        <v>28</v>
      </c>
      <c r="E944" s="1" t="s">
        <v>3082</v>
      </c>
      <c r="F944" s="1" t="s">
        <v>1015</v>
      </c>
      <c r="G944" s="1" t="s">
        <v>1023</v>
      </c>
      <c r="H944" s="1">
        <v>14</v>
      </c>
      <c r="I944" s="1">
        <v>3</v>
      </c>
      <c r="J944" s="1" t="s">
        <v>2746</v>
      </c>
      <c r="K944" s="2">
        <v>97.99</v>
      </c>
      <c r="L944" s="1">
        <v>23</v>
      </c>
      <c r="M944" s="2">
        <v>1371.86</v>
      </c>
      <c r="N944" s="2">
        <v>315.52999999999997</v>
      </c>
      <c r="O944" s="2">
        <v>1056.33</v>
      </c>
      <c r="P944" s="1">
        <v>98</v>
      </c>
      <c r="Q944" s="2">
        <v>68.59</v>
      </c>
      <c r="R944" s="2">
        <v>96.07</v>
      </c>
      <c r="S944" s="1" t="s">
        <v>1016</v>
      </c>
      <c r="T944" s="1" t="s">
        <v>1007</v>
      </c>
      <c r="U944" s="1" t="s">
        <v>1007</v>
      </c>
    </row>
    <row r="945" spans="1:21" x14ac:dyDescent="0.3">
      <c r="A945" s="1" t="s">
        <v>1959</v>
      </c>
      <c r="B945" s="1" t="s">
        <v>237</v>
      </c>
      <c r="C945" s="1" t="s">
        <v>238</v>
      </c>
      <c r="D945" s="1" t="s">
        <v>85</v>
      </c>
      <c r="E945" s="1" t="s">
        <v>3083</v>
      </c>
      <c r="F945" s="1" t="s">
        <v>1020</v>
      </c>
      <c r="G945" s="1" t="s">
        <v>1002</v>
      </c>
      <c r="H945" s="1">
        <v>3</v>
      </c>
      <c r="I945" s="1">
        <v>7</v>
      </c>
      <c r="J945" s="1" t="s">
        <v>2599</v>
      </c>
      <c r="K945" s="2">
        <v>124.22</v>
      </c>
      <c r="L945" s="1">
        <v>6</v>
      </c>
      <c r="M945" s="2">
        <v>372.66</v>
      </c>
      <c r="N945" s="2">
        <v>22.36</v>
      </c>
      <c r="O945" s="2">
        <v>350.3</v>
      </c>
      <c r="P945" s="1">
        <v>173</v>
      </c>
      <c r="Q945" s="2">
        <v>86.95</v>
      </c>
      <c r="R945" s="2">
        <v>89.45</v>
      </c>
      <c r="S945" s="1" t="s">
        <v>1016</v>
      </c>
      <c r="T945" s="1" t="s">
        <v>1007</v>
      </c>
      <c r="U945" s="1" t="s">
        <v>1007</v>
      </c>
    </row>
    <row r="946" spans="1:21" x14ac:dyDescent="0.3">
      <c r="A946" s="1" t="s">
        <v>1960</v>
      </c>
      <c r="B946" s="1" t="s">
        <v>95</v>
      </c>
      <c r="C946" s="1" t="s">
        <v>96</v>
      </c>
      <c r="D946" s="1" t="s">
        <v>97</v>
      </c>
      <c r="E946" s="1" t="s">
        <v>3084</v>
      </c>
      <c r="F946" s="1" t="s">
        <v>1013</v>
      </c>
      <c r="G946" s="1" t="s">
        <v>1002</v>
      </c>
      <c r="H946" s="1">
        <v>9</v>
      </c>
      <c r="I946" s="1">
        <v>7</v>
      </c>
      <c r="J946" s="1" t="s">
        <v>2674</v>
      </c>
      <c r="K946" s="2">
        <v>159.61000000000001</v>
      </c>
      <c r="L946" s="1">
        <v>16</v>
      </c>
      <c r="M946" s="2">
        <v>1436.49</v>
      </c>
      <c r="N946" s="2">
        <v>229.84</v>
      </c>
      <c r="O946" s="2">
        <v>1206.6500000000001</v>
      </c>
      <c r="P946" s="1">
        <v>206</v>
      </c>
      <c r="Q946" s="2">
        <v>111.73</v>
      </c>
      <c r="R946" s="2">
        <v>201.08</v>
      </c>
      <c r="S946" s="1" t="s">
        <v>1003</v>
      </c>
      <c r="T946" s="1" t="s">
        <v>1007</v>
      </c>
      <c r="U946" s="1" t="s">
        <v>1004</v>
      </c>
    </row>
    <row r="947" spans="1:21" x14ac:dyDescent="0.3">
      <c r="A947" s="1" t="s">
        <v>1961</v>
      </c>
      <c r="B947" s="1" t="s">
        <v>26</v>
      </c>
      <c r="C947" s="1" t="s">
        <v>27</v>
      </c>
      <c r="D947" s="1" t="s">
        <v>28</v>
      </c>
      <c r="E947" s="1" t="s">
        <v>3085</v>
      </c>
      <c r="F947" s="1" t="s">
        <v>1013</v>
      </c>
      <c r="G947" s="1" t="s">
        <v>1023</v>
      </c>
      <c r="H947" s="1">
        <v>5</v>
      </c>
      <c r="I947" s="1">
        <v>3</v>
      </c>
      <c r="J947" s="1" t="s">
        <v>2715</v>
      </c>
      <c r="K947" s="2">
        <v>52.01</v>
      </c>
      <c r="L947" s="1">
        <v>21</v>
      </c>
      <c r="M947" s="2">
        <v>260.05</v>
      </c>
      <c r="N947" s="2">
        <v>54.61</v>
      </c>
      <c r="O947" s="2">
        <v>205.44</v>
      </c>
      <c r="P947" s="1">
        <v>115</v>
      </c>
      <c r="Q947" s="2">
        <v>36.409999999999997</v>
      </c>
      <c r="R947" s="2">
        <v>23.39</v>
      </c>
      <c r="S947" s="1" t="s">
        <v>1003</v>
      </c>
      <c r="T947" s="1" t="s">
        <v>1007</v>
      </c>
      <c r="U947" s="1" t="s">
        <v>1007</v>
      </c>
    </row>
    <row r="948" spans="1:21" x14ac:dyDescent="0.3">
      <c r="A948" s="1" t="s">
        <v>1962</v>
      </c>
      <c r="B948" s="1" t="s">
        <v>118</v>
      </c>
      <c r="C948" s="1" t="s">
        <v>119</v>
      </c>
      <c r="D948" s="1" t="s">
        <v>97</v>
      </c>
      <c r="E948" s="1" t="s">
        <v>3086</v>
      </c>
      <c r="F948" s="1" t="s">
        <v>1006</v>
      </c>
      <c r="G948" s="1" t="s">
        <v>1010</v>
      </c>
      <c r="H948" s="1">
        <v>5</v>
      </c>
      <c r="I948" s="1">
        <v>2</v>
      </c>
      <c r="J948" s="1" t="s">
        <v>2555</v>
      </c>
      <c r="K948" s="2">
        <v>325.54000000000002</v>
      </c>
      <c r="L948" s="1">
        <v>24</v>
      </c>
      <c r="M948" s="2">
        <v>1627.7</v>
      </c>
      <c r="N948" s="2">
        <v>390.65</v>
      </c>
      <c r="O948" s="2">
        <v>1237.05</v>
      </c>
      <c r="P948" s="1">
        <v>147</v>
      </c>
      <c r="Q948" s="2">
        <v>227.88</v>
      </c>
      <c r="R948" s="2">
        <v>97.65</v>
      </c>
      <c r="S948" s="1" t="s">
        <v>1003</v>
      </c>
      <c r="T948" s="1" t="s">
        <v>1007</v>
      </c>
      <c r="U948" s="1" t="s">
        <v>1007</v>
      </c>
    </row>
    <row r="949" spans="1:21" x14ac:dyDescent="0.3">
      <c r="A949" s="1" t="s">
        <v>1963</v>
      </c>
      <c r="B949" s="1" t="s">
        <v>102</v>
      </c>
      <c r="C949" s="1" t="s">
        <v>103</v>
      </c>
      <c r="D949" s="1" t="s">
        <v>104</v>
      </c>
      <c r="E949" s="1" t="s">
        <v>3087</v>
      </c>
      <c r="F949" s="1" t="s">
        <v>1006</v>
      </c>
      <c r="G949" s="1" t="s">
        <v>1023</v>
      </c>
      <c r="H949" s="1">
        <v>9</v>
      </c>
      <c r="I949" s="1">
        <v>7</v>
      </c>
      <c r="J949" s="1" t="s">
        <v>2606</v>
      </c>
      <c r="K949" s="2">
        <v>474.2</v>
      </c>
      <c r="L949" s="1">
        <v>12</v>
      </c>
      <c r="M949" s="2">
        <v>4267.8</v>
      </c>
      <c r="N949" s="2">
        <v>512.14</v>
      </c>
      <c r="O949" s="2">
        <v>3755.66</v>
      </c>
      <c r="P949" s="1">
        <v>184</v>
      </c>
      <c r="Q949" s="2">
        <v>331.94</v>
      </c>
      <c r="R949" s="2">
        <v>768.2</v>
      </c>
      <c r="S949" s="1" t="s">
        <v>1011</v>
      </c>
      <c r="T949" s="1" t="s">
        <v>1007</v>
      </c>
      <c r="U949" s="1" t="s">
        <v>1004</v>
      </c>
    </row>
    <row r="950" spans="1:21" x14ac:dyDescent="0.3">
      <c r="A950" s="1" t="s">
        <v>1964</v>
      </c>
      <c r="B950" s="1" t="s">
        <v>69</v>
      </c>
      <c r="C950" s="1" t="s">
        <v>70</v>
      </c>
      <c r="D950" s="1" t="s">
        <v>59</v>
      </c>
      <c r="E950" s="1" t="s">
        <v>3088</v>
      </c>
      <c r="F950" s="1" t="s">
        <v>1006</v>
      </c>
      <c r="G950" s="1" t="s">
        <v>1023</v>
      </c>
      <c r="H950" s="1">
        <v>14</v>
      </c>
      <c r="I950" s="1">
        <v>6</v>
      </c>
      <c r="J950" s="1" t="s">
        <v>2699</v>
      </c>
      <c r="K950" s="2">
        <v>53.7</v>
      </c>
      <c r="L950" s="1">
        <v>21</v>
      </c>
      <c r="M950" s="2">
        <v>751.8</v>
      </c>
      <c r="N950" s="2">
        <v>157.88</v>
      </c>
      <c r="O950" s="2">
        <v>593.91999999999996</v>
      </c>
      <c r="P950" s="1">
        <v>258</v>
      </c>
      <c r="Q950" s="2">
        <v>37.590000000000003</v>
      </c>
      <c r="R950" s="2">
        <v>67.66</v>
      </c>
      <c r="S950" s="1" t="s">
        <v>1011</v>
      </c>
      <c r="T950" s="1" t="s">
        <v>1007</v>
      </c>
      <c r="U950" s="1" t="s">
        <v>1007</v>
      </c>
    </row>
    <row r="951" spans="1:21" x14ac:dyDescent="0.3">
      <c r="A951" s="1" t="s">
        <v>1965</v>
      </c>
      <c r="B951" s="1" t="s">
        <v>123</v>
      </c>
      <c r="C951" s="1" t="s">
        <v>124</v>
      </c>
      <c r="D951" s="1" t="s">
        <v>47</v>
      </c>
      <c r="E951" s="1" t="s">
        <v>3089</v>
      </c>
      <c r="F951" s="1" t="s">
        <v>1015</v>
      </c>
      <c r="G951" s="1" t="s">
        <v>1023</v>
      </c>
      <c r="H951" s="1">
        <v>15</v>
      </c>
      <c r="I951" s="1">
        <v>5</v>
      </c>
      <c r="J951" s="1" t="s">
        <v>2619</v>
      </c>
      <c r="K951" s="2">
        <v>370.59</v>
      </c>
      <c r="L951" s="1">
        <v>25</v>
      </c>
      <c r="M951" s="2">
        <v>5558.85</v>
      </c>
      <c r="N951" s="2">
        <v>1389.71</v>
      </c>
      <c r="O951" s="2">
        <v>4169.1400000000003</v>
      </c>
      <c r="P951" s="1">
        <v>284</v>
      </c>
      <c r="Q951" s="2">
        <v>259.41000000000003</v>
      </c>
      <c r="R951" s="2">
        <v>277.99</v>
      </c>
      <c r="S951" s="1" t="s">
        <v>1003</v>
      </c>
      <c r="T951" s="1" t="s">
        <v>1007</v>
      </c>
      <c r="U951" s="1" t="s">
        <v>1007</v>
      </c>
    </row>
    <row r="952" spans="1:21" x14ac:dyDescent="0.3">
      <c r="A952" s="1" t="s">
        <v>1966</v>
      </c>
      <c r="B952" s="1" t="s">
        <v>26</v>
      </c>
      <c r="C952" s="1" t="s">
        <v>27</v>
      </c>
      <c r="D952" s="1" t="s">
        <v>28</v>
      </c>
      <c r="E952" s="1" t="s">
        <v>3090</v>
      </c>
      <c r="F952" s="1" t="s">
        <v>1009</v>
      </c>
      <c r="G952" s="1" t="s">
        <v>1023</v>
      </c>
      <c r="H952" s="1">
        <v>13</v>
      </c>
      <c r="I952" s="1">
        <v>2</v>
      </c>
      <c r="J952" s="1" t="s">
        <v>2604</v>
      </c>
      <c r="K952" s="2">
        <v>425.19</v>
      </c>
      <c r="L952" s="1">
        <v>4</v>
      </c>
      <c r="M952" s="2">
        <v>5527.47</v>
      </c>
      <c r="N952" s="2">
        <v>221.1</v>
      </c>
      <c r="O952" s="2">
        <v>5306.37</v>
      </c>
      <c r="P952" s="1">
        <v>213</v>
      </c>
      <c r="Q952" s="2">
        <v>297.63</v>
      </c>
      <c r="R952" s="2">
        <v>1437.18</v>
      </c>
      <c r="S952" s="1" t="s">
        <v>1003</v>
      </c>
      <c r="T952" s="1" t="s">
        <v>1007</v>
      </c>
      <c r="U952" s="1" t="s">
        <v>1004</v>
      </c>
    </row>
    <row r="953" spans="1:21" x14ac:dyDescent="0.3">
      <c r="A953" s="1" t="s">
        <v>1967</v>
      </c>
      <c r="B953" s="1" t="s">
        <v>77</v>
      </c>
      <c r="C953" s="1" t="s">
        <v>78</v>
      </c>
      <c r="D953" s="1" t="s">
        <v>47</v>
      </c>
      <c r="E953" s="1" t="s">
        <v>3091</v>
      </c>
      <c r="F953" s="1" t="s">
        <v>1027</v>
      </c>
      <c r="G953" s="1" t="s">
        <v>1023</v>
      </c>
      <c r="H953" s="1">
        <v>14</v>
      </c>
      <c r="I953" s="1">
        <v>3</v>
      </c>
      <c r="J953" s="1" t="s">
        <v>2709</v>
      </c>
      <c r="K953" s="2">
        <v>302.3</v>
      </c>
      <c r="L953" s="1">
        <v>23</v>
      </c>
      <c r="M953" s="2">
        <v>4232.2</v>
      </c>
      <c r="N953" s="2">
        <v>973.41</v>
      </c>
      <c r="O953" s="2">
        <v>3258.79</v>
      </c>
      <c r="P953" s="1">
        <v>118</v>
      </c>
      <c r="Q953" s="2">
        <v>211.61</v>
      </c>
      <c r="R953" s="2">
        <v>296.25</v>
      </c>
      <c r="S953" s="1" t="s">
        <v>1011</v>
      </c>
      <c r="T953" s="1" t="s">
        <v>1007</v>
      </c>
      <c r="U953" s="1" t="s">
        <v>1004</v>
      </c>
    </row>
    <row r="954" spans="1:21" x14ac:dyDescent="0.3">
      <c r="A954" s="1" t="s">
        <v>1968</v>
      </c>
      <c r="B954" s="1" t="s">
        <v>57</v>
      </c>
      <c r="C954" s="1" t="s">
        <v>58</v>
      </c>
      <c r="D954" s="1" t="s">
        <v>59</v>
      </c>
      <c r="E954" s="1" t="s">
        <v>3092</v>
      </c>
      <c r="F954" s="1" t="s">
        <v>1027</v>
      </c>
      <c r="G954" s="1" t="s">
        <v>1010</v>
      </c>
      <c r="H954" s="1">
        <v>12</v>
      </c>
      <c r="I954" s="1">
        <v>3</v>
      </c>
      <c r="J954" s="1" t="s">
        <v>2789</v>
      </c>
      <c r="K954" s="2">
        <v>429.59</v>
      </c>
      <c r="L954" s="1">
        <v>10</v>
      </c>
      <c r="M954" s="2">
        <v>5155.08</v>
      </c>
      <c r="N954" s="2">
        <v>515.51</v>
      </c>
      <c r="O954" s="2">
        <v>4639.57</v>
      </c>
      <c r="P954" s="1">
        <v>75</v>
      </c>
      <c r="Q954" s="2">
        <v>300.70999999999998</v>
      </c>
      <c r="R954" s="2">
        <v>1031.05</v>
      </c>
      <c r="S954" s="1" t="s">
        <v>1011</v>
      </c>
      <c r="T954" s="1" t="s">
        <v>1007</v>
      </c>
      <c r="U954" s="1" t="s">
        <v>1004</v>
      </c>
    </row>
    <row r="955" spans="1:21" x14ac:dyDescent="0.3">
      <c r="A955" s="1" t="s">
        <v>1969</v>
      </c>
      <c r="B955" s="1" t="s">
        <v>111</v>
      </c>
      <c r="C955" s="1" t="s">
        <v>112</v>
      </c>
      <c r="D955" s="1" t="s">
        <v>97</v>
      </c>
      <c r="E955" s="1" t="s">
        <v>3093</v>
      </c>
      <c r="F955" s="1" t="s">
        <v>1006</v>
      </c>
      <c r="G955" s="1" t="s">
        <v>1023</v>
      </c>
      <c r="H955" s="1">
        <v>14</v>
      </c>
      <c r="I955" s="1">
        <v>2</v>
      </c>
      <c r="J955" s="1" t="s">
        <v>2640</v>
      </c>
      <c r="K955" s="2">
        <v>335.8</v>
      </c>
      <c r="L955" s="1">
        <v>20</v>
      </c>
      <c r="M955" s="2">
        <v>4701.2</v>
      </c>
      <c r="N955" s="2">
        <v>940.24</v>
      </c>
      <c r="O955" s="2">
        <v>3760.96</v>
      </c>
      <c r="P955" s="1">
        <v>202</v>
      </c>
      <c r="Q955" s="2">
        <v>235.06</v>
      </c>
      <c r="R955" s="2">
        <v>470.12</v>
      </c>
      <c r="S955" s="1" t="s">
        <v>1016</v>
      </c>
      <c r="T955" s="1" t="s">
        <v>1004</v>
      </c>
      <c r="U955" s="1" t="s">
        <v>1007</v>
      </c>
    </row>
    <row r="956" spans="1:21" x14ac:dyDescent="0.3">
      <c r="A956" s="1" t="s">
        <v>1970</v>
      </c>
      <c r="B956" s="1" t="s">
        <v>130</v>
      </c>
      <c r="C956" s="1" t="s">
        <v>131</v>
      </c>
      <c r="D956" s="1" t="s">
        <v>132</v>
      </c>
      <c r="E956" s="1" t="s">
        <v>3094</v>
      </c>
      <c r="F956" s="1" t="s">
        <v>1020</v>
      </c>
      <c r="G956" s="1" t="s">
        <v>1023</v>
      </c>
      <c r="H956" s="1">
        <v>15</v>
      </c>
      <c r="I956" s="1">
        <v>2</v>
      </c>
      <c r="J956" s="1" t="s">
        <v>2684</v>
      </c>
      <c r="K956" s="2">
        <v>470.1</v>
      </c>
      <c r="L956" s="1">
        <v>22</v>
      </c>
      <c r="M956" s="2">
        <v>7051.5</v>
      </c>
      <c r="N956" s="2">
        <v>1551.33</v>
      </c>
      <c r="O956" s="2">
        <v>5500.17</v>
      </c>
      <c r="P956" s="1">
        <v>266</v>
      </c>
      <c r="Q956" s="2">
        <v>329.07</v>
      </c>
      <c r="R956" s="2">
        <v>564.12</v>
      </c>
      <c r="S956" s="1" t="s">
        <v>1016</v>
      </c>
      <c r="T956" s="1" t="s">
        <v>1004</v>
      </c>
      <c r="U956" s="1" t="s">
        <v>1004</v>
      </c>
    </row>
    <row r="957" spans="1:21" x14ac:dyDescent="0.3">
      <c r="A957" s="1" t="s">
        <v>1971</v>
      </c>
      <c r="B957" s="1" t="s">
        <v>123</v>
      </c>
      <c r="C957" s="1" t="s">
        <v>124</v>
      </c>
      <c r="D957" s="1" t="s">
        <v>47</v>
      </c>
      <c r="E957" s="1" t="s">
        <v>3095</v>
      </c>
      <c r="F957" s="1" t="s">
        <v>1015</v>
      </c>
      <c r="G957" s="1" t="s">
        <v>1002</v>
      </c>
      <c r="H957" s="1">
        <v>3</v>
      </c>
      <c r="I957" s="1">
        <v>5</v>
      </c>
      <c r="J957" s="1" t="s">
        <v>2881</v>
      </c>
      <c r="K957" s="2">
        <v>463.08</v>
      </c>
      <c r="L957" s="1">
        <v>10</v>
      </c>
      <c r="M957" s="2">
        <v>1389.24</v>
      </c>
      <c r="N957" s="2">
        <v>138.91999999999999</v>
      </c>
      <c r="O957" s="2">
        <v>1250.32</v>
      </c>
      <c r="P957" s="1">
        <v>194</v>
      </c>
      <c r="Q957" s="2">
        <v>324.16000000000003</v>
      </c>
      <c r="R957" s="2">
        <v>277.83999999999997</v>
      </c>
      <c r="S957" s="1" t="s">
        <v>1003</v>
      </c>
      <c r="T957" s="1" t="s">
        <v>1007</v>
      </c>
      <c r="U957" s="1" t="s">
        <v>1004</v>
      </c>
    </row>
    <row r="958" spans="1:21" x14ac:dyDescent="0.3">
      <c r="A958" s="1" t="s">
        <v>1972</v>
      </c>
      <c r="B958" s="1" t="s">
        <v>237</v>
      </c>
      <c r="C958" s="1" t="s">
        <v>238</v>
      </c>
      <c r="D958" s="1" t="s">
        <v>85</v>
      </c>
      <c r="E958" s="1" t="s">
        <v>3096</v>
      </c>
      <c r="F958" s="1" t="s">
        <v>1009</v>
      </c>
      <c r="G958" s="1" t="s">
        <v>1010</v>
      </c>
      <c r="H958" s="1">
        <v>5</v>
      </c>
      <c r="I958" s="1">
        <v>2</v>
      </c>
      <c r="J958" s="1" t="s">
        <v>2609</v>
      </c>
      <c r="K958" s="2">
        <v>65.95</v>
      </c>
      <c r="L958" s="1">
        <v>16</v>
      </c>
      <c r="M958" s="2">
        <v>329.75</v>
      </c>
      <c r="N958" s="2">
        <v>52.76</v>
      </c>
      <c r="O958" s="2">
        <v>276.99</v>
      </c>
      <c r="P958" s="1">
        <v>74</v>
      </c>
      <c r="Q958" s="2">
        <v>46.16</v>
      </c>
      <c r="R958" s="2">
        <v>46.19</v>
      </c>
      <c r="S958" s="1" t="s">
        <v>1003</v>
      </c>
      <c r="T958" s="1" t="s">
        <v>1004</v>
      </c>
      <c r="U958" s="1" t="s">
        <v>1004</v>
      </c>
    </row>
    <row r="959" spans="1:21" x14ac:dyDescent="0.3">
      <c r="A959" s="1" t="s">
        <v>1973</v>
      </c>
      <c r="B959" s="1" t="s">
        <v>52</v>
      </c>
      <c r="C959" s="1" t="s">
        <v>53</v>
      </c>
      <c r="D959" s="1" t="s">
        <v>47</v>
      </c>
      <c r="E959" s="1" t="s">
        <v>3097</v>
      </c>
      <c r="F959" s="1" t="s">
        <v>1009</v>
      </c>
      <c r="G959" s="1" t="s">
        <v>1010</v>
      </c>
      <c r="H959" s="1">
        <v>6</v>
      </c>
      <c r="I959" s="1">
        <v>7</v>
      </c>
      <c r="J959" s="1" t="s">
        <v>2905</v>
      </c>
      <c r="K959" s="2">
        <v>354.22</v>
      </c>
      <c r="L959" s="1">
        <v>25</v>
      </c>
      <c r="M959" s="2">
        <v>2125.3200000000002</v>
      </c>
      <c r="N959" s="2">
        <v>531.33000000000004</v>
      </c>
      <c r="O959" s="2">
        <v>1593.99</v>
      </c>
      <c r="P959" s="1">
        <v>131</v>
      </c>
      <c r="Q959" s="2">
        <v>247.95</v>
      </c>
      <c r="R959" s="2">
        <v>106.29</v>
      </c>
      <c r="S959" s="1" t="s">
        <v>1016</v>
      </c>
      <c r="T959" s="1" t="s">
        <v>1007</v>
      </c>
      <c r="U959" s="1" t="s">
        <v>1007</v>
      </c>
    </row>
    <row r="960" spans="1:21" x14ac:dyDescent="0.3">
      <c r="A960" s="1" t="s">
        <v>1974</v>
      </c>
      <c r="B960" s="1" t="s">
        <v>123</v>
      </c>
      <c r="C960" s="1" t="s">
        <v>124</v>
      </c>
      <c r="D960" s="1" t="s">
        <v>47</v>
      </c>
      <c r="E960" s="1" t="s">
        <v>3098</v>
      </c>
      <c r="F960" s="1" t="s">
        <v>1013</v>
      </c>
      <c r="G960" s="1" t="s">
        <v>1010</v>
      </c>
      <c r="H960" s="1">
        <v>8</v>
      </c>
      <c r="I960" s="1">
        <v>3</v>
      </c>
      <c r="J960" s="1" t="s">
        <v>2590</v>
      </c>
      <c r="K960" s="2">
        <v>395.25</v>
      </c>
      <c r="L960" s="1">
        <v>4</v>
      </c>
      <c r="M960" s="2">
        <v>3162</v>
      </c>
      <c r="N960" s="2">
        <v>126.48</v>
      </c>
      <c r="O960" s="2">
        <v>3035.52</v>
      </c>
      <c r="P960" s="1">
        <v>51</v>
      </c>
      <c r="Q960" s="2">
        <v>276.67</v>
      </c>
      <c r="R960" s="2">
        <v>822.16</v>
      </c>
      <c r="S960" s="1" t="s">
        <v>1011</v>
      </c>
      <c r="T960" s="1" t="s">
        <v>1007</v>
      </c>
      <c r="U960" s="1" t="s">
        <v>1004</v>
      </c>
    </row>
    <row r="961" spans="1:21" x14ac:dyDescent="0.3">
      <c r="A961" s="1" t="s">
        <v>1975</v>
      </c>
      <c r="B961" s="1" t="s">
        <v>26</v>
      </c>
      <c r="C961" s="1" t="s">
        <v>27</v>
      </c>
      <c r="D961" s="1" t="s">
        <v>28</v>
      </c>
      <c r="E961" s="1" t="s">
        <v>3099</v>
      </c>
      <c r="F961" s="1" t="s">
        <v>1006</v>
      </c>
      <c r="G961" s="1" t="s">
        <v>1010</v>
      </c>
      <c r="H961" s="1">
        <v>14</v>
      </c>
      <c r="I961" s="1">
        <v>4</v>
      </c>
      <c r="J961" s="1" t="s">
        <v>2664</v>
      </c>
      <c r="K961" s="2">
        <v>483.05</v>
      </c>
      <c r="L961" s="1">
        <v>8</v>
      </c>
      <c r="M961" s="2">
        <v>6762.7</v>
      </c>
      <c r="N961" s="2">
        <v>541.02</v>
      </c>
      <c r="O961" s="2">
        <v>6221.68</v>
      </c>
      <c r="P961" s="1">
        <v>229</v>
      </c>
      <c r="Q961" s="2">
        <v>338.13</v>
      </c>
      <c r="R961" s="2">
        <v>1487.86</v>
      </c>
      <c r="S961" s="1" t="s">
        <v>1016</v>
      </c>
      <c r="T961" s="1" t="s">
        <v>1004</v>
      </c>
      <c r="U961" s="1" t="s">
        <v>1004</v>
      </c>
    </row>
    <row r="962" spans="1:21" x14ac:dyDescent="0.3">
      <c r="A962" s="1" t="s">
        <v>1976</v>
      </c>
      <c r="B962" s="1" t="s">
        <v>189</v>
      </c>
      <c r="C962" s="1" t="s">
        <v>190</v>
      </c>
      <c r="D962" s="1" t="s">
        <v>59</v>
      </c>
      <c r="E962" s="1" t="s">
        <v>3100</v>
      </c>
      <c r="F962" s="1" t="s">
        <v>1009</v>
      </c>
      <c r="G962" s="1" t="s">
        <v>1002</v>
      </c>
      <c r="H962" s="1">
        <v>6</v>
      </c>
      <c r="I962" s="1">
        <v>3</v>
      </c>
      <c r="J962" s="1" t="s">
        <v>2663</v>
      </c>
      <c r="K962" s="2">
        <v>244.86</v>
      </c>
      <c r="L962" s="1">
        <v>20</v>
      </c>
      <c r="M962" s="2">
        <v>1469.16</v>
      </c>
      <c r="N962" s="2">
        <v>293.83</v>
      </c>
      <c r="O962" s="2">
        <v>1175.33</v>
      </c>
      <c r="P962" s="1">
        <v>223</v>
      </c>
      <c r="Q962" s="2">
        <v>171.4</v>
      </c>
      <c r="R962" s="2">
        <v>146.93</v>
      </c>
      <c r="S962" s="1" t="s">
        <v>1011</v>
      </c>
      <c r="T962" s="1" t="s">
        <v>1007</v>
      </c>
      <c r="U962" s="1" t="s">
        <v>1007</v>
      </c>
    </row>
    <row r="963" spans="1:21" x14ac:dyDescent="0.3">
      <c r="A963" s="1" t="s">
        <v>1977</v>
      </c>
      <c r="B963" s="1" t="s">
        <v>72</v>
      </c>
      <c r="C963" s="1" t="s">
        <v>73</v>
      </c>
      <c r="D963" s="1" t="s">
        <v>47</v>
      </c>
      <c r="E963" s="1" t="s">
        <v>3101</v>
      </c>
      <c r="F963" s="1" t="s">
        <v>1006</v>
      </c>
      <c r="G963" s="1" t="s">
        <v>1023</v>
      </c>
      <c r="H963" s="1">
        <v>1</v>
      </c>
      <c r="I963" s="1">
        <v>1</v>
      </c>
      <c r="J963" s="1" t="s">
        <v>2809</v>
      </c>
      <c r="K963" s="2">
        <v>61.83</v>
      </c>
      <c r="L963" s="1">
        <v>18</v>
      </c>
      <c r="M963" s="2">
        <v>61.83</v>
      </c>
      <c r="N963" s="2">
        <v>11.13</v>
      </c>
      <c r="O963" s="2">
        <v>50.7</v>
      </c>
      <c r="P963" s="1">
        <v>238</v>
      </c>
      <c r="Q963" s="2">
        <v>43.28</v>
      </c>
      <c r="R963" s="2">
        <v>7.42</v>
      </c>
      <c r="S963" s="1" t="s">
        <v>1003</v>
      </c>
      <c r="T963" s="1" t="s">
        <v>1004</v>
      </c>
      <c r="U963" s="1" t="s">
        <v>1007</v>
      </c>
    </row>
    <row r="964" spans="1:21" x14ac:dyDescent="0.3">
      <c r="A964" s="1" t="s">
        <v>1978</v>
      </c>
      <c r="B964" s="1" t="s">
        <v>102</v>
      </c>
      <c r="C964" s="1" t="s">
        <v>103</v>
      </c>
      <c r="D964" s="1" t="s">
        <v>104</v>
      </c>
      <c r="E964" s="1" t="s">
        <v>3102</v>
      </c>
      <c r="F964" s="1" t="s">
        <v>1001</v>
      </c>
      <c r="G964" s="1" t="s">
        <v>1010</v>
      </c>
      <c r="H964" s="1">
        <v>2</v>
      </c>
      <c r="I964" s="1">
        <v>6</v>
      </c>
      <c r="J964" s="1" t="s">
        <v>2814</v>
      </c>
      <c r="K964" s="2">
        <v>104.15</v>
      </c>
      <c r="L964" s="1">
        <v>22</v>
      </c>
      <c r="M964" s="2">
        <v>208.3</v>
      </c>
      <c r="N964" s="2">
        <v>45.83</v>
      </c>
      <c r="O964" s="2">
        <v>162.47</v>
      </c>
      <c r="P964" s="1">
        <v>250</v>
      </c>
      <c r="Q964" s="2">
        <v>72.91</v>
      </c>
      <c r="R964" s="2">
        <v>16.649999999999999</v>
      </c>
      <c r="S964" s="1" t="s">
        <v>1011</v>
      </c>
      <c r="T964" s="1" t="s">
        <v>1007</v>
      </c>
      <c r="U964" s="1" t="s">
        <v>1007</v>
      </c>
    </row>
    <row r="965" spans="1:21" x14ac:dyDescent="0.3">
      <c r="A965" s="1" t="s">
        <v>1979</v>
      </c>
      <c r="B965" s="1" t="s">
        <v>72</v>
      </c>
      <c r="C965" s="1" t="s">
        <v>73</v>
      </c>
      <c r="D965" s="1" t="s">
        <v>47</v>
      </c>
      <c r="E965" s="1" t="s">
        <v>3103</v>
      </c>
      <c r="F965" s="1" t="s">
        <v>1009</v>
      </c>
      <c r="G965" s="1" t="s">
        <v>1002</v>
      </c>
      <c r="H965" s="1">
        <v>4</v>
      </c>
      <c r="I965" s="1">
        <v>6</v>
      </c>
      <c r="J965" s="1" t="s">
        <v>2814</v>
      </c>
      <c r="K965" s="2">
        <v>139.56</v>
      </c>
      <c r="L965" s="1">
        <v>0</v>
      </c>
      <c r="M965" s="2">
        <v>558.24</v>
      </c>
      <c r="N965" s="2">
        <v>0</v>
      </c>
      <c r="O965" s="2">
        <v>558.24</v>
      </c>
      <c r="P965" s="1">
        <v>296</v>
      </c>
      <c r="Q965" s="2">
        <v>97.69</v>
      </c>
      <c r="R965" s="2">
        <v>167.48</v>
      </c>
      <c r="S965" s="1" t="s">
        <v>1016</v>
      </c>
      <c r="T965" s="1" t="s">
        <v>1004</v>
      </c>
      <c r="U965" s="1" t="s">
        <v>1007</v>
      </c>
    </row>
    <row r="966" spans="1:21" x14ac:dyDescent="0.3">
      <c r="A966" s="1" t="s">
        <v>1980</v>
      </c>
      <c r="B966" s="1" t="s">
        <v>123</v>
      </c>
      <c r="C966" s="1" t="s">
        <v>124</v>
      </c>
      <c r="D966" s="1" t="s">
        <v>47</v>
      </c>
      <c r="E966" s="1" t="s">
        <v>3104</v>
      </c>
      <c r="F966" s="1" t="s">
        <v>1006</v>
      </c>
      <c r="G966" s="1" t="s">
        <v>1010</v>
      </c>
      <c r="H966" s="1">
        <v>2</v>
      </c>
      <c r="I966" s="1">
        <v>4</v>
      </c>
      <c r="J966" s="1" t="s">
        <v>2727</v>
      </c>
      <c r="K966" s="2">
        <v>310.25</v>
      </c>
      <c r="L966" s="1">
        <v>19</v>
      </c>
      <c r="M966" s="2">
        <v>620.5</v>
      </c>
      <c r="N966" s="2">
        <v>117.89</v>
      </c>
      <c r="O966" s="2">
        <v>502.61</v>
      </c>
      <c r="P966" s="1">
        <v>205</v>
      </c>
      <c r="Q966" s="2">
        <v>217.17</v>
      </c>
      <c r="R966" s="2">
        <v>68.27</v>
      </c>
      <c r="S966" s="1" t="s">
        <v>1003</v>
      </c>
      <c r="T966" s="1" t="s">
        <v>1004</v>
      </c>
      <c r="U966" s="1" t="s">
        <v>1007</v>
      </c>
    </row>
    <row r="967" spans="1:21" x14ac:dyDescent="0.3">
      <c r="A967" s="1" t="s">
        <v>1981</v>
      </c>
      <c r="B967" s="1" t="s">
        <v>237</v>
      </c>
      <c r="C967" s="1" t="s">
        <v>238</v>
      </c>
      <c r="D967" s="1" t="s">
        <v>85</v>
      </c>
      <c r="E967" s="1" t="s">
        <v>3105</v>
      </c>
      <c r="F967" s="1" t="s">
        <v>1006</v>
      </c>
      <c r="G967" s="1" t="s">
        <v>1010</v>
      </c>
      <c r="H967" s="1">
        <v>9</v>
      </c>
      <c r="I967" s="1">
        <v>6</v>
      </c>
      <c r="J967" s="1" t="s">
        <v>2916</v>
      </c>
      <c r="K967" s="2">
        <v>145.84</v>
      </c>
      <c r="L967" s="1">
        <v>19</v>
      </c>
      <c r="M967" s="2">
        <v>1312.56</v>
      </c>
      <c r="N967" s="2">
        <v>249.39</v>
      </c>
      <c r="O967" s="2">
        <v>1063.17</v>
      </c>
      <c r="P967" s="1">
        <v>65</v>
      </c>
      <c r="Q967" s="2">
        <v>102.09</v>
      </c>
      <c r="R967" s="2">
        <v>144.36000000000001</v>
      </c>
      <c r="S967" s="1" t="s">
        <v>1016</v>
      </c>
      <c r="T967" s="1" t="s">
        <v>1007</v>
      </c>
      <c r="U967" s="1" t="s">
        <v>1004</v>
      </c>
    </row>
    <row r="968" spans="1:21" x14ac:dyDescent="0.3">
      <c r="A968" s="1" t="s">
        <v>1982</v>
      </c>
      <c r="B968" s="1" t="s">
        <v>26</v>
      </c>
      <c r="C968" s="1" t="s">
        <v>27</v>
      </c>
      <c r="D968" s="1" t="s">
        <v>28</v>
      </c>
      <c r="E968" s="1" t="s">
        <v>3106</v>
      </c>
      <c r="F968" s="1" t="s">
        <v>1009</v>
      </c>
      <c r="G968" s="1" t="s">
        <v>1010</v>
      </c>
      <c r="H968" s="1">
        <v>5</v>
      </c>
      <c r="I968" s="1">
        <v>1</v>
      </c>
      <c r="J968" s="1" t="s">
        <v>2828</v>
      </c>
      <c r="K968" s="2">
        <v>483.34</v>
      </c>
      <c r="L968" s="1">
        <v>7</v>
      </c>
      <c r="M968" s="2">
        <v>2416.6999999999998</v>
      </c>
      <c r="N968" s="2">
        <v>169.17</v>
      </c>
      <c r="O968" s="2">
        <v>2247.5300000000002</v>
      </c>
      <c r="P968" s="1">
        <v>232</v>
      </c>
      <c r="Q968" s="2">
        <v>338.34</v>
      </c>
      <c r="R968" s="2">
        <v>555.83000000000004</v>
      </c>
      <c r="S968" s="1" t="s">
        <v>1011</v>
      </c>
      <c r="T968" s="1" t="s">
        <v>1004</v>
      </c>
      <c r="U968" s="1" t="s">
        <v>1004</v>
      </c>
    </row>
    <row r="969" spans="1:21" x14ac:dyDescent="0.3">
      <c r="A969" s="1" t="s">
        <v>1983</v>
      </c>
      <c r="B969" s="1" t="s">
        <v>176</v>
      </c>
      <c r="C969" s="1" t="s">
        <v>177</v>
      </c>
      <c r="D969" s="1" t="s">
        <v>39</v>
      </c>
      <c r="E969" s="1" t="s">
        <v>3107</v>
      </c>
      <c r="F969" s="1" t="s">
        <v>1013</v>
      </c>
      <c r="G969" s="1" t="s">
        <v>1010</v>
      </c>
      <c r="H969" s="1">
        <v>13</v>
      </c>
      <c r="I969" s="1">
        <v>2</v>
      </c>
      <c r="J969" s="1" t="s">
        <v>2919</v>
      </c>
      <c r="K969" s="2">
        <v>56.03</v>
      </c>
      <c r="L969" s="1">
        <v>18</v>
      </c>
      <c r="M969" s="2">
        <v>728.39</v>
      </c>
      <c r="N969" s="2">
        <v>131.11000000000001</v>
      </c>
      <c r="O969" s="2">
        <v>597.28</v>
      </c>
      <c r="P969" s="1">
        <v>186</v>
      </c>
      <c r="Q969" s="2">
        <v>39.22</v>
      </c>
      <c r="R969" s="2">
        <v>87.42</v>
      </c>
      <c r="S969" s="1" t="s">
        <v>1011</v>
      </c>
      <c r="T969" s="1" t="s">
        <v>1004</v>
      </c>
      <c r="U969" s="1" t="s">
        <v>1004</v>
      </c>
    </row>
    <row r="970" spans="1:21" x14ac:dyDescent="0.3">
      <c r="A970" s="1" t="s">
        <v>1984</v>
      </c>
      <c r="B970" s="1" t="s">
        <v>69</v>
      </c>
      <c r="C970" s="1" t="s">
        <v>70</v>
      </c>
      <c r="D970" s="1" t="s">
        <v>59</v>
      </c>
      <c r="E970" s="1" t="s">
        <v>3108</v>
      </c>
      <c r="F970" s="1" t="s">
        <v>1020</v>
      </c>
      <c r="G970" s="1" t="s">
        <v>1010</v>
      </c>
      <c r="H970" s="1">
        <v>13</v>
      </c>
      <c r="I970" s="1">
        <v>2</v>
      </c>
      <c r="J970" s="1" t="s">
        <v>2731</v>
      </c>
      <c r="K970" s="2">
        <v>444.52</v>
      </c>
      <c r="L970" s="1">
        <v>13</v>
      </c>
      <c r="M970" s="2">
        <v>5778.76</v>
      </c>
      <c r="N970" s="2">
        <v>751.24</v>
      </c>
      <c r="O970" s="2">
        <v>5027.5200000000004</v>
      </c>
      <c r="P970" s="1">
        <v>216</v>
      </c>
      <c r="Q970" s="2">
        <v>311.16000000000003</v>
      </c>
      <c r="R970" s="2">
        <v>982.44</v>
      </c>
      <c r="S970" s="1" t="s">
        <v>1016</v>
      </c>
      <c r="T970" s="1" t="s">
        <v>1004</v>
      </c>
      <c r="U970" s="1" t="s">
        <v>1004</v>
      </c>
    </row>
    <row r="971" spans="1:21" x14ac:dyDescent="0.3">
      <c r="A971" s="1" t="s">
        <v>1985</v>
      </c>
      <c r="B971" s="1" t="s">
        <v>130</v>
      </c>
      <c r="C971" s="1" t="s">
        <v>131</v>
      </c>
      <c r="D971" s="1" t="s">
        <v>132</v>
      </c>
      <c r="E971" s="1" t="s">
        <v>3109</v>
      </c>
      <c r="F971" s="1" t="s">
        <v>1013</v>
      </c>
      <c r="G971" s="1" t="s">
        <v>1002</v>
      </c>
      <c r="H971" s="1">
        <v>15</v>
      </c>
      <c r="I971" s="1">
        <v>7</v>
      </c>
      <c r="J971" s="1" t="s">
        <v>2945</v>
      </c>
      <c r="K971" s="2">
        <v>489.91</v>
      </c>
      <c r="L971" s="1">
        <v>3</v>
      </c>
      <c r="M971" s="2">
        <v>7348.65</v>
      </c>
      <c r="N971" s="2">
        <v>220.46</v>
      </c>
      <c r="O971" s="2">
        <v>7128.19</v>
      </c>
      <c r="P971" s="1">
        <v>219</v>
      </c>
      <c r="Q971" s="2">
        <v>342.94</v>
      </c>
      <c r="R971" s="2">
        <v>1984.09</v>
      </c>
      <c r="S971" s="1" t="s">
        <v>1016</v>
      </c>
      <c r="T971" s="1" t="s">
        <v>1007</v>
      </c>
      <c r="U971" s="1" t="s">
        <v>1004</v>
      </c>
    </row>
    <row r="972" spans="1:21" x14ac:dyDescent="0.3">
      <c r="A972" s="1" t="s">
        <v>1986</v>
      </c>
      <c r="B972" s="1" t="s">
        <v>45</v>
      </c>
      <c r="C972" s="1" t="s">
        <v>46</v>
      </c>
      <c r="D972" s="1" t="s">
        <v>47</v>
      </c>
      <c r="E972" s="1" t="s">
        <v>3110</v>
      </c>
      <c r="F972" s="1" t="s">
        <v>1015</v>
      </c>
      <c r="G972" s="1" t="s">
        <v>1002</v>
      </c>
      <c r="H972" s="1">
        <v>5</v>
      </c>
      <c r="I972" s="1">
        <v>3</v>
      </c>
      <c r="J972" s="1" t="s">
        <v>2608</v>
      </c>
      <c r="K972" s="2">
        <v>112.12</v>
      </c>
      <c r="L972" s="1">
        <v>4</v>
      </c>
      <c r="M972" s="2">
        <v>560.6</v>
      </c>
      <c r="N972" s="2">
        <v>22.42</v>
      </c>
      <c r="O972" s="2">
        <v>538.17999999999995</v>
      </c>
      <c r="P972" s="1">
        <v>272</v>
      </c>
      <c r="Q972" s="2">
        <v>78.48</v>
      </c>
      <c r="R972" s="2">
        <v>145.78</v>
      </c>
      <c r="S972" s="1" t="s">
        <v>1011</v>
      </c>
      <c r="T972" s="1" t="s">
        <v>1004</v>
      </c>
      <c r="U972" s="1" t="s">
        <v>1007</v>
      </c>
    </row>
    <row r="973" spans="1:21" x14ac:dyDescent="0.3">
      <c r="A973" s="1" t="s">
        <v>1987</v>
      </c>
      <c r="B973" s="1" t="s">
        <v>37</v>
      </c>
      <c r="C973" s="1" t="s">
        <v>38</v>
      </c>
      <c r="D973" s="1" t="s">
        <v>39</v>
      </c>
      <c r="E973" s="1" t="s">
        <v>3111</v>
      </c>
      <c r="F973" s="1" t="s">
        <v>1006</v>
      </c>
      <c r="G973" s="1" t="s">
        <v>1002</v>
      </c>
      <c r="H973" s="1">
        <v>13</v>
      </c>
      <c r="I973" s="1">
        <v>2</v>
      </c>
      <c r="J973" s="1" t="s">
        <v>2874</v>
      </c>
      <c r="K973" s="2">
        <v>412.75</v>
      </c>
      <c r="L973" s="1">
        <v>0</v>
      </c>
      <c r="M973" s="2">
        <v>5365.75</v>
      </c>
      <c r="N973" s="2">
        <v>0</v>
      </c>
      <c r="O973" s="2">
        <v>5365.75</v>
      </c>
      <c r="P973" s="1">
        <v>80</v>
      </c>
      <c r="Q973" s="2">
        <v>288.92</v>
      </c>
      <c r="R973" s="2">
        <v>1609.79</v>
      </c>
      <c r="S973" s="1" t="s">
        <v>1016</v>
      </c>
      <c r="T973" s="1" t="s">
        <v>1007</v>
      </c>
      <c r="U973" s="1" t="s">
        <v>1004</v>
      </c>
    </row>
    <row r="974" spans="1:21" x14ac:dyDescent="0.3">
      <c r="A974" s="1" t="s">
        <v>1988</v>
      </c>
      <c r="B974" s="1" t="s">
        <v>26</v>
      </c>
      <c r="C974" s="1" t="s">
        <v>27</v>
      </c>
      <c r="D974" s="1" t="s">
        <v>28</v>
      </c>
      <c r="E974" s="1" t="s">
        <v>3112</v>
      </c>
      <c r="F974" s="1" t="s">
        <v>1020</v>
      </c>
      <c r="G974" s="1" t="s">
        <v>1002</v>
      </c>
      <c r="H974" s="1">
        <v>12</v>
      </c>
      <c r="I974" s="1">
        <v>2</v>
      </c>
      <c r="J974" s="1" t="s">
        <v>2962</v>
      </c>
      <c r="K974" s="2">
        <v>264.47000000000003</v>
      </c>
      <c r="L974" s="1">
        <v>19</v>
      </c>
      <c r="M974" s="2">
        <v>3173.64</v>
      </c>
      <c r="N974" s="2">
        <v>602.99</v>
      </c>
      <c r="O974" s="2">
        <v>2570.65</v>
      </c>
      <c r="P974" s="1">
        <v>224</v>
      </c>
      <c r="Q974" s="2">
        <v>185.13</v>
      </c>
      <c r="R974" s="2">
        <v>349.09</v>
      </c>
      <c r="S974" s="1" t="s">
        <v>1016</v>
      </c>
      <c r="T974" s="1" t="s">
        <v>1004</v>
      </c>
      <c r="U974" s="1" t="s">
        <v>1007</v>
      </c>
    </row>
    <row r="975" spans="1:21" x14ac:dyDescent="0.3">
      <c r="A975" s="1" t="s">
        <v>1989</v>
      </c>
      <c r="B975" s="1" t="s">
        <v>77</v>
      </c>
      <c r="C975" s="1" t="s">
        <v>78</v>
      </c>
      <c r="D975" s="1" t="s">
        <v>47</v>
      </c>
      <c r="E975" s="1" t="s">
        <v>3113</v>
      </c>
      <c r="F975" s="1" t="s">
        <v>1020</v>
      </c>
      <c r="G975" s="1" t="s">
        <v>1023</v>
      </c>
      <c r="H975" s="1">
        <v>10</v>
      </c>
      <c r="I975" s="1">
        <v>5</v>
      </c>
      <c r="J975" s="1" t="s">
        <v>2590</v>
      </c>
      <c r="K975" s="2">
        <v>359.94</v>
      </c>
      <c r="L975" s="1">
        <v>14</v>
      </c>
      <c r="M975" s="2">
        <v>3599.4</v>
      </c>
      <c r="N975" s="2">
        <v>503.92</v>
      </c>
      <c r="O975" s="2">
        <v>3095.48</v>
      </c>
      <c r="P975" s="1">
        <v>208</v>
      </c>
      <c r="Q975" s="2">
        <v>251.96</v>
      </c>
      <c r="R975" s="2">
        <v>575.88</v>
      </c>
      <c r="S975" s="1" t="s">
        <v>1003</v>
      </c>
      <c r="T975" s="1" t="s">
        <v>1007</v>
      </c>
      <c r="U975" s="1" t="s">
        <v>1007</v>
      </c>
    </row>
    <row r="976" spans="1:21" x14ac:dyDescent="0.3">
      <c r="A976" s="1" t="s">
        <v>1990</v>
      </c>
      <c r="B976" s="1" t="s">
        <v>26</v>
      </c>
      <c r="C976" s="1" t="s">
        <v>27</v>
      </c>
      <c r="D976" s="1" t="s">
        <v>28</v>
      </c>
      <c r="E976" s="1" t="s">
        <v>3114</v>
      </c>
      <c r="F976" s="1" t="s">
        <v>1015</v>
      </c>
      <c r="G976" s="1" t="s">
        <v>1023</v>
      </c>
      <c r="H976" s="1">
        <v>9</v>
      </c>
      <c r="I976" s="1">
        <v>6</v>
      </c>
      <c r="J976" s="1" t="s">
        <v>2524</v>
      </c>
      <c r="K976" s="2">
        <v>193.05</v>
      </c>
      <c r="L976" s="1">
        <v>5</v>
      </c>
      <c r="M976" s="2">
        <v>1737.45</v>
      </c>
      <c r="N976" s="2">
        <v>86.87</v>
      </c>
      <c r="O976" s="2">
        <v>1650.58</v>
      </c>
      <c r="P976" s="1">
        <v>173</v>
      </c>
      <c r="Q976" s="2">
        <v>135.13</v>
      </c>
      <c r="R976" s="2">
        <v>434.41</v>
      </c>
      <c r="S976" s="1" t="s">
        <v>1003</v>
      </c>
      <c r="T976" s="1" t="s">
        <v>1004</v>
      </c>
      <c r="U976" s="1" t="s">
        <v>1007</v>
      </c>
    </row>
    <row r="977" spans="1:21" x14ac:dyDescent="0.3">
      <c r="A977" s="1" t="s">
        <v>1991</v>
      </c>
      <c r="B977" s="1" t="s">
        <v>123</v>
      </c>
      <c r="C977" s="1" t="s">
        <v>124</v>
      </c>
      <c r="D977" s="1" t="s">
        <v>47</v>
      </c>
      <c r="E977" s="1" t="s">
        <v>3115</v>
      </c>
      <c r="F977" s="1" t="s">
        <v>1009</v>
      </c>
      <c r="G977" s="1" t="s">
        <v>1010</v>
      </c>
      <c r="H977" s="1">
        <v>4</v>
      </c>
      <c r="I977" s="1">
        <v>1</v>
      </c>
      <c r="J977" s="1" t="s">
        <v>2699</v>
      </c>
      <c r="K977" s="2">
        <v>82.4</v>
      </c>
      <c r="L977" s="1">
        <v>1</v>
      </c>
      <c r="M977" s="2">
        <v>329.6</v>
      </c>
      <c r="N977" s="2">
        <v>3.3</v>
      </c>
      <c r="O977" s="2">
        <v>326.3</v>
      </c>
      <c r="P977" s="1">
        <v>258</v>
      </c>
      <c r="Q977" s="2">
        <v>57.68</v>
      </c>
      <c r="R977" s="2">
        <v>95.58</v>
      </c>
      <c r="S977" s="1" t="s">
        <v>1016</v>
      </c>
      <c r="T977" s="1" t="s">
        <v>1007</v>
      </c>
      <c r="U977" s="1" t="s">
        <v>1004</v>
      </c>
    </row>
    <row r="978" spans="1:21" x14ac:dyDescent="0.3">
      <c r="A978" s="1" t="s">
        <v>1992</v>
      </c>
      <c r="B978" s="1" t="s">
        <v>118</v>
      </c>
      <c r="C978" s="1" t="s">
        <v>119</v>
      </c>
      <c r="D978" s="1" t="s">
        <v>97</v>
      </c>
      <c r="E978" s="1" t="s">
        <v>3116</v>
      </c>
      <c r="F978" s="1" t="s">
        <v>1009</v>
      </c>
      <c r="G978" s="1" t="s">
        <v>1002</v>
      </c>
      <c r="H978" s="1">
        <v>5</v>
      </c>
      <c r="I978" s="1">
        <v>6</v>
      </c>
      <c r="J978" s="1" t="s">
        <v>2896</v>
      </c>
      <c r="K978" s="2">
        <v>338.73</v>
      </c>
      <c r="L978" s="1">
        <v>6</v>
      </c>
      <c r="M978" s="2">
        <v>1693.65</v>
      </c>
      <c r="N978" s="2">
        <v>101.62</v>
      </c>
      <c r="O978" s="2">
        <v>1592.03</v>
      </c>
      <c r="P978" s="1">
        <v>183</v>
      </c>
      <c r="Q978" s="2">
        <v>237.11</v>
      </c>
      <c r="R978" s="2">
        <v>406.48</v>
      </c>
      <c r="S978" s="1" t="s">
        <v>1016</v>
      </c>
      <c r="T978" s="1" t="s">
        <v>1007</v>
      </c>
      <c r="U978" s="1" t="s">
        <v>1007</v>
      </c>
    </row>
    <row r="979" spans="1:21" x14ac:dyDescent="0.3">
      <c r="A979" s="1" t="s">
        <v>1993</v>
      </c>
      <c r="B979" s="1" t="s">
        <v>123</v>
      </c>
      <c r="C979" s="1" t="s">
        <v>124</v>
      </c>
      <c r="D979" s="1" t="s">
        <v>47</v>
      </c>
      <c r="E979" s="1" t="s">
        <v>3117</v>
      </c>
      <c r="F979" s="1" t="s">
        <v>1009</v>
      </c>
      <c r="G979" s="1" t="s">
        <v>1002</v>
      </c>
      <c r="H979" s="1">
        <v>2</v>
      </c>
      <c r="I979" s="1">
        <v>2</v>
      </c>
      <c r="J979" s="1" t="s">
        <v>2906</v>
      </c>
      <c r="K979" s="2">
        <v>71.44</v>
      </c>
      <c r="L979" s="1">
        <v>24</v>
      </c>
      <c r="M979" s="2">
        <v>142.88</v>
      </c>
      <c r="N979" s="2">
        <v>34.29</v>
      </c>
      <c r="O979" s="2">
        <v>108.59</v>
      </c>
      <c r="P979" s="1">
        <v>169</v>
      </c>
      <c r="Q979" s="2">
        <v>50.01</v>
      </c>
      <c r="R979" s="2">
        <v>8.57</v>
      </c>
      <c r="S979" s="1" t="s">
        <v>1011</v>
      </c>
      <c r="T979" s="1" t="s">
        <v>1004</v>
      </c>
      <c r="U979" s="1" t="s">
        <v>1004</v>
      </c>
    </row>
    <row r="980" spans="1:21" x14ac:dyDescent="0.3">
      <c r="A980" s="1" t="s">
        <v>1994</v>
      </c>
      <c r="B980" s="1" t="s">
        <v>118</v>
      </c>
      <c r="C980" s="1" t="s">
        <v>119</v>
      </c>
      <c r="D980" s="1" t="s">
        <v>97</v>
      </c>
      <c r="E980" s="1" t="s">
        <v>3118</v>
      </c>
      <c r="F980" s="1" t="s">
        <v>1006</v>
      </c>
      <c r="G980" s="1" t="s">
        <v>1002</v>
      </c>
      <c r="H980" s="1">
        <v>12</v>
      </c>
      <c r="I980" s="1">
        <v>5</v>
      </c>
      <c r="J980" s="1" t="s">
        <v>2886</v>
      </c>
      <c r="K980" s="2">
        <v>284.69</v>
      </c>
      <c r="L980" s="1">
        <v>21</v>
      </c>
      <c r="M980" s="2">
        <v>3416.28</v>
      </c>
      <c r="N980" s="2">
        <v>717.42</v>
      </c>
      <c r="O980" s="2">
        <v>2698.86</v>
      </c>
      <c r="P980" s="1">
        <v>216</v>
      </c>
      <c r="Q980" s="2">
        <v>199.28</v>
      </c>
      <c r="R980" s="2">
        <v>307.5</v>
      </c>
      <c r="S980" s="1" t="s">
        <v>1003</v>
      </c>
      <c r="T980" s="1" t="s">
        <v>1007</v>
      </c>
      <c r="U980" s="1" t="s">
        <v>1004</v>
      </c>
    </row>
    <row r="981" spans="1:21" x14ac:dyDescent="0.3">
      <c r="A981" s="1" t="s">
        <v>1995</v>
      </c>
      <c r="B981" s="1" t="s">
        <v>166</v>
      </c>
      <c r="C981" s="1" t="s">
        <v>167</v>
      </c>
      <c r="D981" s="1" t="s">
        <v>59</v>
      </c>
      <c r="E981" s="1" t="s">
        <v>3119</v>
      </c>
      <c r="F981" s="1" t="s">
        <v>1001</v>
      </c>
      <c r="G981" s="1" t="s">
        <v>1023</v>
      </c>
      <c r="H981" s="1">
        <v>10</v>
      </c>
      <c r="I981" s="1">
        <v>3</v>
      </c>
      <c r="J981" s="1" t="s">
        <v>3120</v>
      </c>
      <c r="K981" s="2">
        <v>213.25</v>
      </c>
      <c r="L981" s="1">
        <v>18</v>
      </c>
      <c r="M981" s="2">
        <v>2132.5</v>
      </c>
      <c r="N981" s="2">
        <v>383.85</v>
      </c>
      <c r="O981" s="2">
        <v>1748.65</v>
      </c>
      <c r="P981" s="1">
        <v>252</v>
      </c>
      <c r="Q981" s="2">
        <v>149.27000000000001</v>
      </c>
      <c r="R981" s="2">
        <v>255.95</v>
      </c>
      <c r="S981" s="1" t="s">
        <v>1016</v>
      </c>
      <c r="T981" s="1" t="s">
        <v>1007</v>
      </c>
      <c r="U981" s="1" t="s">
        <v>1007</v>
      </c>
    </row>
    <row r="982" spans="1:21" x14ac:dyDescent="0.3">
      <c r="A982" s="1" t="s">
        <v>1996</v>
      </c>
      <c r="B982" s="1" t="s">
        <v>237</v>
      </c>
      <c r="C982" s="1" t="s">
        <v>238</v>
      </c>
      <c r="D982" s="1" t="s">
        <v>85</v>
      </c>
      <c r="E982" s="1" t="s">
        <v>3121</v>
      </c>
      <c r="F982" s="1" t="s">
        <v>1001</v>
      </c>
      <c r="G982" s="1" t="s">
        <v>1002</v>
      </c>
      <c r="H982" s="1">
        <v>10</v>
      </c>
      <c r="I982" s="1">
        <v>4</v>
      </c>
      <c r="J982" s="1" t="s">
        <v>3122</v>
      </c>
      <c r="K982" s="2">
        <v>484.89</v>
      </c>
      <c r="L982" s="1">
        <v>9</v>
      </c>
      <c r="M982" s="2">
        <v>4848.8999999999996</v>
      </c>
      <c r="N982" s="2">
        <v>436.4</v>
      </c>
      <c r="O982" s="2">
        <v>4412.5</v>
      </c>
      <c r="P982" s="1">
        <v>69</v>
      </c>
      <c r="Q982" s="2">
        <v>339.42</v>
      </c>
      <c r="R982" s="2">
        <v>1018.3</v>
      </c>
      <c r="S982" s="1" t="s">
        <v>1016</v>
      </c>
      <c r="T982" s="1" t="s">
        <v>1004</v>
      </c>
      <c r="U982" s="1" t="s">
        <v>1004</v>
      </c>
    </row>
    <row r="983" spans="1:21" x14ac:dyDescent="0.3">
      <c r="A983" s="1" t="s">
        <v>1997</v>
      </c>
      <c r="B983" s="1" t="s">
        <v>26</v>
      </c>
      <c r="C983" s="1" t="s">
        <v>27</v>
      </c>
      <c r="D983" s="1" t="s">
        <v>28</v>
      </c>
      <c r="E983" s="1" t="s">
        <v>3123</v>
      </c>
      <c r="F983" s="1" t="s">
        <v>1020</v>
      </c>
      <c r="G983" s="1" t="s">
        <v>1023</v>
      </c>
      <c r="H983" s="1">
        <v>10</v>
      </c>
      <c r="I983" s="1">
        <v>3</v>
      </c>
      <c r="J983" s="1" t="s">
        <v>2560</v>
      </c>
      <c r="K983" s="2">
        <v>151.96</v>
      </c>
      <c r="L983" s="1">
        <v>9</v>
      </c>
      <c r="M983" s="2">
        <v>1519.6</v>
      </c>
      <c r="N983" s="2">
        <v>136.76</v>
      </c>
      <c r="O983" s="2">
        <v>1382.84</v>
      </c>
      <c r="P983" s="1">
        <v>210</v>
      </c>
      <c r="Q983" s="2">
        <v>106.37</v>
      </c>
      <c r="R983" s="2">
        <v>319.14</v>
      </c>
      <c r="S983" s="1" t="s">
        <v>1003</v>
      </c>
      <c r="T983" s="1" t="s">
        <v>1004</v>
      </c>
      <c r="U983" s="1" t="s">
        <v>1007</v>
      </c>
    </row>
    <row r="984" spans="1:21" x14ac:dyDescent="0.3">
      <c r="A984" s="1" t="s">
        <v>1998</v>
      </c>
      <c r="B984" s="1" t="s">
        <v>176</v>
      </c>
      <c r="C984" s="1" t="s">
        <v>177</v>
      </c>
      <c r="D984" s="1" t="s">
        <v>39</v>
      </c>
      <c r="E984" s="1" t="s">
        <v>3124</v>
      </c>
      <c r="F984" s="1" t="s">
        <v>1020</v>
      </c>
      <c r="G984" s="1" t="s">
        <v>1010</v>
      </c>
      <c r="H984" s="1">
        <v>10</v>
      </c>
      <c r="I984" s="1">
        <v>6</v>
      </c>
      <c r="J984" s="1" t="s">
        <v>2596</v>
      </c>
      <c r="K984" s="2">
        <v>298.95</v>
      </c>
      <c r="L984" s="1">
        <v>12</v>
      </c>
      <c r="M984" s="2">
        <v>2989.5</v>
      </c>
      <c r="N984" s="2">
        <v>358.74</v>
      </c>
      <c r="O984" s="2">
        <v>2630.76</v>
      </c>
      <c r="P984" s="1">
        <v>64</v>
      </c>
      <c r="Q984" s="2">
        <v>209.26</v>
      </c>
      <c r="R984" s="2">
        <v>538.16</v>
      </c>
      <c r="S984" s="1" t="s">
        <v>1016</v>
      </c>
      <c r="T984" s="1" t="s">
        <v>1007</v>
      </c>
      <c r="U984" s="1" t="s">
        <v>1004</v>
      </c>
    </row>
    <row r="985" spans="1:21" x14ac:dyDescent="0.3">
      <c r="A985" s="1" t="s">
        <v>1999</v>
      </c>
      <c r="B985" s="1" t="s">
        <v>189</v>
      </c>
      <c r="C985" s="1" t="s">
        <v>190</v>
      </c>
      <c r="D985" s="1" t="s">
        <v>59</v>
      </c>
      <c r="E985" s="1" t="s">
        <v>3125</v>
      </c>
      <c r="F985" s="1" t="s">
        <v>1001</v>
      </c>
      <c r="G985" s="1" t="s">
        <v>1002</v>
      </c>
      <c r="H985" s="1">
        <v>4</v>
      </c>
      <c r="I985" s="1">
        <v>2</v>
      </c>
      <c r="J985" s="1" t="s">
        <v>3126</v>
      </c>
      <c r="K985" s="2">
        <v>380.62</v>
      </c>
      <c r="L985" s="1">
        <v>4</v>
      </c>
      <c r="M985" s="2">
        <v>1522.48</v>
      </c>
      <c r="N985" s="2">
        <v>60.9</v>
      </c>
      <c r="O985" s="2">
        <v>1461.58</v>
      </c>
      <c r="P985" s="1">
        <v>135</v>
      </c>
      <c r="Q985" s="2">
        <v>266.43</v>
      </c>
      <c r="R985" s="2">
        <v>395.86</v>
      </c>
      <c r="S985" s="1" t="s">
        <v>1016</v>
      </c>
      <c r="T985" s="1" t="s">
        <v>1007</v>
      </c>
      <c r="U985" s="1" t="s">
        <v>1007</v>
      </c>
    </row>
    <row r="986" spans="1:21" x14ac:dyDescent="0.3">
      <c r="A986" s="1" t="s">
        <v>2000</v>
      </c>
      <c r="B986" s="1" t="s">
        <v>237</v>
      </c>
      <c r="C986" s="1" t="s">
        <v>238</v>
      </c>
      <c r="D986" s="1" t="s">
        <v>85</v>
      </c>
      <c r="E986" s="1" t="s">
        <v>3127</v>
      </c>
      <c r="F986" s="1" t="s">
        <v>1015</v>
      </c>
      <c r="G986" s="1" t="s">
        <v>1023</v>
      </c>
      <c r="H986" s="1">
        <v>4</v>
      </c>
      <c r="I986" s="1">
        <v>4</v>
      </c>
      <c r="J986" s="1" t="s">
        <v>2878</v>
      </c>
      <c r="K986" s="2">
        <v>488.85</v>
      </c>
      <c r="L986" s="1">
        <v>7</v>
      </c>
      <c r="M986" s="2">
        <v>1955.4</v>
      </c>
      <c r="N986" s="2">
        <v>136.88</v>
      </c>
      <c r="O986" s="2">
        <v>1818.52</v>
      </c>
      <c r="P986" s="1">
        <v>300</v>
      </c>
      <c r="Q986" s="2">
        <v>342.19</v>
      </c>
      <c r="R986" s="2">
        <v>449.76</v>
      </c>
      <c r="S986" s="1" t="s">
        <v>1003</v>
      </c>
      <c r="T986" s="1" t="s">
        <v>1004</v>
      </c>
      <c r="U986" s="1" t="s">
        <v>1007</v>
      </c>
    </row>
    <row r="987" spans="1:21" x14ac:dyDescent="0.3">
      <c r="A987" s="1" t="s">
        <v>2001</v>
      </c>
      <c r="B987" s="1" t="s">
        <v>192</v>
      </c>
      <c r="C987" s="1" t="s">
        <v>193</v>
      </c>
      <c r="D987" s="1" t="s">
        <v>85</v>
      </c>
      <c r="E987" s="1" t="s">
        <v>3128</v>
      </c>
      <c r="F987" s="1" t="s">
        <v>1001</v>
      </c>
      <c r="G987" s="1" t="s">
        <v>1002</v>
      </c>
      <c r="H987" s="1">
        <v>5</v>
      </c>
      <c r="I987" s="1">
        <v>4</v>
      </c>
      <c r="J987" s="1" t="s">
        <v>2671</v>
      </c>
      <c r="K987" s="2">
        <v>474.42</v>
      </c>
      <c r="L987" s="1">
        <v>15</v>
      </c>
      <c r="M987" s="2">
        <v>2372.1</v>
      </c>
      <c r="N987" s="2">
        <v>355.81</v>
      </c>
      <c r="O987" s="2">
        <v>2016.29</v>
      </c>
      <c r="P987" s="1">
        <v>230</v>
      </c>
      <c r="Q987" s="2">
        <v>332.09</v>
      </c>
      <c r="R987" s="2">
        <v>355.84</v>
      </c>
      <c r="S987" s="1" t="s">
        <v>1016</v>
      </c>
      <c r="T987" s="1" t="s">
        <v>1007</v>
      </c>
      <c r="U987" s="1" t="s">
        <v>1007</v>
      </c>
    </row>
    <row r="988" spans="1:21" x14ac:dyDescent="0.3">
      <c r="A988" s="1" t="s">
        <v>2002</v>
      </c>
      <c r="B988" s="1" t="s">
        <v>102</v>
      </c>
      <c r="C988" s="1" t="s">
        <v>103</v>
      </c>
      <c r="D988" s="1" t="s">
        <v>104</v>
      </c>
      <c r="E988" s="1" t="s">
        <v>3129</v>
      </c>
      <c r="F988" s="1" t="s">
        <v>1013</v>
      </c>
      <c r="G988" s="1" t="s">
        <v>1002</v>
      </c>
      <c r="H988" s="1">
        <v>10</v>
      </c>
      <c r="I988" s="1">
        <v>4</v>
      </c>
      <c r="J988" s="1" t="s">
        <v>2631</v>
      </c>
      <c r="K988" s="2">
        <v>278.45999999999998</v>
      </c>
      <c r="L988" s="1">
        <v>16</v>
      </c>
      <c r="M988" s="2">
        <v>2784.6</v>
      </c>
      <c r="N988" s="2">
        <v>445.54</v>
      </c>
      <c r="O988" s="2">
        <v>2339.06</v>
      </c>
      <c r="P988" s="1">
        <v>273</v>
      </c>
      <c r="Q988" s="2">
        <v>194.92</v>
      </c>
      <c r="R988" s="2">
        <v>389.86</v>
      </c>
      <c r="S988" s="1" t="s">
        <v>1003</v>
      </c>
      <c r="T988" s="1" t="s">
        <v>1007</v>
      </c>
      <c r="U988" s="1" t="s">
        <v>1004</v>
      </c>
    </row>
    <row r="989" spans="1:21" x14ac:dyDescent="0.3">
      <c r="A989" s="1" t="s">
        <v>2003</v>
      </c>
      <c r="B989" s="1" t="s">
        <v>37</v>
      </c>
      <c r="C989" s="1" t="s">
        <v>38</v>
      </c>
      <c r="D989" s="1" t="s">
        <v>39</v>
      </c>
      <c r="E989" s="1" t="s">
        <v>3130</v>
      </c>
      <c r="F989" s="1" t="s">
        <v>1006</v>
      </c>
      <c r="G989" s="1" t="s">
        <v>1002</v>
      </c>
      <c r="H989" s="1">
        <v>9</v>
      </c>
      <c r="I989" s="1">
        <v>4</v>
      </c>
      <c r="J989" s="1" t="s">
        <v>2523</v>
      </c>
      <c r="K989" s="2">
        <v>67.599999999999994</v>
      </c>
      <c r="L989" s="1">
        <v>24</v>
      </c>
      <c r="M989" s="2">
        <v>608.4</v>
      </c>
      <c r="N989" s="2">
        <v>146.02000000000001</v>
      </c>
      <c r="O989" s="2">
        <v>462.38</v>
      </c>
      <c r="P989" s="1">
        <v>50</v>
      </c>
      <c r="Q989" s="2">
        <v>47.32</v>
      </c>
      <c r="R989" s="2">
        <v>36.5</v>
      </c>
      <c r="S989" s="1" t="s">
        <v>1016</v>
      </c>
      <c r="T989" s="1" t="s">
        <v>1007</v>
      </c>
      <c r="U989" s="1" t="s">
        <v>1004</v>
      </c>
    </row>
    <row r="990" spans="1:21" x14ac:dyDescent="0.3">
      <c r="A990" s="1" t="s">
        <v>2004</v>
      </c>
      <c r="B990" s="1" t="s">
        <v>26</v>
      </c>
      <c r="C990" s="1" t="s">
        <v>27</v>
      </c>
      <c r="D990" s="1" t="s">
        <v>28</v>
      </c>
      <c r="E990" s="1" t="s">
        <v>3131</v>
      </c>
      <c r="F990" s="1" t="s">
        <v>1001</v>
      </c>
      <c r="G990" s="1" t="s">
        <v>1010</v>
      </c>
      <c r="H990" s="1">
        <v>5</v>
      </c>
      <c r="I990" s="1">
        <v>6</v>
      </c>
      <c r="J990" s="1" t="s">
        <v>2756</v>
      </c>
      <c r="K990" s="2">
        <v>221.11</v>
      </c>
      <c r="L990" s="1">
        <v>11</v>
      </c>
      <c r="M990" s="2">
        <v>1105.55</v>
      </c>
      <c r="N990" s="2">
        <v>121.61</v>
      </c>
      <c r="O990" s="2">
        <v>983.94</v>
      </c>
      <c r="P990" s="1">
        <v>266</v>
      </c>
      <c r="Q990" s="2">
        <v>154.78</v>
      </c>
      <c r="R990" s="2">
        <v>210.04</v>
      </c>
      <c r="S990" s="1" t="s">
        <v>1003</v>
      </c>
      <c r="T990" s="1" t="s">
        <v>1004</v>
      </c>
      <c r="U990" s="1" t="s">
        <v>1007</v>
      </c>
    </row>
    <row r="991" spans="1:21" x14ac:dyDescent="0.3">
      <c r="A991" s="1" t="s">
        <v>2005</v>
      </c>
      <c r="B991" s="1" t="s">
        <v>72</v>
      </c>
      <c r="C991" s="1" t="s">
        <v>73</v>
      </c>
      <c r="D991" s="1" t="s">
        <v>47</v>
      </c>
      <c r="E991" s="1" t="s">
        <v>3132</v>
      </c>
      <c r="F991" s="1" t="s">
        <v>1006</v>
      </c>
      <c r="G991" s="1" t="s">
        <v>1010</v>
      </c>
      <c r="H991" s="1">
        <v>7</v>
      </c>
      <c r="I991" s="1">
        <v>6</v>
      </c>
      <c r="J991" s="1" t="s">
        <v>2801</v>
      </c>
      <c r="K991" s="2">
        <v>227.1</v>
      </c>
      <c r="L991" s="1">
        <v>5</v>
      </c>
      <c r="M991" s="2">
        <v>1589.7</v>
      </c>
      <c r="N991" s="2">
        <v>79.489999999999995</v>
      </c>
      <c r="O991" s="2">
        <v>1510.21</v>
      </c>
      <c r="P991" s="1">
        <v>255</v>
      </c>
      <c r="Q991" s="2">
        <v>158.97</v>
      </c>
      <c r="R991" s="2">
        <v>397.42</v>
      </c>
      <c r="S991" s="1" t="s">
        <v>1011</v>
      </c>
      <c r="T991" s="1" t="s">
        <v>1007</v>
      </c>
      <c r="U991" s="1" t="s">
        <v>1007</v>
      </c>
    </row>
    <row r="992" spans="1:21" x14ac:dyDescent="0.3">
      <c r="A992" s="1" t="s">
        <v>2006</v>
      </c>
      <c r="B992" s="1" t="s">
        <v>37</v>
      </c>
      <c r="C992" s="1" t="s">
        <v>38</v>
      </c>
      <c r="D992" s="1" t="s">
        <v>39</v>
      </c>
      <c r="E992" s="1" t="s">
        <v>3133</v>
      </c>
      <c r="F992" s="1" t="s">
        <v>1027</v>
      </c>
      <c r="G992" s="1" t="s">
        <v>1010</v>
      </c>
      <c r="H992" s="1">
        <v>13</v>
      </c>
      <c r="I992" s="1">
        <v>1</v>
      </c>
      <c r="J992" s="1" t="s">
        <v>2786</v>
      </c>
      <c r="K992" s="2">
        <v>430.57</v>
      </c>
      <c r="L992" s="1">
        <v>17</v>
      </c>
      <c r="M992" s="2">
        <v>5597.41</v>
      </c>
      <c r="N992" s="2">
        <v>951.56</v>
      </c>
      <c r="O992" s="2">
        <v>4645.8500000000004</v>
      </c>
      <c r="P992" s="1">
        <v>178</v>
      </c>
      <c r="Q992" s="2">
        <v>301.39999999999998</v>
      </c>
      <c r="R992" s="2">
        <v>727.65</v>
      </c>
      <c r="S992" s="1" t="s">
        <v>1016</v>
      </c>
      <c r="T992" s="1" t="s">
        <v>1007</v>
      </c>
      <c r="U992" s="1" t="s">
        <v>1004</v>
      </c>
    </row>
    <row r="993" spans="1:21" x14ac:dyDescent="0.3">
      <c r="A993" s="1" t="s">
        <v>2007</v>
      </c>
      <c r="B993" s="1" t="s">
        <v>83</v>
      </c>
      <c r="C993" s="1" t="s">
        <v>84</v>
      </c>
      <c r="D993" s="1" t="s">
        <v>85</v>
      </c>
      <c r="E993" s="1" t="s">
        <v>3134</v>
      </c>
      <c r="F993" s="1" t="s">
        <v>1001</v>
      </c>
      <c r="G993" s="1" t="s">
        <v>1002</v>
      </c>
      <c r="H993" s="1">
        <v>10</v>
      </c>
      <c r="I993" s="1">
        <v>4</v>
      </c>
      <c r="J993" s="1" t="s">
        <v>2832</v>
      </c>
      <c r="K993" s="2">
        <v>471.14</v>
      </c>
      <c r="L993" s="1">
        <v>21</v>
      </c>
      <c r="M993" s="2">
        <v>4711.3999999999996</v>
      </c>
      <c r="N993" s="2">
        <v>989.39</v>
      </c>
      <c r="O993" s="2">
        <v>3722.01</v>
      </c>
      <c r="P993" s="1">
        <v>288</v>
      </c>
      <c r="Q993" s="2">
        <v>329.8</v>
      </c>
      <c r="R993" s="2">
        <v>424.01</v>
      </c>
      <c r="S993" s="1" t="s">
        <v>1011</v>
      </c>
      <c r="T993" s="1" t="s">
        <v>1004</v>
      </c>
      <c r="U993" s="1" t="s">
        <v>1007</v>
      </c>
    </row>
    <row r="994" spans="1:21" x14ac:dyDescent="0.3">
      <c r="A994" s="1" t="s">
        <v>2008</v>
      </c>
      <c r="B994" s="1" t="s">
        <v>176</v>
      </c>
      <c r="C994" s="1" t="s">
        <v>177</v>
      </c>
      <c r="D994" s="1" t="s">
        <v>39</v>
      </c>
      <c r="E994" s="1" t="s">
        <v>3135</v>
      </c>
      <c r="F994" s="1" t="s">
        <v>1006</v>
      </c>
      <c r="G994" s="1" t="s">
        <v>1023</v>
      </c>
      <c r="H994" s="1">
        <v>7</v>
      </c>
      <c r="I994" s="1">
        <v>5</v>
      </c>
      <c r="J994" s="1" t="s">
        <v>2593</v>
      </c>
      <c r="K994" s="2">
        <v>133.36000000000001</v>
      </c>
      <c r="L994" s="1">
        <v>0</v>
      </c>
      <c r="M994" s="2">
        <v>933.52</v>
      </c>
      <c r="N994" s="2">
        <v>0</v>
      </c>
      <c r="O994" s="2">
        <v>933.52</v>
      </c>
      <c r="P994" s="1">
        <v>74</v>
      </c>
      <c r="Q994" s="2">
        <v>93.35</v>
      </c>
      <c r="R994" s="2">
        <v>280.07</v>
      </c>
      <c r="S994" s="1" t="s">
        <v>1003</v>
      </c>
      <c r="T994" s="1" t="s">
        <v>1007</v>
      </c>
      <c r="U994" s="1" t="s">
        <v>1004</v>
      </c>
    </row>
    <row r="995" spans="1:21" x14ac:dyDescent="0.3">
      <c r="A995" s="1" t="s">
        <v>2009</v>
      </c>
      <c r="B995" s="1" t="s">
        <v>57</v>
      </c>
      <c r="C995" s="1" t="s">
        <v>58</v>
      </c>
      <c r="D995" s="1" t="s">
        <v>59</v>
      </c>
      <c r="E995" s="1" t="s">
        <v>3136</v>
      </c>
      <c r="F995" s="1" t="s">
        <v>1009</v>
      </c>
      <c r="G995" s="1" t="s">
        <v>1023</v>
      </c>
      <c r="H995" s="1">
        <v>3</v>
      </c>
      <c r="I995" s="1">
        <v>2</v>
      </c>
      <c r="J995" s="1" t="s">
        <v>2632</v>
      </c>
      <c r="K995" s="2">
        <v>140.72999999999999</v>
      </c>
      <c r="L995" s="1">
        <v>12</v>
      </c>
      <c r="M995" s="2">
        <v>422.19</v>
      </c>
      <c r="N995" s="2">
        <v>50.66</v>
      </c>
      <c r="O995" s="2">
        <v>371.53</v>
      </c>
      <c r="P995" s="1">
        <v>115</v>
      </c>
      <c r="Q995" s="2">
        <v>98.51</v>
      </c>
      <c r="R995" s="2">
        <v>76</v>
      </c>
      <c r="S995" s="1" t="s">
        <v>1016</v>
      </c>
      <c r="T995" s="1" t="s">
        <v>1007</v>
      </c>
      <c r="U995" s="1" t="s">
        <v>1007</v>
      </c>
    </row>
    <row r="996" spans="1:21" x14ac:dyDescent="0.3">
      <c r="A996" s="1" t="s">
        <v>2010</v>
      </c>
      <c r="B996" s="1" t="s">
        <v>63</v>
      </c>
      <c r="C996" s="1" t="s">
        <v>64</v>
      </c>
      <c r="D996" s="1" t="s">
        <v>28</v>
      </c>
      <c r="E996" s="1" t="s">
        <v>3137</v>
      </c>
      <c r="F996" s="1" t="s">
        <v>1001</v>
      </c>
      <c r="G996" s="1" t="s">
        <v>1002</v>
      </c>
      <c r="H996" s="1">
        <v>2</v>
      </c>
      <c r="I996" s="1">
        <v>7</v>
      </c>
      <c r="J996" s="1" t="s">
        <v>2580</v>
      </c>
      <c r="K996" s="2">
        <v>63.73</v>
      </c>
      <c r="L996" s="1">
        <v>16</v>
      </c>
      <c r="M996" s="2">
        <v>127.46</v>
      </c>
      <c r="N996" s="2">
        <v>20.39</v>
      </c>
      <c r="O996" s="2">
        <v>107.07</v>
      </c>
      <c r="P996" s="1">
        <v>98</v>
      </c>
      <c r="Q996" s="2">
        <v>44.61</v>
      </c>
      <c r="R996" s="2">
        <v>17.850000000000001</v>
      </c>
      <c r="S996" s="1" t="s">
        <v>1003</v>
      </c>
      <c r="T996" s="1" t="s">
        <v>1004</v>
      </c>
      <c r="U996" s="1" t="s">
        <v>1004</v>
      </c>
    </row>
    <row r="997" spans="1:21" x14ac:dyDescent="0.3">
      <c r="A997" s="1" t="s">
        <v>2011</v>
      </c>
      <c r="B997" s="1" t="s">
        <v>57</v>
      </c>
      <c r="C997" s="1" t="s">
        <v>58</v>
      </c>
      <c r="D997" s="1" t="s">
        <v>59</v>
      </c>
      <c r="E997" s="1" t="s">
        <v>3138</v>
      </c>
      <c r="F997" s="1" t="s">
        <v>1013</v>
      </c>
      <c r="G997" s="1" t="s">
        <v>1023</v>
      </c>
      <c r="H997" s="1">
        <v>11</v>
      </c>
      <c r="I997" s="1">
        <v>4</v>
      </c>
      <c r="J997" s="1" t="s">
        <v>2812</v>
      </c>
      <c r="K997" s="2">
        <v>493.61</v>
      </c>
      <c r="L997" s="1">
        <v>4</v>
      </c>
      <c r="M997" s="2">
        <v>5429.71</v>
      </c>
      <c r="N997" s="2">
        <v>217.19</v>
      </c>
      <c r="O997" s="2">
        <v>5212.5200000000004</v>
      </c>
      <c r="P997" s="1">
        <v>161</v>
      </c>
      <c r="Q997" s="2">
        <v>345.53</v>
      </c>
      <c r="R997" s="2">
        <v>1411.69</v>
      </c>
      <c r="S997" s="1" t="s">
        <v>1016</v>
      </c>
      <c r="T997" s="1" t="s">
        <v>1004</v>
      </c>
      <c r="U997" s="1" t="s">
        <v>1007</v>
      </c>
    </row>
    <row r="998" spans="1:21" x14ac:dyDescent="0.3">
      <c r="A998" s="1" t="s">
        <v>2012</v>
      </c>
      <c r="B998" s="1" t="s">
        <v>45</v>
      </c>
      <c r="C998" s="1" t="s">
        <v>46</v>
      </c>
      <c r="D998" s="1" t="s">
        <v>47</v>
      </c>
      <c r="E998" s="1" t="s">
        <v>3139</v>
      </c>
      <c r="F998" s="1" t="s">
        <v>1013</v>
      </c>
      <c r="G998" s="1" t="s">
        <v>1010</v>
      </c>
      <c r="H998" s="1">
        <v>15</v>
      </c>
      <c r="I998" s="1">
        <v>2</v>
      </c>
      <c r="J998" s="1" t="s">
        <v>2561</v>
      </c>
      <c r="K998" s="2">
        <v>291.72000000000003</v>
      </c>
      <c r="L998" s="1">
        <v>1</v>
      </c>
      <c r="M998" s="2">
        <v>4375.8</v>
      </c>
      <c r="N998" s="2">
        <v>43.76</v>
      </c>
      <c r="O998" s="2">
        <v>4332.04</v>
      </c>
      <c r="P998" s="1">
        <v>224</v>
      </c>
      <c r="Q998" s="2">
        <v>204.2</v>
      </c>
      <c r="R998" s="2">
        <v>1269.04</v>
      </c>
      <c r="S998" s="1" t="s">
        <v>1016</v>
      </c>
      <c r="T998" s="1" t="s">
        <v>1004</v>
      </c>
      <c r="U998" s="1" t="s">
        <v>1007</v>
      </c>
    </row>
    <row r="999" spans="1:21" x14ac:dyDescent="0.3">
      <c r="A999" s="1" t="s">
        <v>2013</v>
      </c>
      <c r="B999" s="1" t="s">
        <v>57</v>
      </c>
      <c r="C999" s="1" t="s">
        <v>58</v>
      </c>
      <c r="D999" s="1" t="s">
        <v>59</v>
      </c>
      <c r="E999" s="1" t="s">
        <v>3140</v>
      </c>
      <c r="F999" s="1" t="s">
        <v>1015</v>
      </c>
      <c r="G999" s="1" t="s">
        <v>1010</v>
      </c>
      <c r="H999" s="1">
        <v>1</v>
      </c>
      <c r="I999" s="1">
        <v>3</v>
      </c>
      <c r="J999" s="1" t="s">
        <v>2754</v>
      </c>
      <c r="K999" s="2">
        <v>320.70999999999998</v>
      </c>
      <c r="L999" s="1">
        <v>9</v>
      </c>
      <c r="M999" s="2">
        <v>320.70999999999998</v>
      </c>
      <c r="N999" s="2">
        <v>28.86</v>
      </c>
      <c r="O999" s="2">
        <v>291.85000000000002</v>
      </c>
      <c r="P999" s="1">
        <v>275</v>
      </c>
      <c r="Q999" s="2">
        <v>224.5</v>
      </c>
      <c r="R999" s="2">
        <v>67.349999999999994</v>
      </c>
      <c r="S999" s="1" t="s">
        <v>1003</v>
      </c>
      <c r="T999" s="1" t="s">
        <v>1007</v>
      </c>
      <c r="U999" s="1" t="s">
        <v>1004</v>
      </c>
    </row>
    <row r="1000" spans="1:21" x14ac:dyDescent="0.3">
      <c r="A1000" s="1" t="s">
        <v>2014</v>
      </c>
      <c r="B1000" s="1" t="s">
        <v>189</v>
      </c>
      <c r="C1000" s="1" t="s">
        <v>190</v>
      </c>
      <c r="D1000" s="1" t="s">
        <v>59</v>
      </c>
      <c r="E1000" s="1" t="s">
        <v>3141</v>
      </c>
      <c r="F1000" s="1" t="s">
        <v>1020</v>
      </c>
      <c r="G1000" s="1" t="s">
        <v>1002</v>
      </c>
      <c r="H1000" s="1">
        <v>4</v>
      </c>
      <c r="I1000" s="1">
        <v>3</v>
      </c>
      <c r="J1000" s="1" t="s">
        <v>2749</v>
      </c>
      <c r="K1000" s="2">
        <v>278.01</v>
      </c>
      <c r="L1000" s="1">
        <v>3</v>
      </c>
      <c r="M1000" s="2">
        <v>1112.04</v>
      </c>
      <c r="N1000" s="2">
        <v>33.36</v>
      </c>
      <c r="O1000" s="2">
        <v>1078.68</v>
      </c>
      <c r="P1000" s="1">
        <v>229</v>
      </c>
      <c r="Q1000" s="2">
        <v>194.61</v>
      </c>
      <c r="R1000" s="2">
        <v>300.24</v>
      </c>
      <c r="S1000" s="1" t="s">
        <v>1016</v>
      </c>
      <c r="T1000" s="1" t="s">
        <v>1007</v>
      </c>
      <c r="U1000" s="1" t="s">
        <v>1004</v>
      </c>
    </row>
    <row r="1001" spans="1:21" x14ac:dyDescent="0.3">
      <c r="A1001" s="1" t="s">
        <v>2015</v>
      </c>
      <c r="B1001" s="1" t="s">
        <v>107</v>
      </c>
      <c r="C1001" s="1" t="s">
        <v>108</v>
      </c>
      <c r="D1001" s="1" t="s">
        <v>39</v>
      </c>
      <c r="E1001" s="1" t="s">
        <v>3142</v>
      </c>
      <c r="F1001" s="1" t="s">
        <v>1013</v>
      </c>
      <c r="G1001" s="1" t="s">
        <v>1002</v>
      </c>
      <c r="H1001" s="1">
        <v>12</v>
      </c>
      <c r="I1001" s="1">
        <v>1</v>
      </c>
      <c r="J1001" s="1" t="s">
        <v>2598</v>
      </c>
      <c r="K1001" s="2">
        <v>216.43</v>
      </c>
      <c r="L1001" s="1">
        <v>11</v>
      </c>
      <c r="M1001" s="2">
        <v>2597.16</v>
      </c>
      <c r="N1001" s="2">
        <v>285.69</v>
      </c>
      <c r="O1001" s="2">
        <v>2311.4699999999998</v>
      </c>
      <c r="P1001" s="1">
        <v>232</v>
      </c>
      <c r="Q1001" s="2">
        <v>151.5</v>
      </c>
      <c r="R1001" s="2">
        <v>493.47</v>
      </c>
      <c r="S1001" s="1" t="s">
        <v>1003</v>
      </c>
      <c r="T1001" s="1" t="s">
        <v>1007</v>
      </c>
      <c r="U1001" s="1" t="s">
        <v>1007</v>
      </c>
    </row>
    <row r="1002" spans="1:21" x14ac:dyDescent="0.3">
      <c r="A1002" s="1" t="s">
        <v>2016</v>
      </c>
      <c r="B1002" s="1" t="s">
        <v>77</v>
      </c>
      <c r="C1002" s="1" t="s">
        <v>78</v>
      </c>
      <c r="D1002" s="1" t="s">
        <v>47</v>
      </c>
      <c r="E1002" s="1" t="s">
        <v>3143</v>
      </c>
      <c r="F1002" s="1" t="s">
        <v>1009</v>
      </c>
      <c r="G1002" s="1" t="s">
        <v>1023</v>
      </c>
      <c r="H1002" s="1">
        <v>8</v>
      </c>
      <c r="I1002" s="1">
        <v>4</v>
      </c>
      <c r="J1002" s="1" t="s">
        <v>2770</v>
      </c>
      <c r="K1002" s="2">
        <v>264.12</v>
      </c>
      <c r="L1002" s="1">
        <v>19</v>
      </c>
      <c r="M1002" s="2">
        <v>2112.96</v>
      </c>
      <c r="N1002" s="2">
        <v>401.46</v>
      </c>
      <c r="O1002" s="2">
        <v>1711.5</v>
      </c>
      <c r="P1002" s="1">
        <v>52</v>
      </c>
      <c r="Q1002" s="2">
        <v>184.88</v>
      </c>
      <c r="R1002" s="2">
        <v>232.46</v>
      </c>
      <c r="S1002" s="1" t="s">
        <v>1003</v>
      </c>
      <c r="T1002" s="1" t="s">
        <v>1007</v>
      </c>
      <c r="U1002" s="1" t="s">
        <v>1007</v>
      </c>
    </row>
    <row r="1003" spans="1:21" x14ac:dyDescent="0.3">
      <c r="A1003" s="1" t="s">
        <v>2017</v>
      </c>
      <c r="B1003" s="1" t="s">
        <v>69</v>
      </c>
      <c r="C1003" s="1" t="s">
        <v>70</v>
      </c>
      <c r="D1003" s="1" t="s">
        <v>59</v>
      </c>
      <c r="E1003" s="1" t="s">
        <v>3144</v>
      </c>
      <c r="F1003" s="1" t="s">
        <v>1013</v>
      </c>
      <c r="G1003" s="1" t="s">
        <v>1010</v>
      </c>
      <c r="H1003" s="1">
        <v>11</v>
      </c>
      <c r="I1003" s="1">
        <v>3</v>
      </c>
      <c r="J1003" s="1" t="s">
        <v>2727</v>
      </c>
      <c r="K1003" s="2">
        <v>461.92</v>
      </c>
      <c r="L1003" s="1">
        <v>5</v>
      </c>
      <c r="M1003" s="2">
        <v>5081.12</v>
      </c>
      <c r="N1003" s="2">
        <v>254.06</v>
      </c>
      <c r="O1003" s="2">
        <v>4827.0600000000004</v>
      </c>
      <c r="P1003" s="1">
        <v>100</v>
      </c>
      <c r="Q1003" s="2">
        <v>323.33999999999997</v>
      </c>
      <c r="R1003" s="2">
        <v>1270.32</v>
      </c>
      <c r="S1003" s="1" t="s">
        <v>1011</v>
      </c>
      <c r="T1003" s="1" t="s">
        <v>1004</v>
      </c>
      <c r="U1003" s="1" t="s">
        <v>1007</v>
      </c>
    </row>
    <row r="1004" spans="1:21" x14ac:dyDescent="0.3">
      <c r="A1004" s="1" t="s">
        <v>2018</v>
      </c>
      <c r="B1004" s="1" t="s">
        <v>63</v>
      </c>
      <c r="C1004" s="1" t="s">
        <v>64</v>
      </c>
      <c r="D1004" s="1" t="s">
        <v>28</v>
      </c>
      <c r="E1004" s="1" t="s">
        <v>3145</v>
      </c>
      <c r="F1004" s="1" t="s">
        <v>1009</v>
      </c>
      <c r="G1004" s="1" t="s">
        <v>1023</v>
      </c>
      <c r="H1004" s="1">
        <v>6</v>
      </c>
      <c r="I1004" s="1">
        <v>4</v>
      </c>
      <c r="J1004" s="1" t="s">
        <v>2750</v>
      </c>
      <c r="K1004" s="2">
        <v>372.02</v>
      </c>
      <c r="L1004" s="1">
        <v>10</v>
      </c>
      <c r="M1004" s="2">
        <v>2232.12</v>
      </c>
      <c r="N1004" s="2">
        <v>223.21</v>
      </c>
      <c r="O1004" s="2">
        <v>2008.91</v>
      </c>
      <c r="P1004" s="1">
        <v>218</v>
      </c>
      <c r="Q1004" s="2">
        <v>260.41000000000003</v>
      </c>
      <c r="R1004" s="2">
        <v>446.45</v>
      </c>
      <c r="S1004" s="1" t="s">
        <v>1016</v>
      </c>
      <c r="T1004" s="1" t="s">
        <v>1007</v>
      </c>
      <c r="U1004" s="1" t="s">
        <v>1004</v>
      </c>
    </row>
    <row r="1005" spans="1:21" x14ac:dyDescent="0.3">
      <c r="A1005" s="1" t="s">
        <v>2019</v>
      </c>
      <c r="B1005" s="1" t="s">
        <v>166</v>
      </c>
      <c r="C1005" s="1" t="s">
        <v>167</v>
      </c>
      <c r="D1005" s="1" t="s">
        <v>59</v>
      </c>
      <c r="E1005" s="1" t="s">
        <v>3146</v>
      </c>
      <c r="F1005" s="1" t="s">
        <v>1015</v>
      </c>
      <c r="G1005" s="1" t="s">
        <v>1023</v>
      </c>
      <c r="H1005" s="1">
        <v>5</v>
      </c>
      <c r="I1005" s="1">
        <v>5</v>
      </c>
      <c r="J1005" s="1" t="s">
        <v>2885</v>
      </c>
      <c r="K1005" s="2">
        <v>281.75</v>
      </c>
      <c r="L1005" s="1">
        <v>17</v>
      </c>
      <c r="M1005" s="2">
        <v>1408.75</v>
      </c>
      <c r="N1005" s="2">
        <v>239.49</v>
      </c>
      <c r="O1005" s="2">
        <v>1169.26</v>
      </c>
      <c r="P1005" s="1">
        <v>185</v>
      </c>
      <c r="Q1005" s="2">
        <v>197.22</v>
      </c>
      <c r="R1005" s="2">
        <v>183.16</v>
      </c>
      <c r="S1005" s="1" t="s">
        <v>1016</v>
      </c>
      <c r="T1005" s="1" t="s">
        <v>1004</v>
      </c>
      <c r="U1005" s="1" t="s">
        <v>1004</v>
      </c>
    </row>
    <row r="1006" spans="1:21" x14ac:dyDescent="0.3">
      <c r="A1006" s="1" t="s">
        <v>2020</v>
      </c>
      <c r="B1006" s="1" t="s">
        <v>95</v>
      </c>
      <c r="C1006" s="1" t="s">
        <v>96</v>
      </c>
      <c r="D1006" s="1" t="s">
        <v>97</v>
      </c>
      <c r="E1006" s="1" t="s">
        <v>3147</v>
      </c>
      <c r="F1006" s="1" t="s">
        <v>1009</v>
      </c>
      <c r="G1006" s="1" t="s">
        <v>1002</v>
      </c>
      <c r="H1006" s="1">
        <v>15</v>
      </c>
      <c r="I1006" s="1">
        <v>2</v>
      </c>
      <c r="J1006" s="1" t="s">
        <v>2741</v>
      </c>
      <c r="K1006" s="2">
        <v>93.09</v>
      </c>
      <c r="L1006" s="1">
        <v>7</v>
      </c>
      <c r="M1006" s="2">
        <v>1396.35</v>
      </c>
      <c r="N1006" s="2">
        <v>97.74</v>
      </c>
      <c r="O1006" s="2">
        <v>1298.6099999999999</v>
      </c>
      <c r="P1006" s="1">
        <v>289</v>
      </c>
      <c r="Q1006" s="2">
        <v>65.16</v>
      </c>
      <c r="R1006" s="2">
        <v>321.20999999999998</v>
      </c>
      <c r="S1006" s="1" t="s">
        <v>1016</v>
      </c>
      <c r="T1006" s="1" t="s">
        <v>1007</v>
      </c>
      <c r="U1006" s="1" t="s">
        <v>1004</v>
      </c>
    </row>
    <row r="1007" spans="1:21" x14ac:dyDescent="0.3">
      <c r="A1007" s="1" t="s">
        <v>2021</v>
      </c>
      <c r="B1007" s="1" t="s">
        <v>130</v>
      </c>
      <c r="C1007" s="1" t="s">
        <v>131</v>
      </c>
      <c r="D1007" s="1" t="s">
        <v>132</v>
      </c>
      <c r="E1007" s="1" t="s">
        <v>3148</v>
      </c>
      <c r="F1007" s="1" t="s">
        <v>1020</v>
      </c>
      <c r="G1007" s="1" t="s">
        <v>1023</v>
      </c>
      <c r="H1007" s="1">
        <v>15</v>
      </c>
      <c r="I1007" s="1">
        <v>6</v>
      </c>
      <c r="J1007" s="1" t="s">
        <v>2731</v>
      </c>
      <c r="K1007" s="2">
        <v>181.48</v>
      </c>
      <c r="L1007" s="1">
        <v>4</v>
      </c>
      <c r="M1007" s="2">
        <v>2722.2</v>
      </c>
      <c r="N1007" s="2">
        <v>108.89</v>
      </c>
      <c r="O1007" s="2">
        <v>2613.31</v>
      </c>
      <c r="P1007" s="1">
        <v>85</v>
      </c>
      <c r="Q1007" s="2">
        <v>127.04</v>
      </c>
      <c r="R1007" s="2">
        <v>707.71</v>
      </c>
      <c r="S1007" s="1" t="s">
        <v>1003</v>
      </c>
      <c r="T1007" s="1" t="s">
        <v>1004</v>
      </c>
      <c r="U1007" s="1" t="s">
        <v>1004</v>
      </c>
    </row>
    <row r="1008" spans="1:21" x14ac:dyDescent="0.3">
      <c r="A1008" s="1" t="s">
        <v>2022</v>
      </c>
      <c r="B1008" s="1" t="s">
        <v>77</v>
      </c>
      <c r="C1008" s="1" t="s">
        <v>78</v>
      </c>
      <c r="D1008" s="1" t="s">
        <v>47</v>
      </c>
      <c r="E1008" s="1" t="s">
        <v>3149</v>
      </c>
      <c r="F1008" s="1" t="s">
        <v>1006</v>
      </c>
      <c r="G1008" s="1" t="s">
        <v>1023</v>
      </c>
      <c r="H1008" s="1">
        <v>4</v>
      </c>
      <c r="I1008" s="1">
        <v>7</v>
      </c>
      <c r="J1008" s="1" t="s">
        <v>2837</v>
      </c>
      <c r="K1008" s="2">
        <v>414.43</v>
      </c>
      <c r="L1008" s="1">
        <v>7</v>
      </c>
      <c r="M1008" s="2">
        <v>1657.72</v>
      </c>
      <c r="N1008" s="2">
        <v>116.04</v>
      </c>
      <c r="O1008" s="2">
        <v>1541.68</v>
      </c>
      <c r="P1008" s="1">
        <v>147</v>
      </c>
      <c r="Q1008" s="2">
        <v>290.10000000000002</v>
      </c>
      <c r="R1008" s="2">
        <v>381.28</v>
      </c>
      <c r="S1008" s="1" t="s">
        <v>1016</v>
      </c>
      <c r="T1008" s="1" t="s">
        <v>1007</v>
      </c>
      <c r="U1008" s="1" t="s">
        <v>1004</v>
      </c>
    </row>
    <row r="1009" spans="1:21" x14ac:dyDescent="0.3">
      <c r="A1009" s="1" t="s">
        <v>2023</v>
      </c>
      <c r="B1009" s="1" t="s">
        <v>95</v>
      </c>
      <c r="C1009" s="1" t="s">
        <v>96</v>
      </c>
      <c r="D1009" s="1" t="s">
        <v>97</v>
      </c>
      <c r="E1009" s="1" t="s">
        <v>3150</v>
      </c>
      <c r="F1009" s="1" t="s">
        <v>1001</v>
      </c>
      <c r="G1009" s="1" t="s">
        <v>1023</v>
      </c>
      <c r="H1009" s="1">
        <v>1</v>
      </c>
      <c r="I1009" s="1">
        <v>4</v>
      </c>
      <c r="J1009" s="1" t="s">
        <v>2525</v>
      </c>
      <c r="K1009" s="2">
        <v>262.89</v>
      </c>
      <c r="L1009" s="1">
        <v>4</v>
      </c>
      <c r="M1009" s="2">
        <v>262.89</v>
      </c>
      <c r="N1009" s="2">
        <v>10.52</v>
      </c>
      <c r="O1009" s="2">
        <v>252.37</v>
      </c>
      <c r="P1009" s="1">
        <v>174</v>
      </c>
      <c r="Q1009" s="2">
        <v>184.02</v>
      </c>
      <c r="R1009" s="2">
        <v>68.349999999999994</v>
      </c>
      <c r="S1009" s="1" t="s">
        <v>1003</v>
      </c>
      <c r="T1009" s="1" t="s">
        <v>1007</v>
      </c>
      <c r="U1009" s="1" t="s">
        <v>1007</v>
      </c>
    </row>
    <row r="1010" spans="1:21" x14ac:dyDescent="0.3">
      <c r="A1010" s="1" t="s">
        <v>2024</v>
      </c>
      <c r="B1010" s="1" t="s">
        <v>192</v>
      </c>
      <c r="C1010" s="1" t="s">
        <v>193</v>
      </c>
      <c r="D1010" s="1" t="s">
        <v>85</v>
      </c>
      <c r="E1010" s="1" t="s">
        <v>3151</v>
      </c>
      <c r="F1010" s="1" t="s">
        <v>1006</v>
      </c>
      <c r="G1010" s="1" t="s">
        <v>1010</v>
      </c>
      <c r="H1010" s="1">
        <v>9</v>
      </c>
      <c r="I1010" s="1">
        <v>6</v>
      </c>
      <c r="J1010" s="1" t="s">
        <v>2706</v>
      </c>
      <c r="K1010" s="2">
        <v>445.8</v>
      </c>
      <c r="L1010" s="1">
        <v>3</v>
      </c>
      <c r="M1010" s="2">
        <v>4012.2</v>
      </c>
      <c r="N1010" s="2">
        <v>120.37</v>
      </c>
      <c r="O1010" s="2">
        <v>3891.83</v>
      </c>
      <c r="P1010" s="1">
        <v>177</v>
      </c>
      <c r="Q1010" s="2">
        <v>312.06</v>
      </c>
      <c r="R1010" s="2">
        <v>1083.29</v>
      </c>
      <c r="S1010" s="1" t="s">
        <v>1016</v>
      </c>
      <c r="T1010" s="1" t="s">
        <v>1007</v>
      </c>
      <c r="U1010" s="1" t="s">
        <v>1004</v>
      </c>
    </row>
    <row r="1011" spans="1:21" x14ac:dyDescent="0.3">
      <c r="A1011" s="1" t="s">
        <v>2025</v>
      </c>
      <c r="B1011" s="1" t="s">
        <v>123</v>
      </c>
      <c r="C1011" s="1" t="s">
        <v>124</v>
      </c>
      <c r="D1011" s="1" t="s">
        <v>47</v>
      </c>
      <c r="E1011" s="1" t="s">
        <v>3152</v>
      </c>
      <c r="F1011" s="1" t="s">
        <v>1027</v>
      </c>
      <c r="G1011" s="1" t="s">
        <v>1002</v>
      </c>
      <c r="H1011" s="1">
        <v>9</v>
      </c>
      <c r="I1011" s="1">
        <v>2</v>
      </c>
      <c r="J1011" s="1" t="s">
        <v>2620</v>
      </c>
      <c r="K1011" s="2">
        <v>188.75</v>
      </c>
      <c r="L1011" s="1">
        <v>13</v>
      </c>
      <c r="M1011" s="2">
        <v>1698.75</v>
      </c>
      <c r="N1011" s="2">
        <v>220.84</v>
      </c>
      <c r="O1011" s="2">
        <v>1477.91</v>
      </c>
      <c r="P1011" s="1">
        <v>257</v>
      </c>
      <c r="Q1011" s="2">
        <v>132.12</v>
      </c>
      <c r="R1011" s="2">
        <v>288.83</v>
      </c>
      <c r="S1011" s="1" t="s">
        <v>1003</v>
      </c>
      <c r="T1011" s="1" t="s">
        <v>1007</v>
      </c>
      <c r="U1011" s="1" t="s">
        <v>1004</v>
      </c>
    </row>
    <row r="1012" spans="1:21" x14ac:dyDescent="0.3">
      <c r="A1012" s="1" t="s">
        <v>2026</v>
      </c>
      <c r="B1012" s="1" t="s">
        <v>52</v>
      </c>
      <c r="C1012" s="1" t="s">
        <v>53</v>
      </c>
      <c r="D1012" s="1" t="s">
        <v>47</v>
      </c>
      <c r="E1012" s="1" t="s">
        <v>3153</v>
      </c>
      <c r="F1012" s="1" t="s">
        <v>1009</v>
      </c>
      <c r="G1012" s="1" t="s">
        <v>1010</v>
      </c>
      <c r="H1012" s="1">
        <v>11</v>
      </c>
      <c r="I1012" s="1">
        <v>6</v>
      </c>
      <c r="J1012" s="1" t="s">
        <v>2828</v>
      </c>
      <c r="K1012" s="2">
        <v>136.78</v>
      </c>
      <c r="L1012" s="1">
        <v>10</v>
      </c>
      <c r="M1012" s="2">
        <v>1504.58</v>
      </c>
      <c r="N1012" s="2">
        <v>150.46</v>
      </c>
      <c r="O1012" s="2">
        <v>1354.12</v>
      </c>
      <c r="P1012" s="1">
        <v>248</v>
      </c>
      <c r="Q1012" s="2">
        <v>95.75</v>
      </c>
      <c r="R1012" s="2">
        <v>300.87</v>
      </c>
      <c r="S1012" s="1" t="s">
        <v>1016</v>
      </c>
      <c r="T1012" s="1" t="s">
        <v>1004</v>
      </c>
      <c r="U1012" s="1" t="s">
        <v>1007</v>
      </c>
    </row>
    <row r="1013" spans="1:21" x14ac:dyDescent="0.3">
      <c r="A1013" s="1" t="s">
        <v>2027</v>
      </c>
      <c r="B1013" s="1" t="s">
        <v>72</v>
      </c>
      <c r="C1013" s="1" t="s">
        <v>73</v>
      </c>
      <c r="D1013" s="1" t="s">
        <v>47</v>
      </c>
      <c r="E1013" s="1" t="s">
        <v>3154</v>
      </c>
      <c r="F1013" s="1" t="s">
        <v>1015</v>
      </c>
      <c r="G1013" s="1" t="s">
        <v>1002</v>
      </c>
      <c r="H1013" s="1">
        <v>3</v>
      </c>
      <c r="I1013" s="1">
        <v>2</v>
      </c>
      <c r="J1013" s="1" t="s">
        <v>2538</v>
      </c>
      <c r="K1013" s="2">
        <v>66.19</v>
      </c>
      <c r="L1013" s="1">
        <v>4</v>
      </c>
      <c r="M1013" s="2">
        <v>198.57</v>
      </c>
      <c r="N1013" s="2">
        <v>7.94</v>
      </c>
      <c r="O1013" s="2">
        <v>190.63</v>
      </c>
      <c r="P1013" s="1">
        <v>196</v>
      </c>
      <c r="Q1013" s="2">
        <v>46.33</v>
      </c>
      <c r="R1013" s="2">
        <v>51.64</v>
      </c>
      <c r="S1013" s="1" t="s">
        <v>1016</v>
      </c>
      <c r="T1013" s="1" t="s">
        <v>1007</v>
      </c>
      <c r="U1013" s="1" t="s">
        <v>1004</v>
      </c>
    </row>
    <row r="1014" spans="1:21" x14ac:dyDescent="0.3">
      <c r="A1014" s="1" t="s">
        <v>2028</v>
      </c>
      <c r="B1014" s="1" t="s">
        <v>63</v>
      </c>
      <c r="C1014" s="1" t="s">
        <v>64</v>
      </c>
      <c r="D1014" s="1" t="s">
        <v>28</v>
      </c>
      <c r="E1014" s="1" t="s">
        <v>3155</v>
      </c>
      <c r="F1014" s="1" t="s">
        <v>1006</v>
      </c>
      <c r="G1014" s="1" t="s">
        <v>1023</v>
      </c>
      <c r="H1014" s="1">
        <v>1</v>
      </c>
      <c r="I1014" s="1">
        <v>4</v>
      </c>
      <c r="J1014" s="1" t="s">
        <v>2548</v>
      </c>
      <c r="K1014" s="2">
        <v>65.37</v>
      </c>
      <c r="L1014" s="1">
        <v>11</v>
      </c>
      <c r="M1014" s="2">
        <v>65.37</v>
      </c>
      <c r="N1014" s="2">
        <v>7.19</v>
      </c>
      <c r="O1014" s="2">
        <v>58.18</v>
      </c>
      <c r="P1014" s="1">
        <v>264</v>
      </c>
      <c r="Q1014" s="2">
        <v>45.76</v>
      </c>
      <c r="R1014" s="2">
        <v>12.42</v>
      </c>
      <c r="S1014" s="1" t="s">
        <v>1016</v>
      </c>
      <c r="T1014" s="1" t="s">
        <v>1004</v>
      </c>
      <c r="U1014" s="1" t="s">
        <v>1004</v>
      </c>
    </row>
    <row r="1015" spans="1:21" x14ac:dyDescent="0.3">
      <c r="A1015" s="1" t="s">
        <v>2029</v>
      </c>
      <c r="B1015" s="1" t="s">
        <v>26</v>
      </c>
      <c r="C1015" s="1" t="s">
        <v>27</v>
      </c>
      <c r="D1015" s="1" t="s">
        <v>28</v>
      </c>
      <c r="E1015" s="1" t="s">
        <v>3156</v>
      </c>
      <c r="F1015" s="1" t="s">
        <v>1027</v>
      </c>
      <c r="G1015" s="1" t="s">
        <v>1002</v>
      </c>
      <c r="H1015" s="1">
        <v>8</v>
      </c>
      <c r="I1015" s="1">
        <v>7</v>
      </c>
      <c r="J1015" s="1" t="s">
        <v>2622</v>
      </c>
      <c r="K1015" s="2">
        <v>443.93</v>
      </c>
      <c r="L1015" s="1">
        <v>4</v>
      </c>
      <c r="M1015" s="2">
        <v>3551.44</v>
      </c>
      <c r="N1015" s="2">
        <v>142.06</v>
      </c>
      <c r="O1015" s="2">
        <v>3409.38</v>
      </c>
      <c r="P1015" s="1">
        <v>113</v>
      </c>
      <c r="Q1015" s="2">
        <v>310.75</v>
      </c>
      <c r="R1015" s="2">
        <v>923.38</v>
      </c>
      <c r="S1015" s="1" t="s">
        <v>1003</v>
      </c>
      <c r="T1015" s="1" t="s">
        <v>1007</v>
      </c>
      <c r="U1015" s="1" t="s">
        <v>1007</v>
      </c>
    </row>
    <row r="1016" spans="1:21" x14ac:dyDescent="0.3">
      <c r="A1016" s="1" t="s">
        <v>2030</v>
      </c>
      <c r="B1016" s="1" t="s">
        <v>72</v>
      </c>
      <c r="C1016" s="1" t="s">
        <v>73</v>
      </c>
      <c r="D1016" s="1" t="s">
        <v>47</v>
      </c>
      <c r="E1016" s="1" t="s">
        <v>3157</v>
      </c>
      <c r="F1016" s="1" t="s">
        <v>1009</v>
      </c>
      <c r="G1016" s="1" t="s">
        <v>1010</v>
      </c>
      <c r="H1016" s="1">
        <v>4</v>
      </c>
      <c r="I1016" s="1">
        <v>3</v>
      </c>
      <c r="J1016" s="1" t="s">
        <v>2666</v>
      </c>
      <c r="K1016" s="2">
        <v>468.36</v>
      </c>
      <c r="L1016" s="1">
        <v>16</v>
      </c>
      <c r="M1016" s="2">
        <v>1873.44</v>
      </c>
      <c r="N1016" s="2">
        <v>299.75</v>
      </c>
      <c r="O1016" s="2">
        <v>1573.69</v>
      </c>
      <c r="P1016" s="1">
        <v>183</v>
      </c>
      <c r="Q1016" s="2">
        <v>327.85</v>
      </c>
      <c r="R1016" s="2">
        <v>262.29000000000002</v>
      </c>
      <c r="S1016" s="1" t="s">
        <v>1003</v>
      </c>
      <c r="T1016" s="1" t="s">
        <v>1007</v>
      </c>
      <c r="U1016" s="1" t="s">
        <v>1007</v>
      </c>
    </row>
    <row r="1017" spans="1:21" x14ac:dyDescent="0.3">
      <c r="A1017" s="1" t="s">
        <v>2031</v>
      </c>
      <c r="B1017" s="1" t="s">
        <v>95</v>
      </c>
      <c r="C1017" s="1" t="s">
        <v>96</v>
      </c>
      <c r="D1017" s="1" t="s">
        <v>97</v>
      </c>
      <c r="E1017" s="1" t="s">
        <v>3158</v>
      </c>
      <c r="F1017" s="1" t="s">
        <v>1001</v>
      </c>
      <c r="G1017" s="1" t="s">
        <v>1023</v>
      </c>
      <c r="H1017" s="1">
        <v>1</v>
      </c>
      <c r="I1017" s="1">
        <v>5</v>
      </c>
      <c r="J1017" s="1" t="s">
        <v>2528</v>
      </c>
      <c r="K1017" s="2">
        <v>68.569999999999993</v>
      </c>
      <c r="L1017" s="1">
        <v>10</v>
      </c>
      <c r="M1017" s="2">
        <v>68.569999999999993</v>
      </c>
      <c r="N1017" s="2">
        <v>6.86</v>
      </c>
      <c r="O1017" s="2">
        <v>61.71</v>
      </c>
      <c r="P1017" s="1">
        <v>65</v>
      </c>
      <c r="Q1017" s="2">
        <v>48</v>
      </c>
      <c r="R1017" s="2">
        <v>13.71</v>
      </c>
      <c r="S1017" s="1" t="s">
        <v>1016</v>
      </c>
      <c r="T1017" s="1" t="s">
        <v>1004</v>
      </c>
      <c r="U1017" s="1" t="s">
        <v>1007</v>
      </c>
    </row>
    <row r="1018" spans="1:21" x14ac:dyDescent="0.3">
      <c r="A1018" s="1" t="s">
        <v>2032</v>
      </c>
      <c r="B1018" s="1" t="s">
        <v>123</v>
      </c>
      <c r="C1018" s="1" t="s">
        <v>124</v>
      </c>
      <c r="D1018" s="1" t="s">
        <v>47</v>
      </c>
      <c r="E1018" s="1" t="s">
        <v>3159</v>
      </c>
      <c r="F1018" s="1" t="s">
        <v>1027</v>
      </c>
      <c r="G1018" s="1" t="s">
        <v>1010</v>
      </c>
      <c r="H1018" s="1">
        <v>6</v>
      </c>
      <c r="I1018" s="1">
        <v>4</v>
      </c>
      <c r="J1018" s="1" t="s">
        <v>2717</v>
      </c>
      <c r="K1018" s="2">
        <v>78.53</v>
      </c>
      <c r="L1018" s="1">
        <v>25</v>
      </c>
      <c r="M1018" s="2">
        <v>471.18</v>
      </c>
      <c r="N1018" s="2">
        <v>117.8</v>
      </c>
      <c r="O1018" s="2">
        <v>353.38</v>
      </c>
      <c r="P1018" s="1">
        <v>227</v>
      </c>
      <c r="Q1018" s="2">
        <v>54.97</v>
      </c>
      <c r="R1018" s="2">
        <v>23.56</v>
      </c>
      <c r="S1018" s="1" t="s">
        <v>1016</v>
      </c>
      <c r="T1018" s="1" t="s">
        <v>1007</v>
      </c>
      <c r="U1018" s="1" t="s">
        <v>1004</v>
      </c>
    </row>
    <row r="1019" spans="1:21" x14ac:dyDescent="0.3">
      <c r="A1019" s="1" t="s">
        <v>2033</v>
      </c>
      <c r="B1019" s="1" t="s">
        <v>102</v>
      </c>
      <c r="C1019" s="1" t="s">
        <v>103</v>
      </c>
      <c r="D1019" s="1" t="s">
        <v>104</v>
      </c>
      <c r="E1019" s="1" t="s">
        <v>3160</v>
      </c>
      <c r="F1019" s="1" t="s">
        <v>1027</v>
      </c>
      <c r="G1019" s="1" t="s">
        <v>1023</v>
      </c>
      <c r="H1019" s="1">
        <v>3</v>
      </c>
      <c r="I1019" s="1">
        <v>1</v>
      </c>
      <c r="J1019" s="1" t="s">
        <v>2701</v>
      </c>
      <c r="K1019" s="2">
        <v>187.4</v>
      </c>
      <c r="L1019" s="1">
        <v>19</v>
      </c>
      <c r="M1019" s="2">
        <v>562.20000000000005</v>
      </c>
      <c r="N1019" s="2">
        <v>106.82</v>
      </c>
      <c r="O1019" s="2">
        <v>455.38</v>
      </c>
      <c r="P1019" s="1">
        <v>123</v>
      </c>
      <c r="Q1019" s="2">
        <v>131.18</v>
      </c>
      <c r="R1019" s="2">
        <v>61.84</v>
      </c>
      <c r="S1019" s="1" t="s">
        <v>1003</v>
      </c>
      <c r="T1019" s="1" t="s">
        <v>1007</v>
      </c>
      <c r="U1019" s="1" t="s">
        <v>1004</v>
      </c>
    </row>
    <row r="1020" spans="1:21" x14ac:dyDescent="0.3">
      <c r="A1020" s="1" t="s">
        <v>2034</v>
      </c>
      <c r="B1020" s="1" t="s">
        <v>107</v>
      </c>
      <c r="C1020" s="1" t="s">
        <v>108</v>
      </c>
      <c r="D1020" s="1" t="s">
        <v>39</v>
      </c>
      <c r="E1020" s="1" t="s">
        <v>3161</v>
      </c>
      <c r="F1020" s="1" t="s">
        <v>1015</v>
      </c>
      <c r="G1020" s="1" t="s">
        <v>1023</v>
      </c>
      <c r="H1020" s="1">
        <v>1</v>
      </c>
      <c r="I1020" s="1">
        <v>2</v>
      </c>
      <c r="J1020" s="1" t="s">
        <v>2561</v>
      </c>
      <c r="K1020" s="2">
        <v>352.4</v>
      </c>
      <c r="L1020" s="1">
        <v>17</v>
      </c>
      <c r="M1020" s="2">
        <v>352.4</v>
      </c>
      <c r="N1020" s="2">
        <v>59.91</v>
      </c>
      <c r="O1020" s="2">
        <v>292.49</v>
      </c>
      <c r="P1020" s="1">
        <v>94</v>
      </c>
      <c r="Q1020" s="2">
        <v>246.68</v>
      </c>
      <c r="R1020" s="2">
        <v>45.81</v>
      </c>
      <c r="S1020" s="1" t="s">
        <v>1011</v>
      </c>
      <c r="T1020" s="1" t="s">
        <v>1007</v>
      </c>
      <c r="U1020" s="1" t="s">
        <v>1004</v>
      </c>
    </row>
    <row r="1021" spans="1:21" x14ac:dyDescent="0.3">
      <c r="A1021" s="1" t="s">
        <v>2035</v>
      </c>
      <c r="B1021" s="1" t="s">
        <v>107</v>
      </c>
      <c r="C1021" s="1" t="s">
        <v>108</v>
      </c>
      <c r="D1021" s="1" t="s">
        <v>39</v>
      </c>
      <c r="E1021" s="1" t="s">
        <v>3162</v>
      </c>
      <c r="F1021" s="1" t="s">
        <v>1020</v>
      </c>
      <c r="G1021" s="1" t="s">
        <v>1010</v>
      </c>
      <c r="H1021" s="1">
        <v>13</v>
      </c>
      <c r="I1021" s="1">
        <v>2</v>
      </c>
      <c r="J1021" s="1" t="s">
        <v>2779</v>
      </c>
      <c r="K1021" s="2">
        <v>140.62</v>
      </c>
      <c r="L1021" s="1">
        <v>18</v>
      </c>
      <c r="M1021" s="2">
        <v>1828.06</v>
      </c>
      <c r="N1021" s="2">
        <v>329.05</v>
      </c>
      <c r="O1021" s="2">
        <v>1499.01</v>
      </c>
      <c r="P1021" s="1">
        <v>261</v>
      </c>
      <c r="Q1021" s="2">
        <v>98.43</v>
      </c>
      <c r="R1021" s="2">
        <v>219.42</v>
      </c>
      <c r="S1021" s="1" t="s">
        <v>1011</v>
      </c>
      <c r="T1021" s="1" t="s">
        <v>1007</v>
      </c>
      <c r="U1021" s="1" t="s">
        <v>1004</v>
      </c>
    </row>
    <row r="1022" spans="1:21" x14ac:dyDescent="0.3">
      <c r="A1022" s="1" t="s">
        <v>2036</v>
      </c>
      <c r="B1022" s="1" t="s">
        <v>118</v>
      </c>
      <c r="C1022" s="1" t="s">
        <v>119</v>
      </c>
      <c r="D1022" s="1" t="s">
        <v>97</v>
      </c>
      <c r="E1022" s="1" t="s">
        <v>3163</v>
      </c>
      <c r="F1022" s="1" t="s">
        <v>1015</v>
      </c>
      <c r="G1022" s="1" t="s">
        <v>1002</v>
      </c>
      <c r="H1022" s="1">
        <v>14</v>
      </c>
      <c r="I1022" s="1">
        <v>1</v>
      </c>
      <c r="J1022" s="1" t="s">
        <v>2667</v>
      </c>
      <c r="K1022" s="2">
        <v>367.18</v>
      </c>
      <c r="L1022" s="1">
        <v>12</v>
      </c>
      <c r="M1022" s="2">
        <v>5140.5200000000004</v>
      </c>
      <c r="N1022" s="2">
        <v>616.86</v>
      </c>
      <c r="O1022" s="2">
        <v>4523.66</v>
      </c>
      <c r="P1022" s="1">
        <v>273</v>
      </c>
      <c r="Q1022" s="2">
        <v>257.02999999999997</v>
      </c>
      <c r="R1022" s="2">
        <v>925.24</v>
      </c>
      <c r="S1022" s="1" t="s">
        <v>1003</v>
      </c>
      <c r="T1022" s="1" t="s">
        <v>1007</v>
      </c>
      <c r="U1022" s="1" t="s">
        <v>1004</v>
      </c>
    </row>
    <row r="1023" spans="1:21" x14ac:dyDescent="0.3">
      <c r="A1023" s="1" t="s">
        <v>2037</v>
      </c>
      <c r="B1023" s="1" t="s">
        <v>83</v>
      </c>
      <c r="C1023" s="1" t="s">
        <v>84</v>
      </c>
      <c r="D1023" s="1" t="s">
        <v>85</v>
      </c>
      <c r="E1023" s="1" t="s">
        <v>3164</v>
      </c>
      <c r="F1023" s="1" t="s">
        <v>1027</v>
      </c>
      <c r="G1023" s="1" t="s">
        <v>1023</v>
      </c>
      <c r="H1023" s="1">
        <v>14</v>
      </c>
      <c r="I1023" s="1">
        <v>1</v>
      </c>
      <c r="J1023" s="1" t="s">
        <v>2824</v>
      </c>
      <c r="K1023" s="2">
        <v>436.84</v>
      </c>
      <c r="L1023" s="1">
        <v>9</v>
      </c>
      <c r="M1023" s="2">
        <v>6115.76</v>
      </c>
      <c r="N1023" s="2">
        <v>550.41999999999996</v>
      </c>
      <c r="O1023" s="2">
        <v>5565.34</v>
      </c>
      <c r="P1023" s="1">
        <v>280</v>
      </c>
      <c r="Q1023" s="2">
        <v>305.79000000000002</v>
      </c>
      <c r="R1023" s="2">
        <v>1284.28</v>
      </c>
      <c r="S1023" s="1" t="s">
        <v>1016</v>
      </c>
      <c r="T1023" s="1" t="s">
        <v>1004</v>
      </c>
      <c r="U1023" s="1" t="s">
        <v>1004</v>
      </c>
    </row>
    <row r="1024" spans="1:21" x14ac:dyDescent="0.3">
      <c r="A1024" s="1" t="s">
        <v>2038</v>
      </c>
      <c r="B1024" s="1" t="s">
        <v>95</v>
      </c>
      <c r="C1024" s="1" t="s">
        <v>96</v>
      </c>
      <c r="D1024" s="1" t="s">
        <v>97</v>
      </c>
      <c r="E1024" s="1" t="s">
        <v>3165</v>
      </c>
      <c r="F1024" s="1" t="s">
        <v>1027</v>
      </c>
      <c r="G1024" s="1" t="s">
        <v>1023</v>
      </c>
      <c r="H1024" s="1">
        <v>7</v>
      </c>
      <c r="I1024" s="1">
        <v>5</v>
      </c>
      <c r="J1024" s="1" t="s">
        <v>2593</v>
      </c>
      <c r="K1024" s="2">
        <v>247.32</v>
      </c>
      <c r="L1024" s="1">
        <v>17</v>
      </c>
      <c r="M1024" s="2">
        <v>1731.24</v>
      </c>
      <c r="N1024" s="2">
        <v>294.31</v>
      </c>
      <c r="O1024" s="2">
        <v>1436.93</v>
      </c>
      <c r="P1024" s="1">
        <v>100</v>
      </c>
      <c r="Q1024" s="2">
        <v>173.12</v>
      </c>
      <c r="R1024" s="2">
        <v>225.09</v>
      </c>
      <c r="S1024" s="1" t="s">
        <v>1003</v>
      </c>
      <c r="T1024" s="1" t="s">
        <v>1007</v>
      </c>
      <c r="U1024" s="1" t="s">
        <v>1007</v>
      </c>
    </row>
    <row r="1025" spans="1:21" x14ac:dyDescent="0.3">
      <c r="A1025" s="1" t="s">
        <v>2039</v>
      </c>
      <c r="B1025" s="1" t="s">
        <v>83</v>
      </c>
      <c r="C1025" s="1" t="s">
        <v>84</v>
      </c>
      <c r="D1025" s="1" t="s">
        <v>85</v>
      </c>
      <c r="E1025" s="1" t="s">
        <v>3166</v>
      </c>
      <c r="F1025" s="1" t="s">
        <v>1001</v>
      </c>
      <c r="G1025" s="1" t="s">
        <v>1023</v>
      </c>
      <c r="H1025" s="1">
        <v>1</v>
      </c>
      <c r="I1025" s="1">
        <v>6</v>
      </c>
      <c r="J1025" s="1" t="s">
        <v>2770</v>
      </c>
      <c r="K1025" s="2">
        <v>348.18</v>
      </c>
      <c r="L1025" s="1">
        <v>17</v>
      </c>
      <c r="M1025" s="2">
        <v>348.18</v>
      </c>
      <c r="N1025" s="2">
        <v>59.19</v>
      </c>
      <c r="O1025" s="2">
        <v>288.99</v>
      </c>
      <c r="P1025" s="1">
        <v>54</v>
      </c>
      <c r="Q1025" s="2">
        <v>243.73</v>
      </c>
      <c r="R1025" s="2">
        <v>45.26</v>
      </c>
      <c r="S1025" s="1" t="s">
        <v>1003</v>
      </c>
      <c r="T1025" s="1" t="s">
        <v>1007</v>
      </c>
      <c r="U1025" s="1" t="s">
        <v>1007</v>
      </c>
    </row>
    <row r="1026" spans="1:21" x14ac:dyDescent="0.3">
      <c r="A1026" s="1" t="s">
        <v>2040</v>
      </c>
      <c r="B1026" s="1" t="s">
        <v>102</v>
      </c>
      <c r="C1026" s="1" t="s">
        <v>103</v>
      </c>
      <c r="D1026" s="1" t="s">
        <v>104</v>
      </c>
      <c r="E1026" s="1" t="s">
        <v>3167</v>
      </c>
      <c r="F1026" s="1" t="s">
        <v>1013</v>
      </c>
      <c r="G1026" s="1" t="s">
        <v>1010</v>
      </c>
      <c r="H1026" s="1">
        <v>7</v>
      </c>
      <c r="I1026" s="1">
        <v>1</v>
      </c>
      <c r="J1026" s="1" t="s">
        <v>2623</v>
      </c>
      <c r="K1026" s="2">
        <v>397.38</v>
      </c>
      <c r="L1026" s="1">
        <v>23</v>
      </c>
      <c r="M1026" s="2">
        <v>2781.66</v>
      </c>
      <c r="N1026" s="2">
        <v>639.78</v>
      </c>
      <c r="O1026" s="2">
        <v>2141.88</v>
      </c>
      <c r="P1026" s="1">
        <v>234</v>
      </c>
      <c r="Q1026" s="2">
        <v>278.17</v>
      </c>
      <c r="R1026" s="2">
        <v>194.69</v>
      </c>
      <c r="S1026" s="1" t="s">
        <v>1003</v>
      </c>
      <c r="T1026" s="1" t="s">
        <v>1004</v>
      </c>
      <c r="U1026" s="1" t="s">
        <v>1004</v>
      </c>
    </row>
    <row r="1027" spans="1:21" x14ac:dyDescent="0.3">
      <c r="A1027" s="1" t="s">
        <v>2041</v>
      </c>
      <c r="B1027" s="1" t="s">
        <v>77</v>
      </c>
      <c r="C1027" s="1" t="s">
        <v>78</v>
      </c>
      <c r="D1027" s="1" t="s">
        <v>47</v>
      </c>
      <c r="E1027" s="1" t="s">
        <v>3168</v>
      </c>
      <c r="F1027" s="1" t="s">
        <v>1001</v>
      </c>
      <c r="G1027" s="1" t="s">
        <v>1023</v>
      </c>
      <c r="H1027" s="1">
        <v>14</v>
      </c>
      <c r="I1027" s="1">
        <v>6</v>
      </c>
      <c r="J1027" s="1" t="s">
        <v>2802</v>
      </c>
      <c r="K1027" s="2">
        <v>169.9</v>
      </c>
      <c r="L1027" s="1">
        <v>12</v>
      </c>
      <c r="M1027" s="2">
        <v>2378.6</v>
      </c>
      <c r="N1027" s="2">
        <v>285.43</v>
      </c>
      <c r="O1027" s="2">
        <v>2093.17</v>
      </c>
      <c r="P1027" s="1">
        <v>183</v>
      </c>
      <c r="Q1027" s="2">
        <v>118.93</v>
      </c>
      <c r="R1027" s="2">
        <v>428.15</v>
      </c>
      <c r="S1027" s="1" t="s">
        <v>1016</v>
      </c>
      <c r="T1027" s="1" t="s">
        <v>1007</v>
      </c>
      <c r="U1027" s="1" t="s">
        <v>1004</v>
      </c>
    </row>
    <row r="1028" spans="1:21" x14ac:dyDescent="0.3">
      <c r="A1028" s="1" t="s">
        <v>2042</v>
      </c>
      <c r="B1028" s="1" t="s">
        <v>237</v>
      </c>
      <c r="C1028" s="1" t="s">
        <v>238</v>
      </c>
      <c r="D1028" s="1" t="s">
        <v>85</v>
      </c>
      <c r="E1028" s="1" t="s">
        <v>3169</v>
      </c>
      <c r="F1028" s="1" t="s">
        <v>1009</v>
      </c>
      <c r="G1028" s="1" t="s">
        <v>1002</v>
      </c>
      <c r="H1028" s="1">
        <v>10</v>
      </c>
      <c r="I1028" s="1">
        <v>6</v>
      </c>
      <c r="J1028" s="1" t="s">
        <v>2750</v>
      </c>
      <c r="K1028" s="2">
        <v>113.73</v>
      </c>
      <c r="L1028" s="1">
        <v>8</v>
      </c>
      <c r="M1028" s="2">
        <v>1137.3</v>
      </c>
      <c r="N1028" s="2">
        <v>90.98</v>
      </c>
      <c r="O1028" s="2">
        <v>1046.32</v>
      </c>
      <c r="P1028" s="1">
        <v>68</v>
      </c>
      <c r="Q1028" s="2">
        <v>79.61</v>
      </c>
      <c r="R1028" s="2">
        <v>250.22</v>
      </c>
      <c r="S1028" s="1" t="s">
        <v>1011</v>
      </c>
      <c r="T1028" s="1" t="s">
        <v>1004</v>
      </c>
      <c r="U1028" s="1" t="s">
        <v>1004</v>
      </c>
    </row>
    <row r="1029" spans="1:21" x14ac:dyDescent="0.3">
      <c r="A1029" s="1" t="s">
        <v>2043</v>
      </c>
      <c r="B1029" s="1" t="s">
        <v>57</v>
      </c>
      <c r="C1029" s="1" t="s">
        <v>58</v>
      </c>
      <c r="D1029" s="1" t="s">
        <v>59</v>
      </c>
      <c r="E1029" s="1" t="s">
        <v>3170</v>
      </c>
      <c r="F1029" s="1" t="s">
        <v>1006</v>
      </c>
      <c r="G1029" s="1" t="s">
        <v>1010</v>
      </c>
      <c r="H1029" s="1">
        <v>14</v>
      </c>
      <c r="I1029" s="1">
        <v>6</v>
      </c>
      <c r="J1029" s="1" t="s">
        <v>2640</v>
      </c>
      <c r="K1029" s="2">
        <v>93.57</v>
      </c>
      <c r="L1029" s="1">
        <v>8</v>
      </c>
      <c r="M1029" s="2">
        <v>1309.98</v>
      </c>
      <c r="N1029" s="2">
        <v>104.8</v>
      </c>
      <c r="O1029" s="2">
        <v>1205.18</v>
      </c>
      <c r="P1029" s="1">
        <v>217</v>
      </c>
      <c r="Q1029" s="2">
        <v>65.5</v>
      </c>
      <c r="R1029" s="2">
        <v>288.18</v>
      </c>
      <c r="S1029" s="1" t="s">
        <v>1003</v>
      </c>
      <c r="T1029" s="1" t="s">
        <v>1004</v>
      </c>
      <c r="U1029" s="1" t="s">
        <v>1007</v>
      </c>
    </row>
    <row r="1030" spans="1:21" x14ac:dyDescent="0.3">
      <c r="A1030" s="1" t="s">
        <v>2044</v>
      </c>
      <c r="B1030" s="1" t="s">
        <v>102</v>
      </c>
      <c r="C1030" s="1" t="s">
        <v>103</v>
      </c>
      <c r="D1030" s="1" t="s">
        <v>104</v>
      </c>
      <c r="E1030" s="1" t="s">
        <v>3171</v>
      </c>
      <c r="F1030" s="1" t="s">
        <v>1001</v>
      </c>
      <c r="G1030" s="1" t="s">
        <v>1023</v>
      </c>
      <c r="H1030" s="1">
        <v>3</v>
      </c>
      <c r="I1030" s="1">
        <v>6</v>
      </c>
      <c r="J1030" s="1" t="s">
        <v>2828</v>
      </c>
      <c r="K1030" s="2">
        <v>206.16</v>
      </c>
      <c r="L1030" s="1">
        <v>14</v>
      </c>
      <c r="M1030" s="2">
        <v>618.48</v>
      </c>
      <c r="N1030" s="2">
        <v>86.59</v>
      </c>
      <c r="O1030" s="2">
        <v>531.89</v>
      </c>
      <c r="P1030" s="1">
        <v>110</v>
      </c>
      <c r="Q1030" s="2">
        <v>144.31</v>
      </c>
      <c r="R1030" s="2">
        <v>98.96</v>
      </c>
      <c r="S1030" s="1" t="s">
        <v>1003</v>
      </c>
      <c r="T1030" s="1" t="s">
        <v>1004</v>
      </c>
      <c r="U1030" s="1" t="s">
        <v>1004</v>
      </c>
    </row>
    <row r="1031" spans="1:21" x14ac:dyDescent="0.3">
      <c r="A1031" s="1" t="s">
        <v>2045</v>
      </c>
      <c r="B1031" s="1" t="s">
        <v>57</v>
      </c>
      <c r="C1031" s="1" t="s">
        <v>58</v>
      </c>
      <c r="D1031" s="1" t="s">
        <v>59</v>
      </c>
      <c r="E1031" s="1" t="s">
        <v>3172</v>
      </c>
      <c r="F1031" s="1" t="s">
        <v>1015</v>
      </c>
      <c r="G1031" s="1" t="s">
        <v>1023</v>
      </c>
      <c r="H1031" s="1">
        <v>8</v>
      </c>
      <c r="I1031" s="1">
        <v>6</v>
      </c>
      <c r="J1031" s="1" t="s">
        <v>2554</v>
      </c>
      <c r="K1031" s="2">
        <v>423.81</v>
      </c>
      <c r="L1031" s="1">
        <v>14</v>
      </c>
      <c r="M1031" s="2">
        <v>3390.48</v>
      </c>
      <c r="N1031" s="2">
        <v>474.67</v>
      </c>
      <c r="O1031" s="2">
        <v>2915.81</v>
      </c>
      <c r="P1031" s="1">
        <v>224</v>
      </c>
      <c r="Q1031" s="2">
        <v>296.67</v>
      </c>
      <c r="R1031" s="2">
        <v>542.45000000000005</v>
      </c>
      <c r="S1031" s="1" t="s">
        <v>1016</v>
      </c>
      <c r="T1031" s="1" t="s">
        <v>1007</v>
      </c>
      <c r="U1031" s="1" t="s">
        <v>1004</v>
      </c>
    </row>
    <row r="1032" spans="1:21" x14ac:dyDescent="0.3">
      <c r="A1032" s="1" t="s">
        <v>2046</v>
      </c>
      <c r="B1032" s="1" t="s">
        <v>107</v>
      </c>
      <c r="C1032" s="1" t="s">
        <v>108</v>
      </c>
      <c r="D1032" s="1" t="s">
        <v>39</v>
      </c>
      <c r="E1032" s="1" t="s">
        <v>3173</v>
      </c>
      <c r="F1032" s="1" t="s">
        <v>1020</v>
      </c>
      <c r="G1032" s="1" t="s">
        <v>1002</v>
      </c>
      <c r="H1032" s="1">
        <v>12</v>
      </c>
      <c r="I1032" s="1">
        <v>5</v>
      </c>
      <c r="J1032" s="1" t="s">
        <v>2833</v>
      </c>
      <c r="K1032" s="2">
        <v>174.27</v>
      </c>
      <c r="L1032" s="1">
        <v>6</v>
      </c>
      <c r="M1032" s="2">
        <v>2091.2399999999998</v>
      </c>
      <c r="N1032" s="2">
        <v>125.47</v>
      </c>
      <c r="O1032" s="2">
        <v>1965.77</v>
      </c>
      <c r="P1032" s="1">
        <v>205</v>
      </c>
      <c r="Q1032" s="2">
        <v>121.99</v>
      </c>
      <c r="R1032" s="2">
        <v>501.89</v>
      </c>
      <c r="S1032" s="1" t="s">
        <v>1011</v>
      </c>
      <c r="T1032" s="1" t="s">
        <v>1007</v>
      </c>
      <c r="U1032" s="1" t="s">
        <v>1007</v>
      </c>
    </row>
    <row r="1033" spans="1:21" x14ac:dyDescent="0.3">
      <c r="A1033" s="1" t="s">
        <v>2047</v>
      </c>
      <c r="B1033" s="1" t="s">
        <v>83</v>
      </c>
      <c r="C1033" s="1" t="s">
        <v>84</v>
      </c>
      <c r="D1033" s="1" t="s">
        <v>85</v>
      </c>
      <c r="E1033" s="1" t="s">
        <v>3174</v>
      </c>
      <c r="F1033" s="1" t="s">
        <v>1001</v>
      </c>
      <c r="G1033" s="1" t="s">
        <v>1010</v>
      </c>
      <c r="H1033" s="1">
        <v>15</v>
      </c>
      <c r="I1033" s="1">
        <v>1</v>
      </c>
      <c r="J1033" s="1" t="s">
        <v>2616</v>
      </c>
      <c r="K1033" s="2">
        <v>351.48</v>
      </c>
      <c r="L1033" s="1">
        <v>0</v>
      </c>
      <c r="M1033" s="2">
        <v>5272.2</v>
      </c>
      <c r="N1033" s="2">
        <v>0</v>
      </c>
      <c r="O1033" s="2">
        <v>5272.2</v>
      </c>
      <c r="P1033" s="1">
        <v>112</v>
      </c>
      <c r="Q1033" s="2">
        <v>246.04</v>
      </c>
      <c r="R1033" s="2">
        <v>1581.6</v>
      </c>
      <c r="S1033" s="1" t="s">
        <v>1016</v>
      </c>
      <c r="T1033" s="1" t="s">
        <v>1007</v>
      </c>
      <c r="U1033" s="1" t="s">
        <v>1007</v>
      </c>
    </row>
    <row r="1034" spans="1:21" x14ac:dyDescent="0.3">
      <c r="A1034" s="1" t="s">
        <v>2048</v>
      </c>
      <c r="B1034" s="1" t="s">
        <v>63</v>
      </c>
      <c r="C1034" s="1" t="s">
        <v>64</v>
      </c>
      <c r="D1034" s="1" t="s">
        <v>28</v>
      </c>
      <c r="E1034" s="1" t="s">
        <v>3175</v>
      </c>
      <c r="F1034" s="1" t="s">
        <v>1015</v>
      </c>
      <c r="G1034" s="1" t="s">
        <v>1023</v>
      </c>
      <c r="H1034" s="1">
        <v>14</v>
      </c>
      <c r="I1034" s="1">
        <v>1</v>
      </c>
      <c r="J1034" s="1" t="s">
        <v>2549</v>
      </c>
      <c r="K1034" s="2">
        <v>125.46</v>
      </c>
      <c r="L1034" s="1">
        <v>0</v>
      </c>
      <c r="M1034" s="2">
        <v>1756.44</v>
      </c>
      <c r="N1034" s="2">
        <v>0</v>
      </c>
      <c r="O1034" s="2">
        <v>1756.44</v>
      </c>
      <c r="P1034" s="1">
        <v>138</v>
      </c>
      <c r="Q1034" s="2">
        <v>87.82</v>
      </c>
      <c r="R1034" s="2">
        <v>526.96</v>
      </c>
      <c r="S1034" s="1" t="s">
        <v>1003</v>
      </c>
      <c r="T1034" s="1" t="s">
        <v>1007</v>
      </c>
      <c r="U1034" s="1" t="s">
        <v>1004</v>
      </c>
    </row>
    <row r="1035" spans="1:21" x14ac:dyDescent="0.3">
      <c r="A1035" s="1" t="s">
        <v>2049</v>
      </c>
      <c r="B1035" s="1" t="s">
        <v>83</v>
      </c>
      <c r="C1035" s="1" t="s">
        <v>84</v>
      </c>
      <c r="D1035" s="1" t="s">
        <v>85</v>
      </c>
      <c r="E1035" s="1" t="s">
        <v>3176</v>
      </c>
      <c r="F1035" s="1" t="s">
        <v>1015</v>
      </c>
      <c r="G1035" s="1" t="s">
        <v>1010</v>
      </c>
      <c r="H1035" s="1">
        <v>1</v>
      </c>
      <c r="I1035" s="1">
        <v>4</v>
      </c>
      <c r="J1035" s="1" t="s">
        <v>2912</v>
      </c>
      <c r="K1035" s="2">
        <v>220.11</v>
      </c>
      <c r="L1035" s="1">
        <v>5</v>
      </c>
      <c r="M1035" s="2">
        <v>220.11</v>
      </c>
      <c r="N1035" s="2">
        <v>11.01</v>
      </c>
      <c r="O1035" s="2">
        <v>209.1</v>
      </c>
      <c r="P1035" s="1">
        <v>135</v>
      </c>
      <c r="Q1035" s="2">
        <v>154.08000000000001</v>
      </c>
      <c r="R1035" s="2">
        <v>55.02</v>
      </c>
      <c r="S1035" s="1" t="s">
        <v>1003</v>
      </c>
      <c r="T1035" s="1" t="s">
        <v>1004</v>
      </c>
      <c r="U1035" s="1" t="s">
        <v>1007</v>
      </c>
    </row>
    <row r="1036" spans="1:21" x14ac:dyDescent="0.3">
      <c r="A1036" s="1" t="s">
        <v>2050</v>
      </c>
      <c r="B1036" s="1" t="s">
        <v>107</v>
      </c>
      <c r="C1036" s="1" t="s">
        <v>108</v>
      </c>
      <c r="D1036" s="1" t="s">
        <v>39</v>
      </c>
      <c r="E1036" s="1" t="s">
        <v>3177</v>
      </c>
      <c r="F1036" s="1" t="s">
        <v>1001</v>
      </c>
      <c r="G1036" s="1" t="s">
        <v>1023</v>
      </c>
      <c r="H1036" s="1">
        <v>15</v>
      </c>
      <c r="I1036" s="1">
        <v>7</v>
      </c>
      <c r="J1036" s="1" t="s">
        <v>2635</v>
      </c>
      <c r="K1036" s="2">
        <v>190.47</v>
      </c>
      <c r="L1036" s="1">
        <v>15</v>
      </c>
      <c r="M1036" s="2">
        <v>2857.05</v>
      </c>
      <c r="N1036" s="2">
        <v>428.56</v>
      </c>
      <c r="O1036" s="2">
        <v>2428.4899999999998</v>
      </c>
      <c r="P1036" s="1">
        <v>246</v>
      </c>
      <c r="Q1036" s="2">
        <v>133.33000000000001</v>
      </c>
      <c r="R1036" s="2">
        <v>428.54</v>
      </c>
      <c r="S1036" s="1" t="s">
        <v>1011</v>
      </c>
      <c r="T1036" s="1" t="s">
        <v>1004</v>
      </c>
      <c r="U1036" s="1" t="s">
        <v>1007</v>
      </c>
    </row>
    <row r="1037" spans="1:21" x14ac:dyDescent="0.3">
      <c r="A1037" s="1" t="s">
        <v>2051</v>
      </c>
      <c r="B1037" s="1" t="s">
        <v>83</v>
      </c>
      <c r="C1037" s="1" t="s">
        <v>84</v>
      </c>
      <c r="D1037" s="1" t="s">
        <v>85</v>
      </c>
      <c r="E1037" s="1" t="s">
        <v>3178</v>
      </c>
      <c r="F1037" s="1" t="s">
        <v>1013</v>
      </c>
      <c r="G1037" s="1" t="s">
        <v>1002</v>
      </c>
      <c r="H1037" s="1">
        <v>13</v>
      </c>
      <c r="I1037" s="1">
        <v>4</v>
      </c>
      <c r="J1037" s="1" t="s">
        <v>2774</v>
      </c>
      <c r="K1037" s="2">
        <v>162.06</v>
      </c>
      <c r="L1037" s="1">
        <v>2</v>
      </c>
      <c r="M1037" s="2">
        <v>2106.7800000000002</v>
      </c>
      <c r="N1037" s="2">
        <v>42.14</v>
      </c>
      <c r="O1037" s="2">
        <v>2064.64</v>
      </c>
      <c r="P1037" s="1">
        <v>237</v>
      </c>
      <c r="Q1037" s="2">
        <v>113.44</v>
      </c>
      <c r="R1037" s="2">
        <v>589.91999999999996</v>
      </c>
      <c r="S1037" s="1" t="s">
        <v>1016</v>
      </c>
      <c r="T1037" s="1" t="s">
        <v>1004</v>
      </c>
      <c r="U1037" s="1" t="s">
        <v>1004</v>
      </c>
    </row>
    <row r="1038" spans="1:21" x14ac:dyDescent="0.3">
      <c r="A1038" s="1" t="s">
        <v>2052</v>
      </c>
      <c r="B1038" s="1" t="s">
        <v>166</v>
      </c>
      <c r="C1038" s="1" t="s">
        <v>167</v>
      </c>
      <c r="D1038" s="1" t="s">
        <v>59</v>
      </c>
      <c r="E1038" s="1" t="s">
        <v>3179</v>
      </c>
      <c r="F1038" s="1" t="s">
        <v>1015</v>
      </c>
      <c r="G1038" s="1" t="s">
        <v>1023</v>
      </c>
      <c r="H1038" s="1">
        <v>12</v>
      </c>
      <c r="I1038" s="1">
        <v>1</v>
      </c>
      <c r="J1038" s="1" t="s">
        <v>2633</v>
      </c>
      <c r="K1038" s="2">
        <v>270.37</v>
      </c>
      <c r="L1038" s="1">
        <v>24</v>
      </c>
      <c r="M1038" s="2">
        <v>3244.44</v>
      </c>
      <c r="N1038" s="2">
        <v>778.67</v>
      </c>
      <c r="O1038" s="2">
        <v>2465.77</v>
      </c>
      <c r="P1038" s="1">
        <v>161</v>
      </c>
      <c r="Q1038" s="2">
        <v>189.26</v>
      </c>
      <c r="R1038" s="2">
        <v>194.65</v>
      </c>
      <c r="S1038" s="1" t="s">
        <v>1011</v>
      </c>
      <c r="T1038" s="1" t="s">
        <v>1007</v>
      </c>
      <c r="U1038" s="1" t="s">
        <v>1007</v>
      </c>
    </row>
    <row r="1039" spans="1:21" x14ac:dyDescent="0.3">
      <c r="A1039" s="1" t="s">
        <v>2053</v>
      </c>
      <c r="B1039" s="1" t="s">
        <v>107</v>
      </c>
      <c r="C1039" s="1" t="s">
        <v>108</v>
      </c>
      <c r="D1039" s="1" t="s">
        <v>39</v>
      </c>
      <c r="E1039" s="1" t="s">
        <v>3180</v>
      </c>
      <c r="F1039" s="1" t="s">
        <v>1015</v>
      </c>
      <c r="G1039" s="1" t="s">
        <v>1023</v>
      </c>
      <c r="H1039" s="1">
        <v>15</v>
      </c>
      <c r="I1039" s="1">
        <v>6</v>
      </c>
      <c r="J1039" s="1" t="s">
        <v>2860</v>
      </c>
      <c r="K1039" s="2">
        <v>214.45</v>
      </c>
      <c r="L1039" s="1">
        <v>2</v>
      </c>
      <c r="M1039" s="2">
        <v>3216.75</v>
      </c>
      <c r="N1039" s="2">
        <v>64.34</v>
      </c>
      <c r="O1039" s="2">
        <v>3152.41</v>
      </c>
      <c r="P1039" s="1">
        <v>92</v>
      </c>
      <c r="Q1039" s="2">
        <v>150.11000000000001</v>
      </c>
      <c r="R1039" s="2">
        <v>900.76</v>
      </c>
      <c r="S1039" s="1" t="s">
        <v>1003</v>
      </c>
      <c r="T1039" s="1" t="s">
        <v>1007</v>
      </c>
      <c r="U1039" s="1" t="s">
        <v>1007</v>
      </c>
    </row>
    <row r="1040" spans="1:21" x14ac:dyDescent="0.3">
      <c r="A1040" s="1" t="s">
        <v>2054</v>
      </c>
      <c r="B1040" s="1" t="s">
        <v>176</v>
      </c>
      <c r="C1040" s="1" t="s">
        <v>177</v>
      </c>
      <c r="D1040" s="1" t="s">
        <v>39</v>
      </c>
      <c r="E1040" s="1" t="s">
        <v>3181</v>
      </c>
      <c r="F1040" s="1" t="s">
        <v>1009</v>
      </c>
      <c r="G1040" s="1" t="s">
        <v>1002</v>
      </c>
      <c r="H1040" s="1">
        <v>12</v>
      </c>
      <c r="I1040" s="1">
        <v>6</v>
      </c>
      <c r="J1040" s="1" t="s">
        <v>2582</v>
      </c>
      <c r="K1040" s="2">
        <v>367.48</v>
      </c>
      <c r="L1040" s="1">
        <v>23</v>
      </c>
      <c r="M1040" s="2">
        <v>4409.76</v>
      </c>
      <c r="N1040" s="2">
        <v>1014.24</v>
      </c>
      <c r="O1040" s="2">
        <v>3395.52</v>
      </c>
      <c r="P1040" s="1">
        <v>231</v>
      </c>
      <c r="Q1040" s="2">
        <v>257.24</v>
      </c>
      <c r="R1040" s="2">
        <v>308.64</v>
      </c>
      <c r="S1040" s="1" t="s">
        <v>1003</v>
      </c>
      <c r="T1040" s="1" t="s">
        <v>1007</v>
      </c>
      <c r="U1040" s="1" t="s">
        <v>1004</v>
      </c>
    </row>
    <row r="1041" spans="1:21" x14ac:dyDescent="0.3">
      <c r="A1041" s="1" t="s">
        <v>2055</v>
      </c>
      <c r="B1041" s="1" t="s">
        <v>176</v>
      </c>
      <c r="C1041" s="1" t="s">
        <v>177</v>
      </c>
      <c r="D1041" s="1" t="s">
        <v>39</v>
      </c>
      <c r="E1041" s="1" t="s">
        <v>3182</v>
      </c>
      <c r="F1041" s="1" t="s">
        <v>1013</v>
      </c>
      <c r="G1041" s="1" t="s">
        <v>1002</v>
      </c>
      <c r="H1041" s="1">
        <v>12</v>
      </c>
      <c r="I1041" s="1">
        <v>6</v>
      </c>
      <c r="J1041" s="1" t="s">
        <v>2816</v>
      </c>
      <c r="K1041" s="2">
        <v>295.56</v>
      </c>
      <c r="L1041" s="1">
        <v>17</v>
      </c>
      <c r="M1041" s="2">
        <v>3546.72</v>
      </c>
      <c r="N1041" s="2">
        <v>602.94000000000005</v>
      </c>
      <c r="O1041" s="2">
        <v>2943.78</v>
      </c>
      <c r="P1041" s="1">
        <v>111</v>
      </c>
      <c r="Q1041" s="2">
        <v>206.89</v>
      </c>
      <c r="R1041" s="2">
        <v>461.1</v>
      </c>
      <c r="S1041" s="1" t="s">
        <v>1003</v>
      </c>
      <c r="T1041" s="1" t="s">
        <v>1007</v>
      </c>
      <c r="U1041" s="1" t="s">
        <v>1004</v>
      </c>
    </row>
    <row r="1042" spans="1:21" x14ac:dyDescent="0.3">
      <c r="A1042" s="1" t="s">
        <v>2056</v>
      </c>
      <c r="B1042" s="1" t="s">
        <v>123</v>
      </c>
      <c r="C1042" s="1" t="s">
        <v>124</v>
      </c>
      <c r="D1042" s="1" t="s">
        <v>47</v>
      </c>
      <c r="E1042" s="1" t="s">
        <v>3183</v>
      </c>
      <c r="F1042" s="1" t="s">
        <v>1015</v>
      </c>
      <c r="G1042" s="1" t="s">
        <v>1023</v>
      </c>
      <c r="H1042" s="1">
        <v>11</v>
      </c>
      <c r="I1042" s="1">
        <v>1</v>
      </c>
      <c r="J1042" s="1" t="s">
        <v>2747</v>
      </c>
      <c r="K1042" s="2">
        <v>387.16</v>
      </c>
      <c r="L1042" s="1">
        <v>8</v>
      </c>
      <c r="M1042" s="2">
        <v>4258.76</v>
      </c>
      <c r="N1042" s="2">
        <v>340.7</v>
      </c>
      <c r="O1042" s="2">
        <v>3918.06</v>
      </c>
      <c r="P1042" s="1">
        <v>92</v>
      </c>
      <c r="Q1042" s="2">
        <v>271.01</v>
      </c>
      <c r="R1042" s="2">
        <v>936.95</v>
      </c>
      <c r="S1042" s="1" t="s">
        <v>1016</v>
      </c>
      <c r="T1042" s="1" t="s">
        <v>1004</v>
      </c>
      <c r="U1042" s="1" t="s">
        <v>1004</v>
      </c>
    </row>
    <row r="1043" spans="1:21" x14ac:dyDescent="0.3">
      <c r="A1043" s="1" t="s">
        <v>2057</v>
      </c>
      <c r="B1043" s="1" t="s">
        <v>63</v>
      </c>
      <c r="C1043" s="1" t="s">
        <v>64</v>
      </c>
      <c r="D1043" s="1" t="s">
        <v>28</v>
      </c>
      <c r="E1043" s="1" t="s">
        <v>3184</v>
      </c>
      <c r="F1043" s="1" t="s">
        <v>1006</v>
      </c>
      <c r="G1043" s="1" t="s">
        <v>1023</v>
      </c>
      <c r="H1043" s="1">
        <v>12</v>
      </c>
      <c r="I1043" s="1">
        <v>7</v>
      </c>
      <c r="J1043" s="1" t="s">
        <v>2788</v>
      </c>
      <c r="K1043" s="2">
        <v>473.48</v>
      </c>
      <c r="L1043" s="1">
        <v>5</v>
      </c>
      <c r="M1043" s="2">
        <v>5681.76</v>
      </c>
      <c r="N1043" s="2">
        <v>284.08999999999997</v>
      </c>
      <c r="O1043" s="2">
        <v>5397.67</v>
      </c>
      <c r="P1043" s="1">
        <v>248</v>
      </c>
      <c r="Q1043" s="2">
        <v>331.44</v>
      </c>
      <c r="R1043" s="2">
        <v>1420.39</v>
      </c>
      <c r="S1043" s="1" t="s">
        <v>1011</v>
      </c>
      <c r="T1043" s="1" t="s">
        <v>1007</v>
      </c>
      <c r="U1043" s="1" t="s">
        <v>1004</v>
      </c>
    </row>
    <row r="1044" spans="1:21" x14ac:dyDescent="0.3">
      <c r="A1044" s="1" t="s">
        <v>2058</v>
      </c>
      <c r="B1044" s="1" t="s">
        <v>102</v>
      </c>
      <c r="C1044" s="1" t="s">
        <v>103</v>
      </c>
      <c r="D1044" s="1" t="s">
        <v>104</v>
      </c>
      <c r="E1044" s="1" t="s">
        <v>3185</v>
      </c>
      <c r="F1044" s="1" t="s">
        <v>1027</v>
      </c>
      <c r="G1044" s="1" t="s">
        <v>1002</v>
      </c>
      <c r="H1044" s="1">
        <v>13</v>
      </c>
      <c r="I1044" s="1">
        <v>4</v>
      </c>
      <c r="J1044" s="1" t="s">
        <v>2578</v>
      </c>
      <c r="K1044" s="2">
        <v>284.68</v>
      </c>
      <c r="L1044" s="1">
        <v>21</v>
      </c>
      <c r="M1044" s="2">
        <v>3700.84</v>
      </c>
      <c r="N1044" s="2">
        <v>777.18</v>
      </c>
      <c r="O1044" s="2">
        <v>2923.66</v>
      </c>
      <c r="P1044" s="1">
        <v>192</v>
      </c>
      <c r="Q1044" s="2">
        <v>199.28</v>
      </c>
      <c r="R1044" s="2">
        <v>333.02</v>
      </c>
      <c r="S1044" s="1" t="s">
        <v>1003</v>
      </c>
      <c r="T1044" s="1" t="s">
        <v>1007</v>
      </c>
      <c r="U1044" s="1" t="s">
        <v>1004</v>
      </c>
    </row>
    <row r="1045" spans="1:21" x14ac:dyDescent="0.3">
      <c r="A1045" s="1" t="s">
        <v>2059</v>
      </c>
      <c r="B1045" s="1" t="s">
        <v>45</v>
      </c>
      <c r="C1045" s="1" t="s">
        <v>46</v>
      </c>
      <c r="D1045" s="1" t="s">
        <v>47</v>
      </c>
      <c r="E1045" s="1" t="s">
        <v>3186</v>
      </c>
      <c r="F1045" s="1" t="s">
        <v>1015</v>
      </c>
      <c r="G1045" s="1" t="s">
        <v>1023</v>
      </c>
      <c r="H1045" s="1">
        <v>7</v>
      </c>
      <c r="I1045" s="1">
        <v>2</v>
      </c>
      <c r="J1045" s="1" t="s">
        <v>2909</v>
      </c>
      <c r="K1045" s="2">
        <v>351.91</v>
      </c>
      <c r="L1045" s="1">
        <v>1</v>
      </c>
      <c r="M1045" s="2">
        <v>2463.37</v>
      </c>
      <c r="N1045" s="2">
        <v>24.63</v>
      </c>
      <c r="O1045" s="2">
        <v>2438.7399999999998</v>
      </c>
      <c r="P1045" s="1">
        <v>164</v>
      </c>
      <c r="Q1045" s="2">
        <v>246.34</v>
      </c>
      <c r="R1045" s="2">
        <v>714.36</v>
      </c>
      <c r="S1045" s="1" t="s">
        <v>1016</v>
      </c>
      <c r="T1045" s="1" t="s">
        <v>1007</v>
      </c>
      <c r="U1045" s="1" t="s">
        <v>1007</v>
      </c>
    </row>
    <row r="1046" spans="1:21" x14ac:dyDescent="0.3">
      <c r="A1046" s="1" t="s">
        <v>2060</v>
      </c>
      <c r="B1046" s="1" t="s">
        <v>95</v>
      </c>
      <c r="C1046" s="1" t="s">
        <v>96</v>
      </c>
      <c r="D1046" s="1" t="s">
        <v>97</v>
      </c>
      <c r="E1046" s="1" t="s">
        <v>3187</v>
      </c>
      <c r="F1046" s="1" t="s">
        <v>1009</v>
      </c>
      <c r="G1046" s="1" t="s">
        <v>1023</v>
      </c>
      <c r="H1046" s="1">
        <v>5</v>
      </c>
      <c r="I1046" s="1">
        <v>3</v>
      </c>
      <c r="J1046" s="1" t="s">
        <v>2684</v>
      </c>
      <c r="K1046" s="2">
        <v>392.34</v>
      </c>
      <c r="L1046" s="1">
        <v>24</v>
      </c>
      <c r="M1046" s="2">
        <v>1961.7</v>
      </c>
      <c r="N1046" s="2">
        <v>470.81</v>
      </c>
      <c r="O1046" s="2">
        <v>1490.89</v>
      </c>
      <c r="P1046" s="1">
        <v>53</v>
      </c>
      <c r="Q1046" s="2">
        <v>274.64</v>
      </c>
      <c r="R1046" s="2">
        <v>117.69</v>
      </c>
      <c r="S1046" s="1" t="s">
        <v>1016</v>
      </c>
      <c r="T1046" s="1" t="s">
        <v>1007</v>
      </c>
      <c r="U1046" s="1" t="s">
        <v>1004</v>
      </c>
    </row>
    <row r="1047" spans="1:21" x14ac:dyDescent="0.3">
      <c r="A1047" s="1" t="s">
        <v>2061</v>
      </c>
      <c r="B1047" s="1" t="s">
        <v>72</v>
      </c>
      <c r="C1047" s="1" t="s">
        <v>73</v>
      </c>
      <c r="D1047" s="1" t="s">
        <v>47</v>
      </c>
      <c r="E1047" s="1" t="s">
        <v>3188</v>
      </c>
      <c r="F1047" s="1" t="s">
        <v>1020</v>
      </c>
      <c r="G1047" s="1" t="s">
        <v>1010</v>
      </c>
      <c r="H1047" s="1">
        <v>2</v>
      </c>
      <c r="I1047" s="1">
        <v>6</v>
      </c>
      <c r="J1047" s="1" t="s">
        <v>2520</v>
      </c>
      <c r="K1047" s="2">
        <v>465.36</v>
      </c>
      <c r="L1047" s="1">
        <v>2</v>
      </c>
      <c r="M1047" s="2">
        <v>930.72</v>
      </c>
      <c r="N1047" s="2">
        <v>18.61</v>
      </c>
      <c r="O1047" s="2">
        <v>912.11</v>
      </c>
      <c r="P1047" s="1">
        <v>89</v>
      </c>
      <c r="Q1047" s="2">
        <v>325.75</v>
      </c>
      <c r="R1047" s="2">
        <v>260.61</v>
      </c>
      <c r="S1047" s="1" t="s">
        <v>1011</v>
      </c>
      <c r="T1047" s="1" t="s">
        <v>1007</v>
      </c>
      <c r="U1047" s="1" t="s">
        <v>1007</v>
      </c>
    </row>
    <row r="1048" spans="1:21" x14ac:dyDescent="0.3">
      <c r="A1048" s="1" t="s">
        <v>2062</v>
      </c>
      <c r="B1048" s="1" t="s">
        <v>83</v>
      </c>
      <c r="C1048" s="1" t="s">
        <v>84</v>
      </c>
      <c r="D1048" s="1" t="s">
        <v>85</v>
      </c>
      <c r="E1048" s="1" t="s">
        <v>3189</v>
      </c>
      <c r="F1048" s="1" t="s">
        <v>1015</v>
      </c>
      <c r="G1048" s="1" t="s">
        <v>1023</v>
      </c>
      <c r="H1048" s="1">
        <v>14</v>
      </c>
      <c r="I1048" s="1">
        <v>3</v>
      </c>
      <c r="J1048" s="1" t="s">
        <v>2881</v>
      </c>
      <c r="K1048" s="2">
        <v>347.73</v>
      </c>
      <c r="L1048" s="1">
        <v>20</v>
      </c>
      <c r="M1048" s="2">
        <v>4868.22</v>
      </c>
      <c r="N1048" s="2">
        <v>973.64</v>
      </c>
      <c r="O1048" s="2">
        <v>3894.58</v>
      </c>
      <c r="P1048" s="1">
        <v>135</v>
      </c>
      <c r="Q1048" s="2">
        <v>243.41</v>
      </c>
      <c r="R1048" s="2">
        <v>486.84</v>
      </c>
      <c r="S1048" s="1" t="s">
        <v>1003</v>
      </c>
      <c r="T1048" s="1" t="s">
        <v>1004</v>
      </c>
      <c r="U1048" s="1" t="s">
        <v>1004</v>
      </c>
    </row>
    <row r="1049" spans="1:21" x14ac:dyDescent="0.3">
      <c r="A1049" s="1" t="s">
        <v>2063</v>
      </c>
      <c r="B1049" s="1" t="s">
        <v>52</v>
      </c>
      <c r="C1049" s="1" t="s">
        <v>53</v>
      </c>
      <c r="D1049" s="1" t="s">
        <v>47</v>
      </c>
      <c r="E1049" s="1" t="s">
        <v>3190</v>
      </c>
      <c r="F1049" s="1" t="s">
        <v>1020</v>
      </c>
      <c r="G1049" s="1" t="s">
        <v>1010</v>
      </c>
      <c r="H1049" s="1">
        <v>12</v>
      </c>
      <c r="I1049" s="1">
        <v>2</v>
      </c>
      <c r="J1049" s="1" t="s">
        <v>2695</v>
      </c>
      <c r="K1049" s="2">
        <v>409.96</v>
      </c>
      <c r="L1049" s="1">
        <v>25</v>
      </c>
      <c r="M1049" s="2">
        <v>4919.5200000000004</v>
      </c>
      <c r="N1049" s="2">
        <v>1229.8800000000001</v>
      </c>
      <c r="O1049" s="2">
        <v>3689.64</v>
      </c>
      <c r="P1049" s="1">
        <v>143</v>
      </c>
      <c r="Q1049" s="2">
        <v>286.97000000000003</v>
      </c>
      <c r="R1049" s="2">
        <v>246</v>
      </c>
      <c r="S1049" s="1" t="s">
        <v>1011</v>
      </c>
      <c r="T1049" s="1" t="s">
        <v>1004</v>
      </c>
      <c r="U1049" s="1" t="s">
        <v>1007</v>
      </c>
    </row>
    <row r="1050" spans="1:21" x14ac:dyDescent="0.3">
      <c r="A1050" s="1" t="s">
        <v>2064</v>
      </c>
      <c r="B1050" s="1" t="s">
        <v>69</v>
      </c>
      <c r="C1050" s="1" t="s">
        <v>70</v>
      </c>
      <c r="D1050" s="1" t="s">
        <v>59</v>
      </c>
      <c r="E1050" s="1" t="s">
        <v>3191</v>
      </c>
      <c r="F1050" s="1" t="s">
        <v>1027</v>
      </c>
      <c r="G1050" s="1" t="s">
        <v>1010</v>
      </c>
      <c r="H1050" s="1">
        <v>14</v>
      </c>
      <c r="I1050" s="1">
        <v>6</v>
      </c>
      <c r="J1050" s="1" t="s">
        <v>2564</v>
      </c>
      <c r="K1050" s="2">
        <v>303.55</v>
      </c>
      <c r="L1050" s="1">
        <v>18</v>
      </c>
      <c r="M1050" s="2">
        <v>4249.7</v>
      </c>
      <c r="N1050" s="2">
        <v>764.95</v>
      </c>
      <c r="O1050" s="2">
        <v>3484.75</v>
      </c>
      <c r="P1050" s="1">
        <v>55</v>
      </c>
      <c r="Q1050" s="2">
        <v>212.48</v>
      </c>
      <c r="R1050" s="2">
        <v>510.03</v>
      </c>
      <c r="S1050" s="1" t="s">
        <v>1016</v>
      </c>
      <c r="T1050" s="1" t="s">
        <v>1007</v>
      </c>
      <c r="U1050" s="1" t="s">
        <v>1004</v>
      </c>
    </row>
    <row r="1051" spans="1:21" x14ac:dyDescent="0.3">
      <c r="A1051" s="1" t="s">
        <v>2065</v>
      </c>
      <c r="B1051" s="1" t="s">
        <v>123</v>
      </c>
      <c r="C1051" s="1" t="s">
        <v>124</v>
      </c>
      <c r="D1051" s="1" t="s">
        <v>47</v>
      </c>
      <c r="E1051" s="1" t="s">
        <v>3192</v>
      </c>
      <c r="F1051" s="1" t="s">
        <v>1015</v>
      </c>
      <c r="G1051" s="1" t="s">
        <v>1002</v>
      </c>
      <c r="H1051" s="1">
        <v>14</v>
      </c>
      <c r="I1051" s="1">
        <v>3</v>
      </c>
      <c r="J1051" s="1" t="s">
        <v>2592</v>
      </c>
      <c r="K1051" s="2">
        <v>236.49</v>
      </c>
      <c r="L1051" s="1">
        <v>2</v>
      </c>
      <c r="M1051" s="2">
        <v>3310.86</v>
      </c>
      <c r="N1051" s="2">
        <v>66.22</v>
      </c>
      <c r="O1051" s="2">
        <v>3244.64</v>
      </c>
      <c r="P1051" s="1">
        <v>183</v>
      </c>
      <c r="Q1051" s="2">
        <v>165.54</v>
      </c>
      <c r="R1051" s="2">
        <v>927.08</v>
      </c>
      <c r="S1051" s="1" t="s">
        <v>1011</v>
      </c>
      <c r="T1051" s="1" t="s">
        <v>1007</v>
      </c>
      <c r="U1051" s="1" t="s">
        <v>1007</v>
      </c>
    </row>
    <row r="1052" spans="1:21" x14ac:dyDescent="0.3">
      <c r="A1052" s="1" t="s">
        <v>2066</v>
      </c>
      <c r="B1052" s="1" t="s">
        <v>130</v>
      </c>
      <c r="C1052" s="1" t="s">
        <v>131</v>
      </c>
      <c r="D1052" s="1" t="s">
        <v>132</v>
      </c>
      <c r="E1052" s="1" t="s">
        <v>3193</v>
      </c>
      <c r="F1052" s="1" t="s">
        <v>1020</v>
      </c>
      <c r="G1052" s="1" t="s">
        <v>1002</v>
      </c>
      <c r="H1052" s="1">
        <v>9</v>
      </c>
      <c r="I1052" s="1">
        <v>6</v>
      </c>
      <c r="J1052" s="1" t="s">
        <v>2576</v>
      </c>
      <c r="K1052" s="2">
        <v>233.68</v>
      </c>
      <c r="L1052" s="1">
        <v>15</v>
      </c>
      <c r="M1052" s="2">
        <v>2103.12</v>
      </c>
      <c r="N1052" s="2">
        <v>315.47000000000003</v>
      </c>
      <c r="O1052" s="2">
        <v>1787.65</v>
      </c>
      <c r="P1052" s="1">
        <v>57</v>
      </c>
      <c r="Q1052" s="2">
        <v>163.58000000000001</v>
      </c>
      <c r="R1052" s="2">
        <v>315.43</v>
      </c>
      <c r="S1052" s="1" t="s">
        <v>1003</v>
      </c>
      <c r="T1052" s="1" t="s">
        <v>1004</v>
      </c>
      <c r="U1052" s="1" t="s">
        <v>1007</v>
      </c>
    </row>
    <row r="1053" spans="1:21" x14ac:dyDescent="0.3">
      <c r="A1053" s="1" t="s">
        <v>2067</v>
      </c>
      <c r="B1053" s="1" t="s">
        <v>52</v>
      </c>
      <c r="C1053" s="1" t="s">
        <v>53</v>
      </c>
      <c r="D1053" s="1" t="s">
        <v>47</v>
      </c>
      <c r="E1053" s="1" t="s">
        <v>3194</v>
      </c>
      <c r="F1053" s="1" t="s">
        <v>1001</v>
      </c>
      <c r="G1053" s="1" t="s">
        <v>1010</v>
      </c>
      <c r="H1053" s="1">
        <v>2</v>
      </c>
      <c r="I1053" s="1">
        <v>4</v>
      </c>
      <c r="J1053" s="1" t="s">
        <v>3195</v>
      </c>
      <c r="K1053" s="2">
        <v>161.65</v>
      </c>
      <c r="L1053" s="1">
        <v>24</v>
      </c>
      <c r="M1053" s="2">
        <v>323.3</v>
      </c>
      <c r="N1053" s="2">
        <v>77.59</v>
      </c>
      <c r="O1053" s="2">
        <v>245.71</v>
      </c>
      <c r="P1053" s="1">
        <v>236</v>
      </c>
      <c r="Q1053" s="2">
        <v>113.16</v>
      </c>
      <c r="R1053" s="2">
        <v>19.39</v>
      </c>
      <c r="S1053" s="1" t="s">
        <v>1011</v>
      </c>
      <c r="T1053" s="1" t="s">
        <v>1007</v>
      </c>
      <c r="U1053" s="1" t="s">
        <v>1004</v>
      </c>
    </row>
    <row r="1054" spans="1:21" x14ac:dyDescent="0.3">
      <c r="A1054" s="1" t="s">
        <v>2068</v>
      </c>
      <c r="B1054" s="1" t="s">
        <v>52</v>
      </c>
      <c r="C1054" s="1" t="s">
        <v>53</v>
      </c>
      <c r="D1054" s="1" t="s">
        <v>47</v>
      </c>
      <c r="E1054" s="1" t="s">
        <v>3196</v>
      </c>
      <c r="F1054" s="1" t="s">
        <v>1001</v>
      </c>
      <c r="G1054" s="1" t="s">
        <v>1002</v>
      </c>
      <c r="H1054" s="1">
        <v>6</v>
      </c>
      <c r="I1054" s="1">
        <v>5</v>
      </c>
      <c r="J1054" s="1" t="s">
        <v>2798</v>
      </c>
      <c r="K1054" s="2">
        <v>487.44</v>
      </c>
      <c r="L1054" s="1">
        <v>1</v>
      </c>
      <c r="M1054" s="2">
        <v>2924.64</v>
      </c>
      <c r="N1054" s="2">
        <v>29.25</v>
      </c>
      <c r="O1054" s="2">
        <v>2895.39</v>
      </c>
      <c r="P1054" s="1">
        <v>154</v>
      </c>
      <c r="Q1054" s="2">
        <v>341.21</v>
      </c>
      <c r="R1054" s="2">
        <v>848.13</v>
      </c>
      <c r="S1054" s="1" t="s">
        <v>1016</v>
      </c>
      <c r="T1054" s="1" t="s">
        <v>1004</v>
      </c>
      <c r="U1054" s="1" t="s">
        <v>1004</v>
      </c>
    </row>
    <row r="1055" spans="1:21" x14ac:dyDescent="0.3">
      <c r="A1055" s="1" t="s">
        <v>2069</v>
      </c>
      <c r="B1055" s="1" t="s">
        <v>63</v>
      </c>
      <c r="C1055" s="1" t="s">
        <v>64</v>
      </c>
      <c r="D1055" s="1" t="s">
        <v>28</v>
      </c>
      <c r="E1055" s="1" t="s">
        <v>3197</v>
      </c>
      <c r="F1055" s="1" t="s">
        <v>1006</v>
      </c>
      <c r="G1055" s="1" t="s">
        <v>1002</v>
      </c>
      <c r="H1055" s="1">
        <v>12</v>
      </c>
      <c r="I1055" s="1">
        <v>6</v>
      </c>
      <c r="J1055" s="1" t="s">
        <v>2888</v>
      </c>
      <c r="K1055" s="2">
        <v>170.07</v>
      </c>
      <c r="L1055" s="1">
        <v>22</v>
      </c>
      <c r="M1055" s="2">
        <v>2040.84</v>
      </c>
      <c r="N1055" s="2">
        <v>448.98</v>
      </c>
      <c r="O1055" s="2">
        <v>1591.86</v>
      </c>
      <c r="P1055" s="1">
        <v>110</v>
      </c>
      <c r="Q1055" s="2">
        <v>119.05</v>
      </c>
      <c r="R1055" s="2">
        <v>163.26</v>
      </c>
      <c r="S1055" s="1" t="s">
        <v>1011</v>
      </c>
      <c r="T1055" s="1" t="s">
        <v>1007</v>
      </c>
      <c r="U1055" s="1" t="s">
        <v>1007</v>
      </c>
    </row>
    <row r="1056" spans="1:21" x14ac:dyDescent="0.3">
      <c r="A1056" s="1" t="s">
        <v>2070</v>
      </c>
      <c r="B1056" s="1" t="s">
        <v>107</v>
      </c>
      <c r="C1056" s="1" t="s">
        <v>108</v>
      </c>
      <c r="D1056" s="1" t="s">
        <v>39</v>
      </c>
      <c r="E1056" s="1" t="s">
        <v>3198</v>
      </c>
      <c r="F1056" s="1" t="s">
        <v>1020</v>
      </c>
      <c r="G1056" s="1" t="s">
        <v>1010</v>
      </c>
      <c r="H1056" s="1">
        <v>11</v>
      </c>
      <c r="I1056" s="1">
        <v>1</v>
      </c>
      <c r="J1056" s="1" t="s">
        <v>2902</v>
      </c>
      <c r="K1056" s="2">
        <v>468.68</v>
      </c>
      <c r="L1056" s="1">
        <v>5</v>
      </c>
      <c r="M1056" s="2">
        <v>5155.4799999999996</v>
      </c>
      <c r="N1056" s="2">
        <v>257.77</v>
      </c>
      <c r="O1056" s="2">
        <v>4897.71</v>
      </c>
      <c r="P1056" s="1">
        <v>292</v>
      </c>
      <c r="Q1056" s="2">
        <v>328.08</v>
      </c>
      <c r="R1056" s="2">
        <v>1288.83</v>
      </c>
      <c r="S1056" s="1" t="s">
        <v>1016</v>
      </c>
      <c r="T1056" s="1" t="s">
        <v>1007</v>
      </c>
      <c r="U1056" s="1" t="s">
        <v>1007</v>
      </c>
    </row>
    <row r="1057" spans="1:21" x14ac:dyDescent="0.3">
      <c r="A1057" s="1" t="s">
        <v>2071</v>
      </c>
      <c r="B1057" s="1" t="s">
        <v>45</v>
      </c>
      <c r="C1057" s="1" t="s">
        <v>46</v>
      </c>
      <c r="D1057" s="1" t="s">
        <v>47</v>
      </c>
      <c r="E1057" s="1" t="s">
        <v>3199</v>
      </c>
      <c r="F1057" s="1" t="s">
        <v>1001</v>
      </c>
      <c r="G1057" s="1" t="s">
        <v>1010</v>
      </c>
      <c r="H1057" s="1">
        <v>2</v>
      </c>
      <c r="I1057" s="1">
        <v>2</v>
      </c>
      <c r="J1057" s="1" t="s">
        <v>2593</v>
      </c>
      <c r="K1057" s="2">
        <v>324.08</v>
      </c>
      <c r="L1057" s="1">
        <v>17</v>
      </c>
      <c r="M1057" s="2">
        <v>648.16</v>
      </c>
      <c r="N1057" s="2">
        <v>110.19</v>
      </c>
      <c r="O1057" s="2">
        <v>537.97</v>
      </c>
      <c r="P1057" s="1">
        <v>249</v>
      </c>
      <c r="Q1057" s="2">
        <v>226.86</v>
      </c>
      <c r="R1057" s="2">
        <v>84.25</v>
      </c>
      <c r="S1057" s="1" t="s">
        <v>1011</v>
      </c>
      <c r="T1057" s="1" t="s">
        <v>1004</v>
      </c>
      <c r="U1057" s="1" t="s">
        <v>1004</v>
      </c>
    </row>
    <row r="1058" spans="1:21" x14ac:dyDescent="0.3">
      <c r="A1058" s="1" t="s">
        <v>2072</v>
      </c>
      <c r="B1058" s="1" t="s">
        <v>237</v>
      </c>
      <c r="C1058" s="1" t="s">
        <v>238</v>
      </c>
      <c r="D1058" s="1" t="s">
        <v>85</v>
      </c>
      <c r="E1058" s="1" t="s">
        <v>3200</v>
      </c>
      <c r="F1058" s="1" t="s">
        <v>1020</v>
      </c>
      <c r="G1058" s="1" t="s">
        <v>1002</v>
      </c>
      <c r="H1058" s="1">
        <v>10</v>
      </c>
      <c r="I1058" s="1">
        <v>3</v>
      </c>
      <c r="J1058" s="1" t="s">
        <v>2621</v>
      </c>
      <c r="K1058" s="2">
        <v>172.72</v>
      </c>
      <c r="L1058" s="1">
        <v>10</v>
      </c>
      <c r="M1058" s="2">
        <v>1727.2</v>
      </c>
      <c r="N1058" s="2">
        <v>172.72</v>
      </c>
      <c r="O1058" s="2">
        <v>1554.48</v>
      </c>
      <c r="P1058" s="1">
        <v>186</v>
      </c>
      <c r="Q1058" s="2">
        <v>120.9</v>
      </c>
      <c r="R1058" s="2">
        <v>345.48</v>
      </c>
      <c r="S1058" s="1" t="s">
        <v>1003</v>
      </c>
      <c r="T1058" s="1" t="s">
        <v>1007</v>
      </c>
      <c r="U1058" s="1" t="s">
        <v>1004</v>
      </c>
    </row>
    <row r="1059" spans="1:21" x14ac:dyDescent="0.3">
      <c r="A1059" s="1" t="s">
        <v>2073</v>
      </c>
      <c r="B1059" s="1" t="s">
        <v>192</v>
      </c>
      <c r="C1059" s="1" t="s">
        <v>193</v>
      </c>
      <c r="D1059" s="1" t="s">
        <v>85</v>
      </c>
      <c r="E1059" s="1" t="s">
        <v>3201</v>
      </c>
      <c r="F1059" s="1" t="s">
        <v>1015</v>
      </c>
      <c r="G1059" s="1" t="s">
        <v>1010</v>
      </c>
      <c r="H1059" s="1">
        <v>13</v>
      </c>
      <c r="I1059" s="1">
        <v>2</v>
      </c>
      <c r="J1059" s="1" t="s">
        <v>2548</v>
      </c>
      <c r="K1059" s="2">
        <v>411.45</v>
      </c>
      <c r="L1059" s="1">
        <v>9</v>
      </c>
      <c r="M1059" s="2">
        <v>5348.85</v>
      </c>
      <c r="N1059" s="2">
        <v>481.4</v>
      </c>
      <c r="O1059" s="2">
        <v>4867.45</v>
      </c>
      <c r="P1059" s="1">
        <v>106</v>
      </c>
      <c r="Q1059" s="2">
        <v>288.01</v>
      </c>
      <c r="R1059" s="2">
        <v>1123.32</v>
      </c>
      <c r="S1059" s="1" t="s">
        <v>1003</v>
      </c>
      <c r="T1059" s="1" t="s">
        <v>1004</v>
      </c>
      <c r="U1059" s="1" t="s">
        <v>1007</v>
      </c>
    </row>
    <row r="1060" spans="1:21" x14ac:dyDescent="0.3">
      <c r="A1060" s="1" t="s">
        <v>2074</v>
      </c>
      <c r="B1060" s="1" t="s">
        <v>63</v>
      </c>
      <c r="C1060" s="1" t="s">
        <v>64</v>
      </c>
      <c r="D1060" s="1" t="s">
        <v>28</v>
      </c>
      <c r="E1060" s="1" t="s">
        <v>3202</v>
      </c>
      <c r="F1060" s="1" t="s">
        <v>1015</v>
      </c>
      <c r="G1060" s="1" t="s">
        <v>1023</v>
      </c>
      <c r="H1060" s="1">
        <v>2</v>
      </c>
      <c r="I1060" s="1">
        <v>6</v>
      </c>
      <c r="J1060" s="1" t="s">
        <v>2750</v>
      </c>
      <c r="K1060" s="2">
        <v>298.97000000000003</v>
      </c>
      <c r="L1060" s="1">
        <v>8</v>
      </c>
      <c r="M1060" s="2">
        <v>597.94000000000005</v>
      </c>
      <c r="N1060" s="2">
        <v>47.84</v>
      </c>
      <c r="O1060" s="2">
        <v>550.1</v>
      </c>
      <c r="P1060" s="1">
        <v>153</v>
      </c>
      <c r="Q1060" s="2">
        <v>209.28</v>
      </c>
      <c r="R1060" s="2">
        <v>131.54</v>
      </c>
      <c r="S1060" s="1" t="s">
        <v>1003</v>
      </c>
      <c r="T1060" s="1" t="s">
        <v>1007</v>
      </c>
      <c r="U1060" s="1" t="s">
        <v>1007</v>
      </c>
    </row>
    <row r="1061" spans="1:21" x14ac:dyDescent="0.3">
      <c r="A1061" s="1" t="s">
        <v>2075</v>
      </c>
      <c r="B1061" s="1" t="s">
        <v>107</v>
      </c>
      <c r="C1061" s="1" t="s">
        <v>108</v>
      </c>
      <c r="D1061" s="1" t="s">
        <v>39</v>
      </c>
      <c r="E1061" s="1" t="s">
        <v>3203</v>
      </c>
      <c r="F1061" s="1" t="s">
        <v>1013</v>
      </c>
      <c r="G1061" s="1" t="s">
        <v>1002</v>
      </c>
      <c r="H1061" s="1">
        <v>2</v>
      </c>
      <c r="I1061" s="1">
        <v>5</v>
      </c>
      <c r="J1061" s="1" t="s">
        <v>2544</v>
      </c>
      <c r="K1061" s="2">
        <v>458.97</v>
      </c>
      <c r="L1061" s="1">
        <v>7</v>
      </c>
      <c r="M1061" s="2">
        <v>917.94</v>
      </c>
      <c r="N1061" s="2">
        <v>64.260000000000005</v>
      </c>
      <c r="O1061" s="2">
        <v>853.68</v>
      </c>
      <c r="P1061" s="1">
        <v>94</v>
      </c>
      <c r="Q1061" s="2">
        <v>321.27999999999997</v>
      </c>
      <c r="R1061" s="2">
        <v>211.12</v>
      </c>
      <c r="S1061" s="1" t="s">
        <v>1011</v>
      </c>
      <c r="T1061" s="1" t="s">
        <v>1004</v>
      </c>
      <c r="U1061" s="1" t="s">
        <v>1004</v>
      </c>
    </row>
    <row r="1062" spans="1:21" x14ac:dyDescent="0.3">
      <c r="A1062" s="1" t="s">
        <v>2076</v>
      </c>
      <c r="B1062" s="1" t="s">
        <v>26</v>
      </c>
      <c r="C1062" s="1" t="s">
        <v>27</v>
      </c>
      <c r="D1062" s="1" t="s">
        <v>28</v>
      </c>
      <c r="E1062" s="1" t="s">
        <v>3204</v>
      </c>
      <c r="F1062" s="1" t="s">
        <v>1009</v>
      </c>
      <c r="G1062" s="1" t="s">
        <v>1010</v>
      </c>
      <c r="H1062" s="1">
        <v>11</v>
      </c>
      <c r="I1062" s="1">
        <v>7</v>
      </c>
      <c r="J1062" s="1" t="s">
        <v>2803</v>
      </c>
      <c r="K1062" s="2">
        <v>72.8</v>
      </c>
      <c r="L1062" s="1">
        <v>24</v>
      </c>
      <c r="M1062" s="2">
        <v>800.8</v>
      </c>
      <c r="N1062" s="2">
        <v>192.19</v>
      </c>
      <c r="O1062" s="2">
        <v>608.61</v>
      </c>
      <c r="P1062" s="1">
        <v>52</v>
      </c>
      <c r="Q1062" s="2">
        <v>50.96</v>
      </c>
      <c r="R1062" s="2">
        <v>48.05</v>
      </c>
      <c r="S1062" s="1" t="s">
        <v>1016</v>
      </c>
      <c r="T1062" s="1" t="s">
        <v>1004</v>
      </c>
      <c r="U1062" s="1" t="s">
        <v>1004</v>
      </c>
    </row>
    <row r="1063" spans="1:21" x14ac:dyDescent="0.3">
      <c r="A1063" s="1" t="s">
        <v>2077</v>
      </c>
      <c r="B1063" s="1" t="s">
        <v>77</v>
      </c>
      <c r="C1063" s="1" t="s">
        <v>78</v>
      </c>
      <c r="D1063" s="1" t="s">
        <v>47</v>
      </c>
      <c r="E1063" s="1" t="s">
        <v>3205</v>
      </c>
      <c r="F1063" s="1" t="s">
        <v>1015</v>
      </c>
      <c r="G1063" s="1" t="s">
        <v>1023</v>
      </c>
      <c r="H1063" s="1">
        <v>8</v>
      </c>
      <c r="I1063" s="1">
        <v>7</v>
      </c>
      <c r="J1063" s="1" t="s">
        <v>2867</v>
      </c>
      <c r="K1063" s="2">
        <v>341.41</v>
      </c>
      <c r="L1063" s="1">
        <v>8</v>
      </c>
      <c r="M1063" s="2">
        <v>2731.28</v>
      </c>
      <c r="N1063" s="2">
        <v>218.5</v>
      </c>
      <c r="O1063" s="2">
        <v>2512.7800000000002</v>
      </c>
      <c r="P1063" s="1">
        <v>287</v>
      </c>
      <c r="Q1063" s="2">
        <v>238.99</v>
      </c>
      <c r="R1063" s="2">
        <v>600.86</v>
      </c>
      <c r="S1063" s="1" t="s">
        <v>1016</v>
      </c>
      <c r="T1063" s="1" t="s">
        <v>1007</v>
      </c>
      <c r="U1063" s="1" t="s">
        <v>1004</v>
      </c>
    </row>
    <row r="1064" spans="1:21" x14ac:dyDescent="0.3">
      <c r="A1064" s="1" t="s">
        <v>2078</v>
      </c>
      <c r="B1064" s="1" t="s">
        <v>118</v>
      </c>
      <c r="C1064" s="1" t="s">
        <v>119</v>
      </c>
      <c r="D1064" s="1" t="s">
        <v>97</v>
      </c>
      <c r="E1064" s="1" t="s">
        <v>3206</v>
      </c>
      <c r="F1064" s="1" t="s">
        <v>1015</v>
      </c>
      <c r="G1064" s="1" t="s">
        <v>1023</v>
      </c>
      <c r="H1064" s="1">
        <v>6</v>
      </c>
      <c r="I1064" s="1">
        <v>6</v>
      </c>
      <c r="J1064" s="1" t="s">
        <v>2916</v>
      </c>
      <c r="K1064" s="2">
        <v>109.57</v>
      </c>
      <c r="L1064" s="1">
        <v>0</v>
      </c>
      <c r="M1064" s="2">
        <v>657.42</v>
      </c>
      <c r="N1064" s="2">
        <v>0</v>
      </c>
      <c r="O1064" s="2">
        <v>657.42</v>
      </c>
      <c r="P1064" s="1">
        <v>167</v>
      </c>
      <c r="Q1064" s="2">
        <v>76.7</v>
      </c>
      <c r="R1064" s="2">
        <v>197.22</v>
      </c>
      <c r="S1064" s="1" t="s">
        <v>1011</v>
      </c>
      <c r="T1064" s="1" t="s">
        <v>1004</v>
      </c>
      <c r="U1064" s="1" t="s">
        <v>1004</v>
      </c>
    </row>
    <row r="1065" spans="1:21" x14ac:dyDescent="0.3">
      <c r="A1065" s="1" t="s">
        <v>2079</v>
      </c>
      <c r="B1065" s="1" t="s">
        <v>95</v>
      </c>
      <c r="C1065" s="1" t="s">
        <v>96</v>
      </c>
      <c r="D1065" s="1" t="s">
        <v>97</v>
      </c>
      <c r="E1065" s="1" t="s">
        <v>3207</v>
      </c>
      <c r="F1065" s="1" t="s">
        <v>1006</v>
      </c>
      <c r="G1065" s="1" t="s">
        <v>1002</v>
      </c>
      <c r="H1065" s="1">
        <v>15</v>
      </c>
      <c r="I1065" s="1">
        <v>7</v>
      </c>
      <c r="J1065" s="1" t="s">
        <v>2818</v>
      </c>
      <c r="K1065" s="2">
        <v>52.37</v>
      </c>
      <c r="L1065" s="1">
        <v>16</v>
      </c>
      <c r="M1065" s="2">
        <v>785.55</v>
      </c>
      <c r="N1065" s="2">
        <v>125.69</v>
      </c>
      <c r="O1065" s="2">
        <v>659.86</v>
      </c>
      <c r="P1065" s="1">
        <v>163</v>
      </c>
      <c r="Q1065" s="2">
        <v>36.659999999999997</v>
      </c>
      <c r="R1065" s="2">
        <v>109.96</v>
      </c>
      <c r="S1065" s="1" t="s">
        <v>1011</v>
      </c>
      <c r="T1065" s="1" t="s">
        <v>1007</v>
      </c>
      <c r="U1065" s="1" t="s">
        <v>1004</v>
      </c>
    </row>
    <row r="1066" spans="1:21" x14ac:dyDescent="0.3">
      <c r="A1066" s="1" t="s">
        <v>2080</v>
      </c>
      <c r="B1066" s="1" t="s">
        <v>107</v>
      </c>
      <c r="C1066" s="1" t="s">
        <v>108</v>
      </c>
      <c r="D1066" s="1" t="s">
        <v>39</v>
      </c>
      <c r="E1066" s="1" t="s">
        <v>3208</v>
      </c>
      <c r="F1066" s="1" t="s">
        <v>1015</v>
      </c>
      <c r="G1066" s="1" t="s">
        <v>1002</v>
      </c>
      <c r="H1066" s="1">
        <v>9</v>
      </c>
      <c r="I1066" s="1">
        <v>2</v>
      </c>
      <c r="J1066" s="1" t="s">
        <v>2752</v>
      </c>
      <c r="K1066" s="2">
        <v>344.84</v>
      </c>
      <c r="L1066" s="1">
        <v>14</v>
      </c>
      <c r="M1066" s="2">
        <v>3103.56</v>
      </c>
      <c r="N1066" s="2">
        <v>434.5</v>
      </c>
      <c r="O1066" s="2">
        <v>2669.06</v>
      </c>
      <c r="P1066" s="1">
        <v>212</v>
      </c>
      <c r="Q1066" s="2">
        <v>241.39</v>
      </c>
      <c r="R1066" s="2">
        <v>496.55</v>
      </c>
      <c r="S1066" s="1" t="s">
        <v>1016</v>
      </c>
      <c r="T1066" s="1" t="s">
        <v>1007</v>
      </c>
      <c r="U1066" s="1" t="s">
        <v>1004</v>
      </c>
    </row>
    <row r="1067" spans="1:21" x14ac:dyDescent="0.3">
      <c r="A1067" s="1" t="s">
        <v>2081</v>
      </c>
      <c r="B1067" s="1" t="s">
        <v>69</v>
      </c>
      <c r="C1067" s="1" t="s">
        <v>70</v>
      </c>
      <c r="D1067" s="1" t="s">
        <v>59</v>
      </c>
      <c r="E1067" s="1" t="s">
        <v>3209</v>
      </c>
      <c r="F1067" s="1" t="s">
        <v>1001</v>
      </c>
      <c r="G1067" s="1" t="s">
        <v>1010</v>
      </c>
      <c r="H1067" s="1">
        <v>7</v>
      </c>
      <c r="I1067" s="1">
        <v>5</v>
      </c>
      <c r="J1067" s="1" t="s">
        <v>2890</v>
      </c>
      <c r="K1067" s="2">
        <v>125.71</v>
      </c>
      <c r="L1067" s="1">
        <v>14</v>
      </c>
      <c r="M1067" s="2">
        <v>879.97</v>
      </c>
      <c r="N1067" s="2">
        <v>123.2</v>
      </c>
      <c r="O1067" s="2">
        <v>756.77</v>
      </c>
      <c r="P1067" s="1">
        <v>182</v>
      </c>
      <c r="Q1067" s="2">
        <v>88</v>
      </c>
      <c r="R1067" s="2">
        <v>140.77000000000001</v>
      </c>
      <c r="S1067" s="1" t="s">
        <v>1011</v>
      </c>
      <c r="T1067" s="1" t="s">
        <v>1004</v>
      </c>
      <c r="U1067" s="1" t="s">
        <v>1007</v>
      </c>
    </row>
    <row r="1068" spans="1:21" x14ac:dyDescent="0.3">
      <c r="A1068" s="1" t="s">
        <v>2082</v>
      </c>
      <c r="B1068" s="1" t="s">
        <v>102</v>
      </c>
      <c r="C1068" s="1" t="s">
        <v>103</v>
      </c>
      <c r="D1068" s="1" t="s">
        <v>104</v>
      </c>
      <c r="E1068" s="1" t="s">
        <v>3210</v>
      </c>
      <c r="F1068" s="1" t="s">
        <v>1001</v>
      </c>
      <c r="G1068" s="1" t="s">
        <v>1010</v>
      </c>
      <c r="H1068" s="1">
        <v>5</v>
      </c>
      <c r="I1068" s="1">
        <v>6</v>
      </c>
      <c r="J1068" s="1" t="s">
        <v>2537</v>
      </c>
      <c r="K1068" s="2">
        <v>110.75</v>
      </c>
      <c r="L1068" s="1">
        <v>6</v>
      </c>
      <c r="M1068" s="2">
        <v>553.75</v>
      </c>
      <c r="N1068" s="2">
        <v>33.229999999999997</v>
      </c>
      <c r="O1068" s="2">
        <v>520.52</v>
      </c>
      <c r="P1068" s="1">
        <v>211</v>
      </c>
      <c r="Q1068" s="2">
        <v>77.52</v>
      </c>
      <c r="R1068" s="2">
        <v>132.91999999999999</v>
      </c>
      <c r="S1068" s="1" t="s">
        <v>1016</v>
      </c>
      <c r="T1068" s="1" t="s">
        <v>1007</v>
      </c>
      <c r="U1068" s="1" t="s">
        <v>1007</v>
      </c>
    </row>
    <row r="1069" spans="1:21" x14ac:dyDescent="0.3">
      <c r="A1069" s="1" t="s">
        <v>2083</v>
      </c>
      <c r="B1069" s="1" t="s">
        <v>83</v>
      </c>
      <c r="C1069" s="1" t="s">
        <v>84</v>
      </c>
      <c r="D1069" s="1" t="s">
        <v>85</v>
      </c>
      <c r="E1069" s="1" t="s">
        <v>3211</v>
      </c>
      <c r="F1069" s="1" t="s">
        <v>1013</v>
      </c>
      <c r="G1069" s="1" t="s">
        <v>1023</v>
      </c>
      <c r="H1069" s="1">
        <v>13</v>
      </c>
      <c r="I1069" s="1">
        <v>1</v>
      </c>
      <c r="J1069" s="1" t="s">
        <v>2645</v>
      </c>
      <c r="K1069" s="2">
        <v>410.18</v>
      </c>
      <c r="L1069" s="1">
        <v>10</v>
      </c>
      <c r="M1069" s="2">
        <v>5332.34</v>
      </c>
      <c r="N1069" s="2">
        <v>533.23</v>
      </c>
      <c r="O1069" s="2">
        <v>4799.1099999999997</v>
      </c>
      <c r="P1069" s="1">
        <v>138</v>
      </c>
      <c r="Q1069" s="2">
        <v>287.13</v>
      </c>
      <c r="R1069" s="2">
        <v>1066.42</v>
      </c>
      <c r="S1069" s="1" t="s">
        <v>1003</v>
      </c>
      <c r="T1069" s="1" t="s">
        <v>1004</v>
      </c>
      <c r="U1069" s="1" t="s">
        <v>1007</v>
      </c>
    </row>
    <row r="1070" spans="1:21" x14ac:dyDescent="0.3">
      <c r="A1070" s="1" t="s">
        <v>2084</v>
      </c>
      <c r="B1070" s="1" t="s">
        <v>26</v>
      </c>
      <c r="C1070" s="1" t="s">
        <v>27</v>
      </c>
      <c r="D1070" s="1" t="s">
        <v>28</v>
      </c>
      <c r="E1070" s="1" t="s">
        <v>3212</v>
      </c>
      <c r="F1070" s="1" t="s">
        <v>1001</v>
      </c>
      <c r="G1070" s="1" t="s">
        <v>1010</v>
      </c>
      <c r="H1070" s="1">
        <v>5</v>
      </c>
      <c r="I1070" s="1">
        <v>2</v>
      </c>
      <c r="J1070" s="1" t="s">
        <v>2558</v>
      </c>
      <c r="K1070" s="2">
        <v>309.56</v>
      </c>
      <c r="L1070" s="1">
        <v>16</v>
      </c>
      <c r="M1070" s="2">
        <v>1547.8</v>
      </c>
      <c r="N1070" s="2">
        <v>247.65</v>
      </c>
      <c r="O1070" s="2">
        <v>1300.1500000000001</v>
      </c>
      <c r="P1070" s="1">
        <v>84</v>
      </c>
      <c r="Q1070" s="2">
        <v>216.69</v>
      </c>
      <c r="R1070" s="2">
        <v>216.7</v>
      </c>
      <c r="S1070" s="1" t="s">
        <v>1011</v>
      </c>
      <c r="T1070" s="1" t="s">
        <v>1004</v>
      </c>
      <c r="U1070" s="1" t="s">
        <v>1004</v>
      </c>
    </row>
    <row r="1071" spans="1:21" x14ac:dyDescent="0.3">
      <c r="A1071" s="1" t="s">
        <v>2085</v>
      </c>
      <c r="B1071" s="1" t="s">
        <v>130</v>
      </c>
      <c r="C1071" s="1" t="s">
        <v>131</v>
      </c>
      <c r="D1071" s="1" t="s">
        <v>132</v>
      </c>
      <c r="E1071" s="1" t="s">
        <v>3213</v>
      </c>
      <c r="F1071" s="1" t="s">
        <v>1013</v>
      </c>
      <c r="G1071" s="1" t="s">
        <v>1023</v>
      </c>
      <c r="H1071" s="1">
        <v>15</v>
      </c>
      <c r="I1071" s="1">
        <v>7</v>
      </c>
      <c r="J1071" s="1" t="s">
        <v>2858</v>
      </c>
      <c r="K1071" s="2">
        <v>364.94</v>
      </c>
      <c r="L1071" s="1">
        <v>18</v>
      </c>
      <c r="M1071" s="2">
        <v>5474.1</v>
      </c>
      <c r="N1071" s="2">
        <v>985.34</v>
      </c>
      <c r="O1071" s="2">
        <v>4488.76</v>
      </c>
      <c r="P1071" s="1">
        <v>55</v>
      </c>
      <c r="Q1071" s="2">
        <v>255.46</v>
      </c>
      <c r="R1071" s="2">
        <v>656.86</v>
      </c>
      <c r="S1071" s="1" t="s">
        <v>1011</v>
      </c>
      <c r="T1071" s="1" t="s">
        <v>1007</v>
      </c>
      <c r="U1071" s="1" t="s">
        <v>1004</v>
      </c>
    </row>
    <row r="1072" spans="1:21" x14ac:dyDescent="0.3">
      <c r="A1072" s="1" t="s">
        <v>2086</v>
      </c>
      <c r="B1072" s="1" t="s">
        <v>118</v>
      </c>
      <c r="C1072" s="1" t="s">
        <v>119</v>
      </c>
      <c r="D1072" s="1" t="s">
        <v>97</v>
      </c>
      <c r="E1072" s="1" t="s">
        <v>3214</v>
      </c>
      <c r="F1072" s="1" t="s">
        <v>1020</v>
      </c>
      <c r="G1072" s="1" t="s">
        <v>1002</v>
      </c>
      <c r="H1072" s="1">
        <v>15</v>
      </c>
      <c r="I1072" s="1">
        <v>5</v>
      </c>
      <c r="J1072" s="1" t="s">
        <v>2884</v>
      </c>
      <c r="K1072" s="2">
        <v>467.4</v>
      </c>
      <c r="L1072" s="1">
        <v>24</v>
      </c>
      <c r="M1072" s="2">
        <v>7011</v>
      </c>
      <c r="N1072" s="2">
        <v>1682.64</v>
      </c>
      <c r="O1072" s="2">
        <v>5328.36</v>
      </c>
      <c r="P1072" s="1">
        <v>230</v>
      </c>
      <c r="Q1072" s="2">
        <v>327.18</v>
      </c>
      <c r="R1072" s="2">
        <v>420.66</v>
      </c>
      <c r="S1072" s="1" t="s">
        <v>1011</v>
      </c>
      <c r="T1072" s="1" t="s">
        <v>1004</v>
      </c>
      <c r="U1072" s="1" t="s">
        <v>1004</v>
      </c>
    </row>
    <row r="1073" spans="1:21" x14ac:dyDescent="0.3">
      <c r="A1073" s="1" t="s">
        <v>2087</v>
      </c>
      <c r="B1073" s="1" t="s">
        <v>69</v>
      </c>
      <c r="C1073" s="1" t="s">
        <v>70</v>
      </c>
      <c r="D1073" s="1" t="s">
        <v>59</v>
      </c>
      <c r="E1073" s="1" t="s">
        <v>3215</v>
      </c>
      <c r="F1073" s="1" t="s">
        <v>1015</v>
      </c>
      <c r="G1073" s="1" t="s">
        <v>1002</v>
      </c>
      <c r="H1073" s="1">
        <v>9</v>
      </c>
      <c r="I1073" s="1">
        <v>3</v>
      </c>
      <c r="J1073" s="1" t="s">
        <v>2689</v>
      </c>
      <c r="K1073" s="2">
        <v>128.30000000000001</v>
      </c>
      <c r="L1073" s="1">
        <v>16</v>
      </c>
      <c r="M1073" s="2">
        <v>1154.7</v>
      </c>
      <c r="N1073" s="2">
        <v>184.75</v>
      </c>
      <c r="O1073" s="2">
        <v>969.95</v>
      </c>
      <c r="P1073" s="1">
        <v>82</v>
      </c>
      <c r="Q1073" s="2">
        <v>89.81</v>
      </c>
      <c r="R1073" s="2">
        <v>161.66</v>
      </c>
      <c r="S1073" s="1" t="s">
        <v>1011</v>
      </c>
      <c r="T1073" s="1" t="s">
        <v>1004</v>
      </c>
      <c r="U1073" s="1" t="s">
        <v>1004</v>
      </c>
    </row>
    <row r="1074" spans="1:21" x14ac:dyDescent="0.3">
      <c r="A1074" s="1" t="s">
        <v>2088</v>
      </c>
      <c r="B1074" s="1" t="s">
        <v>111</v>
      </c>
      <c r="C1074" s="1" t="s">
        <v>112</v>
      </c>
      <c r="D1074" s="1" t="s">
        <v>97</v>
      </c>
      <c r="E1074" s="1" t="s">
        <v>3216</v>
      </c>
      <c r="F1074" s="1" t="s">
        <v>1020</v>
      </c>
      <c r="G1074" s="1" t="s">
        <v>1002</v>
      </c>
      <c r="H1074" s="1">
        <v>1</v>
      </c>
      <c r="I1074" s="1">
        <v>6</v>
      </c>
      <c r="J1074" s="1" t="s">
        <v>2918</v>
      </c>
      <c r="K1074" s="2">
        <v>287.63</v>
      </c>
      <c r="L1074" s="1">
        <v>21</v>
      </c>
      <c r="M1074" s="2">
        <v>287.63</v>
      </c>
      <c r="N1074" s="2">
        <v>60.4</v>
      </c>
      <c r="O1074" s="2">
        <v>227.23</v>
      </c>
      <c r="P1074" s="1">
        <v>297</v>
      </c>
      <c r="Q1074" s="2">
        <v>201.34</v>
      </c>
      <c r="R1074" s="2">
        <v>25.89</v>
      </c>
      <c r="S1074" s="1" t="s">
        <v>1016</v>
      </c>
      <c r="T1074" s="1" t="s">
        <v>1007</v>
      </c>
      <c r="U1074" s="1" t="s">
        <v>1004</v>
      </c>
    </row>
    <row r="1075" spans="1:21" x14ac:dyDescent="0.3">
      <c r="A1075" s="1" t="s">
        <v>2089</v>
      </c>
      <c r="B1075" s="1" t="s">
        <v>102</v>
      </c>
      <c r="C1075" s="1" t="s">
        <v>103</v>
      </c>
      <c r="D1075" s="1" t="s">
        <v>104</v>
      </c>
      <c r="E1075" s="1" t="s">
        <v>3217</v>
      </c>
      <c r="F1075" s="1" t="s">
        <v>1015</v>
      </c>
      <c r="G1075" s="1" t="s">
        <v>1002</v>
      </c>
      <c r="H1075" s="1">
        <v>11</v>
      </c>
      <c r="I1075" s="1">
        <v>6</v>
      </c>
      <c r="J1075" s="1" t="s">
        <v>2730</v>
      </c>
      <c r="K1075" s="2">
        <v>341.07</v>
      </c>
      <c r="L1075" s="1">
        <v>13</v>
      </c>
      <c r="M1075" s="2">
        <v>3751.77</v>
      </c>
      <c r="N1075" s="2">
        <v>487.73</v>
      </c>
      <c r="O1075" s="2">
        <v>3264.04</v>
      </c>
      <c r="P1075" s="1">
        <v>148</v>
      </c>
      <c r="Q1075" s="2">
        <v>238.75</v>
      </c>
      <c r="R1075" s="2">
        <v>637.79</v>
      </c>
      <c r="S1075" s="1" t="s">
        <v>1011</v>
      </c>
      <c r="T1075" s="1" t="s">
        <v>1007</v>
      </c>
      <c r="U1075" s="1" t="s">
        <v>1004</v>
      </c>
    </row>
    <row r="1076" spans="1:21" x14ac:dyDescent="0.3">
      <c r="A1076" s="1" t="s">
        <v>2090</v>
      </c>
      <c r="B1076" s="1" t="s">
        <v>192</v>
      </c>
      <c r="C1076" s="1" t="s">
        <v>193</v>
      </c>
      <c r="D1076" s="1" t="s">
        <v>85</v>
      </c>
      <c r="E1076" s="1" t="s">
        <v>3218</v>
      </c>
      <c r="F1076" s="1" t="s">
        <v>1015</v>
      </c>
      <c r="G1076" s="1" t="s">
        <v>1002</v>
      </c>
      <c r="H1076" s="1">
        <v>13</v>
      </c>
      <c r="I1076" s="1">
        <v>2</v>
      </c>
      <c r="J1076" s="1" t="s">
        <v>2677</v>
      </c>
      <c r="K1076" s="2">
        <v>175.29</v>
      </c>
      <c r="L1076" s="1">
        <v>10</v>
      </c>
      <c r="M1076" s="2">
        <v>2278.77</v>
      </c>
      <c r="N1076" s="2">
        <v>227.88</v>
      </c>
      <c r="O1076" s="2">
        <v>2050.89</v>
      </c>
      <c r="P1076" s="1">
        <v>238</v>
      </c>
      <c r="Q1076" s="2">
        <v>122.7</v>
      </c>
      <c r="R1076" s="2">
        <v>455.79</v>
      </c>
      <c r="S1076" s="1" t="s">
        <v>1011</v>
      </c>
      <c r="T1076" s="1" t="s">
        <v>1007</v>
      </c>
      <c r="U1076" s="1" t="s">
        <v>1004</v>
      </c>
    </row>
    <row r="1077" spans="1:21" x14ac:dyDescent="0.3">
      <c r="A1077" s="1" t="s">
        <v>2091</v>
      </c>
      <c r="B1077" s="1" t="s">
        <v>107</v>
      </c>
      <c r="C1077" s="1" t="s">
        <v>108</v>
      </c>
      <c r="D1077" s="1" t="s">
        <v>39</v>
      </c>
      <c r="E1077" s="1" t="s">
        <v>3219</v>
      </c>
      <c r="F1077" s="1" t="s">
        <v>1015</v>
      </c>
      <c r="G1077" s="1" t="s">
        <v>1010</v>
      </c>
      <c r="H1077" s="1">
        <v>12</v>
      </c>
      <c r="I1077" s="1">
        <v>3</v>
      </c>
      <c r="J1077" s="1" t="s">
        <v>2730</v>
      </c>
      <c r="K1077" s="2">
        <v>61.64</v>
      </c>
      <c r="L1077" s="1">
        <v>3</v>
      </c>
      <c r="M1077" s="2">
        <v>739.68</v>
      </c>
      <c r="N1077" s="2">
        <v>22.19</v>
      </c>
      <c r="O1077" s="2">
        <v>717.49</v>
      </c>
      <c r="P1077" s="1">
        <v>288</v>
      </c>
      <c r="Q1077" s="2">
        <v>43.15</v>
      </c>
      <c r="R1077" s="2">
        <v>199.69</v>
      </c>
      <c r="S1077" s="1" t="s">
        <v>1011</v>
      </c>
      <c r="T1077" s="1" t="s">
        <v>1004</v>
      </c>
      <c r="U1077" s="1" t="s">
        <v>1007</v>
      </c>
    </row>
    <row r="1078" spans="1:21" x14ac:dyDescent="0.3">
      <c r="A1078" s="1" t="s">
        <v>2092</v>
      </c>
      <c r="B1078" s="1" t="s">
        <v>176</v>
      </c>
      <c r="C1078" s="1" t="s">
        <v>177</v>
      </c>
      <c r="D1078" s="1" t="s">
        <v>39</v>
      </c>
      <c r="E1078" s="1" t="s">
        <v>3220</v>
      </c>
      <c r="F1078" s="1" t="s">
        <v>1015</v>
      </c>
      <c r="G1078" s="1" t="s">
        <v>1010</v>
      </c>
      <c r="H1078" s="1">
        <v>3</v>
      </c>
      <c r="I1078" s="1">
        <v>5</v>
      </c>
      <c r="J1078" s="1" t="s">
        <v>3221</v>
      </c>
      <c r="K1078" s="2">
        <v>463.46</v>
      </c>
      <c r="L1078" s="1">
        <v>12</v>
      </c>
      <c r="M1078" s="2">
        <v>1390.38</v>
      </c>
      <c r="N1078" s="2">
        <v>166.85</v>
      </c>
      <c r="O1078" s="2">
        <v>1223.53</v>
      </c>
      <c r="P1078" s="1">
        <v>188</v>
      </c>
      <c r="Q1078" s="2">
        <v>324.42</v>
      </c>
      <c r="R1078" s="2">
        <v>250.27</v>
      </c>
      <c r="S1078" s="1" t="s">
        <v>1016</v>
      </c>
      <c r="T1078" s="1" t="s">
        <v>1007</v>
      </c>
      <c r="U1078" s="1" t="s">
        <v>1004</v>
      </c>
    </row>
    <row r="1079" spans="1:21" x14ac:dyDescent="0.3">
      <c r="A1079" s="1" t="s">
        <v>2093</v>
      </c>
      <c r="B1079" s="1" t="s">
        <v>176</v>
      </c>
      <c r="C1079" s="1" t="s">
        <v>177</v>
      </c>
      <c r="D1079" s="1" t="s">
        <v>39</v>
      </c>
      <c r="E1079" s="1" t="s">
        <v>3222</v>
      </c>
      <c r="F1079" s="1" t="s">
        <v>1027</v>
      </c>
      <c r="G1079" s="1" t="s">
        <v>1010</v>
      </c>
      <c r="H1079" s="1">
        <v>11</v>
      </c>
      <c r="I1079" s="1">
        <v>6</v>
      </c>
      <c r="J1079" s="1" t="s">
        <v>2784</v>
      </c>
      <c r="K1079" s="2">
        <v>70.02</v>
      </c>
      <c r="L1079" s="1">
        <v>16</v>
      </c>
      <c r="M1079" s="2">
        <v>770.22</v>
      </c>
      <c r="N1079" s="2">
        <v>123.24</v>
      </c>
      <c r="O1079" s="2">
        <v>646.98</v>
      </c>
      <c r="P1079" s="1">
        <v>96</v>
      </c>
      <c r="Q1079" s="2">
        <v>49.01</v>
      </c>
      <c r="R1079" s="2">
        <v>107.87</v>
      </c>
      <c r="S1079" s="1" t="s">
        <v>1016</v>
      </c>
      <c r="T1079" s="1" t="s">
        <v>1004</v>
      </c>
      <c r="U1079" s="1" t="s">
        <v>1007</v>
      </c>
    </row>
    <row r="1080" spans="1:21" x14ac:dyDescent="0.3">
      <c r="A1080" s="1" t="s">
        <v>2094</v>
      </c>
      <c r="B1080" s="1" t="s">
        <v>118</v>
      </c>
      <c r="C1080" s="1" t="s">
        <v>119</v>
      </c>
      <c r="D1080" s="1" t="s">
        <v>97</v>
      </c>
      <c r="E1080" s="1" t="s">
        <v>3223</v>
      </c>
      <c r="F1080" s="1" t="s">
        <v>1006</v>
      </c>
      <c r="G1080" s="1" t="s">
        <v>1023</v>
      </c>
      <c r="H1080" s="1">
        <v>4</v>
      </c>
      <c r="I1080" s="1">
        <v>2</v>
      </c>
      <c r="J1080" s="1" t="s">
        <v>2581</v>
      </c>
      <c r="K1080" s="2">
        <v>143.59</v>
      </c>
      <c r="L1080" s="1">
        <v>23</v>
      </c>
      <c r="M1080" s="2">
        <v>574.36</v>
      </c>
      <c r="N1080" s="2">
        <v>132.1</v>
      </c>
      <c r="O1080" s="2">
        <v>442.26</v>
      </c>
      <c r="P1080" s="1">
        <v>72</v>
      </c>
      <c r="Q1080" s="2">
        <v>100.51</v>
      </c>
      <c r="R1080" s="2">
        <v>40.22</v>
      </c>
      <c r="S1080" s="1" t="s">
        <v>1011</v>
      </c>
      <c r="T1080" s="1" t="s">
        <v>1004</v>
      </c>
      <c r="U1080" s="1" t="s">
        <v>1007</v>
      </c>
    </row>
    <row r="1081" spans="1:21" x14ac:dyDescent="0.3">
      <c r="A1081" s="1" t="s">
        <v>2095</v>
      </c>
      <c r="B1081" s="1" t="s">
        <v>130</v>
      </c>
      <c r="C1081" s="1" t="s">
        <v>131</v>
      </c>
      <c r="D1081" s="1" t="s">
        <v>132</v>
      </c>
      <c r="E1081" s="1" t="s">
        <v>3224</v>
      </c>
      <c r="F1081" s="1" t="s">
        <v>1001</v>
      </c>
      <c r="G1081" s="1" t="s">
        <v>1002</v>
      </c>
      <c r="H1081" s="1">
        <v>9</v>
      </c>
      <c r="I1081" s="1">
        <v>2</v>
      </c>
      <c r="J1081" s="1" t="s">
        <v>2572</v>
      </c>
      <c r="K1081" s="2">
        <v>391.06</v>
      </c>
      <c r="L1081" s="1">
        <v>13</v>
      </c>
      <c r="M1081" s="2">
        <v>3519.54</v>
      </c>
      <c r="N1081" s="2">
        <v>457.54</v>
      </c>
      <c r="O1081" s="2">
        <v>3062</v>
      </c>
      <c r="P1081" s="1">
        <v>108</v>
      </c>
      <c r="Q1081" s="2">
        <v>273.74</v>
      </c>
      <c r="R1081" s="2">
        <v>598.34</v>
      </c>
      <c r="S1081" s="1" t="s">
        <v>1011</v>
      </c>
      <c r="T1081" s="1" t="s">
        <v>1007</v>
      </c>
      <c r="U1081" s="1" t="s">
        <v>1007</v>
      </c>
    </row>
    <row r="1082" spans="1:21" x14ac:dyDescent="0.3">
      <c r="A1082" s="1" t="s">
        <v>2096</v>
      </c>
      <c r="B1082" s="1" t="s">
        <v>26</v>
      </c>
      <c r="C1082" s="1" t="s">
        <v>27</v>
      </c>
      <c r="D1082" s="1" t="s">
        <v>28</v>
      </c>
      <c r="E1082" s="1" t="s">
        <v>3225</v>
      </c>
      <c r="F1082" s="1" t="s">
        <v>1020</v>
      </c>
      <c r="G1082" s="1" t="s">
        <v>1010</v>
      </c>
      <c r="H1082" s="1">
        <v>8</v>
      </c>
      <c r="I1082" s="1">
        <v>6</v>
      </c>
      <c r="J1082" s="1" t="s">
        <v>2565</v>
      </c>
      <c r="K1082" s="2">
        <v>293.45999999999998</v>
      </c>
      <c r="L1082" s="1">
        <v>19</v>
      </c>
      <c r="M1082" s="2">
        <v>2347.6799999999998</v>
      </c>
      <c r="N1082" s="2">
        <v>446.06</v>
      </c>
      <c r="O1082" s="2">
        <v>1901.62</v>
      </c>
      <c r="P1082" s="1">
        <v>245</v>
      </c>
      <c r="Q1082" s="2">
        <v>205.42</v>
      </c>
      <c r="R1082" s="2">
        <v>258.26</v>
      </c>
      <c r="S1082" s="1" t="s">
        <v>1016</v>
      </c>
      <c r="T1082" s="1" t="s">
        <v>1007</v>
      </c>
      <c r="U1082" s="1" t="s">
        <v>1007</v>
      </c>
    </row>
    <row r="1083" spans="1:21" x14ac:dyDescent="0.3">
      <c r="A1083" s="1" t="s">
        <v>2097</v>
      </c>
      <c r="B1083" s="1" t="s">
        <v>45</v>
      </c>
      <c r="C1083" s="1" t="s">
        <v>46</v>
      </c>
      <c r="D1083" s="1" t="s">
        <v>47</v>
      </c>
      <c r="E1083" s="1" t="s">
        <v>3226</v>
      </c>
      <c r="F1083" s="1" t="s">
        <v>1001</v>
      </c>
      <c r="G1083" s="1" t="s">
        <v>1023</v>
      </c>
      <c r="H1083" s="1">
        <v>5</v>
      </c>
      <c r="I1083" s="1">
        <v>7</v>
      </c>
      <c r="J1083" s="1" t="s">
        <v>2620</v>
      </c>
      <c r="K1083" s="2">
        <v>148.85</v>
      </c>
      <c r="L1083" s="1">
        <v>24</v>
      </c>
      <c r="M1083" s="2">
        <v>744.25</v>
      </c>
      <c r="N1083" s="2">
        <v>178.62</v>
      </c>
      <c r="O1083" s="2">
        <v>565.63</v>
      </c>
      <c r="P1083" s="1">
        <v>126</v>
      </c>
      <c r="Q1083" s="2">
        <v>104.19</v>
      </c>
      <c r="R1083" s="2">
        <v>44.68</v>
      </c>
      <c r="S1083" s="1" t="s">
        <v>1016</v>
      </c>
      <c r="T1083" s="1" t="s">
        <v>1004</v>
      </c>
      <c r="U1083" s="1" t="s">
        <v>1004</v>
      </c>
    </row>
    <row r="1084" spans="1:21" x14ac:dyDescent="0.3">
      <c r="A1084" s="1" t="s">
        <v>2098</v>
      </c>
      <c r="B1084" s="1" t="s">
        <v>118</v>
      </c>
      <c r="C1084" s="1" t="s">
        <v>119</v>
      </c>
      <c r="D1084" s="1" t="s">
        <v>97</v>
      </c>
      <c r="E1084" s="1" t="s">
        <v>3227</v>
      </c>
      <c r="F1084" s="1" t="s">
        <v>1001</v>
      </c>
      <c r="G1084" s="1" t="s">
        <v>1010</v>
      </c>
      <c r="H1084" s="1">
        <v>2</v>
      </c>
      <c r="I1084" s="1">
        <v>1</v>
      </c>
      <c r="J1084" s="1" t="s">
        <v>2622</v>
      </c>
      <c r="K1084" s="2">
        <v>233.09</v>
      </c>
      <c r="L1084" s="1">
        <v>13</v>
      </c>
      <c r="M1084" s="2">
        <v>466.18</v>
      </c>
      <c r="N1084" s="2">
        <v>60.6</v>
      </c>
      <c r="O1084" s="2">
        <v>405.58</v>
      </c>
      <c r="P1084" s="1">
        <v>125</v>
      </c>
      <c r="Q1084" s="2">
        <v>163.16</v>
      </c>
      <c r="R1084" s="2">
        <v>79.260000000000005</v>
      </c>
      <c r="S1084" s="1" t="s">
        <v>1003</v>
      </c>
      <c r="T1084" s="1" t="s">
        <v>1007</v>
      </c>
      <c r="U1084" s="1" t="s">
        <v>1004</v>
      </c>
    </row>
    <row r="1085" spans="1:21" x14ac:dyDescent="0.3">
      <c r="A1085" s="1" t="s">
        <v>2099</v>
      </c>
      <c r="B1085" s="1" t="s">
        <v>37</v>
      </c>
      <c r="C1085" s="1" t="s">
        <v>38</v>
      </c>
      <c r="D1085" s="1" t="s">
        <v>39</v>
      </c>
      <c r="E1085" s="1" t="s">
        <v>3228</v>
      </c>
      <c r="F1085" s="1" t="s">
        <v>1015</v>
      </c>
      <c r="G1085" s="1" t="s">
        <v>1023</v>
      </c>
      <c r="H1085" s="1">
        <v>10</v>
      </c>
      <c r="I1085" s="1">
        <v>1</v>
      </c>
      <c r="J1085" s="1" t="s">
        <v>3229</v>
      </c>
      <c r="K1085" s="2">
        <v>405.39</v>
      </c>
      <c r="L1085" s="1">
        <v>8</v>
      </c>
      <c r="M1085" s="2">
        <v>4053.9</v>
      </c>
      <c r="N1085" s="2">
        <v>324.31</v>
      </c>
      <c r="O1085" s="2">
        <v>3729.59</v>
      </c>
      <c r="P1085" s="1">
        <v>56</v>
      </c>
      <c r="Q1085" s="2">
        <v>283.77</v>
      </c>
      <c r="R1085" s="2">
        <v>891.89</v>
      </c>
      <c r="S1085" s="1" t="s">
        <v>1016</v>
      </c>
      <c r="T1085" s="1" t="s">
        <v>1007</v>
      </c>
      <c r="U1085" s="1" t="s">
        <v>1004</v>
      </c>
    </row>
    <row r="1086" spans="1:21" x14ac:dyDescent="0.3">
      <c r="A1086" s="1" t="s">
        <v>2100</v>
      </c>
      <c r="B1086" s="1" t="s">
        <v>118</v>
      </c>
      <c r="C1086" s="1" t="s">
        <v>119</v>
      </c>
      <c r="D1086" s="1" t="s">
        <v>97</v>
      </c>
      <c r="E1086" s="1" t="s">
        <v>3230</v>
      </c>
      <c r="F1086" s="1" t="s">
        <v>1009</v>
      </c>
      <c r="G1086" s="1" t="s">
        <v>1023</v>
      </c>
      <c r="H1086" s="1">
        <v>15</v>
      </c>
      <c r="I1086" s="1">
        <v>7</v>
      </c>
      <c r="J1086" s="1" t="s">
        <v>2702</v>
      </c>
      <c r="K1086" s="2">
        <v>408.16</v>
      </c>
      <c r="L1086" s="1">
        <v>2</v>
      </c>
      <c r="M1086" s="2">
        <v>6122.4</v>
      </c>
      <c r="N1086" s="2">
        <v>122.45</v>
      </c>
      <c r="O1086" s="2">
        <v>5999.95</v>
      </c>
      <c r="P1086" s="1">
        <v>234</v>
      </c>
      <c r="Q1086" s="2">
        <v>285.70999999999998</v>
      </c>
      <c r="R1086" s="2">
        <v>1714.3</v>
      </c>
      <c r="S1086" s="1" t="s">
        <v>1016</v>
      </c>
      <c r="T1086" s="1" t="s">
        <v>1007</v>
      </c>
      <c r="U1086" s="1" t="s">
        <v>1004</v>
      </c>
    </row>
    <row r="1087" spans="1:21" x14ac:dyDescent="0.3">
      <c r="A1087" s="1" t="s">
        <v>2101</v>
      </c>
      <c r="B1087" s="1" t="s">
        <v>37</v>
      </c>
      <c r="C1087" s="1" t="s">
        <v>38</v>
      </c>
      <c r="D1087" s="1" t="s">
        <v>39</v>
      </c>
      <c r="E1087" s="1" t="s">
        <v>3231</v>
      </c>
      <c r="F1087" s="1" t="s">
        <v>1001</v>
      </c>
      <c r="G1087" s="1" t="s">
        <v>1023</v>
      </c>
      <c r="H1087" s="1">
        <v>1</v>
      </c>
      <c r="I1087" s="1">
        <v>4</v>
      </c>
      <c r="J1087" s="1" t="s">
        <v>2515</v>
      </c>
      <c r="K1087" s="2">
        <v>352.96</v>
      </c>
      <c r="L1087" s="1">
        <v>24</v>
      </c>
      <c r="M1087" s="2">
        <v>352.96</v>
      </c>
      <c r="N1087" s="2">
        <v>84.71</v>
      </c>
      <c r="O1087" s="2">
        <v>268.25</v>
      </c>
      <c r="P1087" s="1">
        <v>247</v>
      </c>
      <c r="Q1087" s="2">
        <v>247.07</v>
      </c>
      <c r="R1087" s="2">
        <v>21.18</v>
      </c>
      <c r="S1087" s="1" t="s">
        <v>1003</v>
      </c>
      <c r="T1087" s="1" t="s">
        <v>1007</v>
      </c>
      <c r="U1087" s="1" t="s">
        <v>1004</v>
      </c>
    </row>
    <row r="1088" spans="1:21" x14ac:dyDescent="0.3">
      <c r="A1088" s="1" t="s">
        <v>2102</v>
      </c>
      <c r="B1088" s="1" t="s">
        <v>26</v>
      </c>
      <c r="C1088" s="1" t="s">
        <v>27</v>
      </c>
      <c r="D1088" s="1" t="s">
        <v>28</v>
      </c>
      <c r="E1088" s="1" t="s">
        <v>3232</v>
      </c>
      <c r="F1088" s="1" t="s">
        <v>1015</v>
      </c>
      <c r="G1088" s="1" t="s">
        <v>1010</v>
      </c>
      <c r="H1088" s="1">
        <v>14</v>
      </c>
      <c r="I1088" s="1">
        <v>2</v>
      </c>
      <c r="J1088" s="1" t="s">
        <v>2535</v>
      </c>
      <c r="K1088" s="2">
        <v>446.91</v>
      </c>
      <c r="L1088" s="1">
        <v>0</v>
      </c>
      <c r="M1088" s="2">
        <v>6256.74</v>
      </c>
      <c r="N1088" s="2">
        <v>0</v>
      </c>
      <c r="O1088" s="2">
        <v>6256.74</v>
      </c>
      <c r="P1088" s="1">
        <v>257</v>
      </c>
      <c r="Q1088" s="2">
        <v>312.83999999999997</v>
      </c>
      <c r="R1088" s="2">
        <v>1876.98</v>
      </c>
      <c r="S1088" s="1" t="s">
        <v>1003</v>
      </c>
      <c r="T1088" s="1" t="s">
        <v>1004</v>
      </c>
      <c r="U1088" s="1" t="s">
        <v>1007</v>
      </c>
    </row>
    <row r="1089" spans="1:21" x14ac:dyDescent="0.3">
      <c r="A1089" s="1" t="s">
        <v>2103</v>
      </c>
      <c r="B1089" s="1" t="s">
        <v>77</v>
      </c>
      <c r="C1089" s="1" t="s">
        <v>78</v>
      </c>
      <c r="D1089" s="1" t="s">
        <v>47</v>
      </c>
      <c r="E1089" s="1" t="s">
        <v>3233</v>
      </c>
      <c r="F1089" s="1" t="s">
        <v>1015</v>
      </c>
      <c r="G1089" s="1" t="s">
        <v>1023</v>
      </c>
      <c r="H1089" s="1">
        <v>2</v>
      </c>
      <c r="I1089" s="1">
        <v>2</v>
      </c>
      <c r="J1089" s="1" t="s">
        <v>2854</v>
      </c>
      <c r="K1089" s="2">
        <v>315.81</v>
      </c>
      <c r="L1089" s="1">
        <v>13</v>
      </c>
      <c r="M1089" s="2">
        <v>631.62</v>
      </c>
      <c r="N1089" s="2">
        <v>82.11</v>
      </c>
      <c r="O1089" s="2">
        <v>549.51</v>
      </c>
      <c r="P1089" s="1">
        <v>59</v>
      </c>
      <c r="Q1089" s="2">
        <v>221.07</v>
      </c>
      <c r="R1089" s="2">
        <v>107.37</v>
      </c>
      <c r="S1089" s="1" t="s">
        <v>1016</v>
      </c>
      <c r="T1089" s="1" t="s">
        <v>1004</v>
      </c>
      <c r="U1089" s="1" t="s">
        <v>1004</v>
      </c>
    </row>
    <row r="1090" spans="1:21" x14ac:dyDescent="0.3">
      <c r="A1090" s="1" t="s">
        <v>2104</v>
      </c>
      <c r="B1090" s="1" t="s">
        <v>72</v>
      </c>
      <c r="C1090" s="1" t="s">
        <v>73</v>
      </c>
      <c r="D1090" s="1" t="s">
        <v>47</v>
      </c>
      <c r="E1090" s="1" t="s">
        <v>3234</v>
      </c>
      <c r="F1090" s="1" t="s">
        <v>1015</v>
      </c>
      <c r="G1090" s="1" t="s">
        <v>1010</v>
      </c>
      <c r="H1090" s="1">
        <v>11</v>
      </c>
      <c r="I1090" s="1">
        <v>3</v>
      </c>
      <c r="J1090" s="1" t="s">
        <v>2790</v>
      </c>
      <c r="K1090" s="2">
        <v>426.98</v>
      </c>
      <c r="L1090" s="1">
        <v>8</v>
      </c>
      <c r="M1090" s="2">
        <v>4696.78</v>
      </c>
      <c r="N1090" s="2">
        <v>375.74</v>
      </c>
      <c r="O1090" s="2">
        <v>4321.04</v>
      </c>
      <c r="P1090" s="1">
        <v>152</v>
      </c>
      <c r="Q1090" s="2">
        <v>298.89</v>
      </c>
      <c r="R1090" s="2">
        <v>1033.25</v>
      </c>
      <c r="S1090" s="1" t="s">
        <v>1016</v>
      </c>
      <c r="T1090" s="1" t="s">
        <v>1004</v>
      </c>
      <c r="U1090" s="1" t="s">
        <v>1007</v>
      </c>
    </row>
    <row r="1091" spans="1:21" x14ac:dyDescent="0.3">
      <c r="A1091" s="1" t="s">
        <v>2105</v>
      </c>
      <c r="B1091" s="1" t="s">
        <v>102</v>
      </c>
      <c r="C1091" s="1" t="s">
        <v>103</v>
      </c>
      <c r="D1091" s="1" t="s">
        <v>104</v>
      </c>
      <c r="E1091" s="1" t="s">
        <v>3235</v>
      </c>
      <c r="F1091" s="1" t="s">
        <v>1001</v>
      </c>
      <c r="G1091" s="1" t="s">
        <v>1010</v>
      </c>
      <c r="H1091" s="1">
        <v>6</v>
      </c>
      <c r="I1091" s="1">
        <v>6</v>
      </c>
      <c r="J1091" s="1" t="s">
        <v>2866</v>
      </c>
      <c r="K1091" s="2">
        <v>90.14</v>
      </c>
      <c r="L1091" s="1">
        <v>24</v>
      </c>
      <c r="M1091" s="2">
        <v>540.84</v>
      </c>
      <c r="N1091" s="2">
        <v>129.80000000000001</v>
      </c>
      <c r="O1091" s="2">
        <v>411.04</v>
      </c>
      <c r="P1091" s="1">
        <v>157</v>
      </c>
      <c r="Q1091" s="2">
        <v>63.1</v>
      </c>
      <c r="R1091" s="2">
        <v>32.44</v>
      </c>
      <c r="S1091" s="1" t="s">
        <v>1011</v>
      </c>
      <c r="T1091" s="1" t="s">
        <v>1004</v>
      </c>
      <c r="U1091" s="1" t="s">
        <v>1004</v>
      </c>
    </row>
    <row r="1092" spans="1:21" x14ac:dyDescent="0.3">
      <c r="A1092" s="1" t="s">
        <v>2106</v>
      </c>
      <c r="B1092" s="1" t="s">
        <v>77</v>
      </c>
      <c r="C1092" s="1" t="s">
        <v>78</v>
      </c>
      <c r="D1092" s="1" t="s">
        <v>47</v>
      </c>
      <c r="E1092" s="1" t="s">
        <v>3236</v>
      </c>
      <c r="F1092" s="1" t="s">
        <v>1001</v>
      </c>
      <c r="G1092" s="1" t="s">
        <v>1010</v>
      </c>
      <c r="H1092" s="1">
        <v>1</v>
      </c>
      <c r="I1092" s="1">
        <v>6</v>
      </c>
      <c r="J1092" s="1" t="s">
        <v>2896</v>
      </c>
      <c r="K1092" s="2">
        <v>88.75</v>
      </c>
      <c r="L1092" s="1">
        <v>15</v>
      </c>
      <c r="M1092" s="2">
        <v>88.75</v>
      </c>
      <c r="N1092" s="2">
        <v>13.31</v>
      </c>
      <c r="O1092" s="2">
        <v>75.44</v>
      </c>
      <c r="P1092" s="1">
        <v>53</v>
      </c>
      <c r="Q1092" s="2">
        <v>62.12</v>
      </c>
      <c r="R1092" s="2">
        <v>13.32</v>
      </c>
      <c r="S1092" s="1" t="s">
        <v>1016</v>
      </c>
      <c r="T1092" s="1" t="s">
        <v>1007</v>
      </c>
      <c r="U1092" s="1" t="s">
        <v>1004</v>
      </c>
    </row>
    <row r="1093" spans="1:21" x14ac:dyDescent="0.3">
      <c r="A1093" s="1" t="s">
        <v>2107</v>
      </c>
      <c r="B1093" s="1" t="s">
        <v>123</v>
      </c>
      <c r="C1093" s="1" t="s">
        <v>124</v>
      </c>
      <c r="D1093" s="1" t="s">
        <v>47</v>
      </c>
      <c r="E1093" s="1" t="s">
        <v>3237</v>
      </c>
      <c r="F1093" s="1" t="s">
        <v>1001</v>
      </c>
      <c r="G1093" s="1" t="s">
        <v>1002</v>
      </c>
      <c r="H1093" s="1">
        <v>15</v>
      </c>
      <c r="I1093" s="1">
        <v>4</v>
      </c>
      <c r="J1093" s="1" t="s">
        <v>2524</v>
      </c>
      <c r="K1093" s="2">
        <v>142.5</v>
      </c>
      <c r="L1093" s="1">
        <v>22</v>
      </c>
      <c r="M1093" s="2">
        <v>2137.5</v>
      </c>
      <c r="N1093" s="2">
        <v>470.25</v>
      </c>
      <c r="O1093" s="2">
        <v>1667.25</v>
      </c>
      <c r="P1093" s="1">
        <v>206</v>
      </c>
      <c r="Q1093" s="2">
        <v>99.75</v>
      </c>
      <c r="R1093" s="2">
        <v>171</v>
      </c>
      <c r="S1093" s="1" t="s">
        <v>1011</v>
      </c>
      <c r="T1093" s="1" t="s">
        <v>1007</v>
      </c>
      <c r="U1093" s="1" t="s">
        <v>1007</v>
      </c>
    </row>
    <row r="1094" spans="1:21" x14ac:dyDescent="0.3">
      <c r="A1094" s="1" t="s">
        <v>2108</v>
      </c>
      <c r="B1094" s="1" t="s">
        <v>37</v>
      </c>
      <c r="C1094" s="1" t="s">
        <v>38</v>
      </c>
      <c r="D1094" s="1" t="s">
        <v>39</v>
      </c>
      <c r="E1094" s="1" t="s">
        <v>3238</v>
      </c>
      <c r="F1094" s="1" t="s">
        <v>1006</v>
      </c>
      <c r="G1094" s="1" t="s">
        <v>1010</v>
      </c>
      <c r="H1094" s="1">
        <v>8</v>
      </c>
      <c r="I1094" s="1">
        <v>5</v>
      </c>
      <c r="J1094" s="1" t="s">
        <v>2790</v>
      </c>
      <c r="K1094" s="2">
        <v>322.82</v>
      </c>
      <c r="L1094" s="1">
        <v>22</v>
      </c>
      <c r="M1094" s="2">
        <v>2582.56</v>
      </c>
      <c r="N1094" s="2">
        <v>568.16</v>
      </c>
      <c r="O1094" s="2">
        <v>2014.4</v>
      </c>
      <c r="P1094" s="1">
        <v>75</v>
      </c>
      <c r="Q1094" s="2">
        <v>225.97</v>
      </c>
      <c r="R1094" s="2">
        <v>206.64</v>
      </c>
      <c r="S1094" s="1" t="s">
        <v>1011</v>
      </c>
      <c r="T1094" s="1" t="s">
        <v>1007</v>
      </c>
      <c r="U1094" s="1" t="s">
        <v>1004</v>
      </c>
    </row>
    <row r="1095" spans="1:21" x14ac:dyDescent="0.3">
      <c r="A1095" s="1" t="s">
        <v>2109</v>
      </c>
      <c r="B1095" s="1" t="s">
        <v>130</v>
      </c>
      <c r="C1095" s="1" t="s">
        <v>131</v>
      </c>
      <c r="D1095" s="1" t="s">
        <v>132</v>
      </c>
      <c r="E1095" s="1" t="s">
        <v>3239</v>
      </c>
      <c r="F1095" s="1" t="s">
        <v>1001</v>
      </c>
      <c r="G1095" s="1" t="s">
        <v>1002</v>
      </c>
      <c r="H1095" s="1">
        <v>9</v>
      </c>
      <c r="I1095" s="1">
        <v>4</v>
      </c>
      <c r="J1095" s="1" t="s">
        <v>2557</v>
      </c>
      <c r="K1095" s="2">
        <v>293.43</v>
      </c>
      <c r="L1095" s="1">
        <v>2</v>
      </c>
      <c r="M1095" s="2">
        <v>2640.87</v>
      </c>
      <c r="N1095" s="2">
        <v>52.82</v>
      </c>
      <c r="O1095" s="2">
        <v>2588.0500000000002</v>
      </c>
      <c r="P1095" s="1">
        <v>71</v>
      </c>
      <c r="Q1095" s="2">
        <v>205.4</v>
      </c>
      <c r="R1095" s="2">
        <v>739.45</v>
      </c>
      <c r="S1095" s="1" t="s">
        <v>1011</v>
      </c>
      <c r="T1095" s="1" t="s">
        <v>1004</v>
      </c>
      <c r="U1095" s="1" t="s">
        <v>1007</v>
      </c>
    </row>
    <row r="1096" spans="1:21" x14ac:dyDescent="0.3">
      <c r="A1096" s="1" t="s">
        <v>2110</v>
      </c>
      <c r="B1096" s="1" t="s">
        <v>63</v>
      </c>
      <c r="C1096" s="1" t="s">
        <v>64</v>
      </c>
      <c r="D1096" s="1" t="s">
        <v>28</v>
      </c>
      <c r="E1096" s="1" t="s">
        <v>3240</v>
      </c>
      <c r="F1096" s="1" t="s">
        <v>1013</v>
      </c>
      <c r="G1096" s="1" t="s">
        <v>1002</v>
      </c>
      <c r="H1096" s="1">
        <v>6</v>
      </c>
      <c r="I1096" s="1">
        <v>5</v>
      </c>
      <c r="J1096" s="1" t="s">
        <v>2590</v>
      </c>
      <c r="K1096" s="2">
        <v>211.56</v>
      </c>
      <c r="L1096" s="1">
        <v>22</v>
      </c>
      <c r="M1096" s="2">
        <v>1269.3599999999999</v>
      </c>
      <c r="N1096" s="2">
        <v>279.26</v>
      </c>
      <c r="O1096" s="2">
        <v>990.1</v>
      </c>
      <c r="P1096" s="1">
        <v>253</v>
      </c>
      <c r="Q1096" s="2">
        <v>148.09</v>
      </c>
      <c r="R1096" s="2">
        <v>101.56</v>
      </c>
      <c r="S1096" s="1" t="s">
        <v>1011</v>
      </c>
      <c r="T1096" s="1" t="s">
        <v>1007</v>
      </c>
      <c r="U1096" s="1" t="s">
        <v>1004</v>
      </c>
    </row>
    <row r="1097" spans="1:21" x14ac:dyDescent="0.3">
      <c r="A1097" s="1" t="s">
        <v>2111</v>
      </c>
      <c r="B1097" s="1" t="s">
        <v>118</v>
      </c>
      <c r="C1097" s="1" t="s">
        <v>119</v>
      </c>
      <c r="D1097" s="1" t="s">
        <v>97</v>
      </c>
      <c r="E1097" s="1" t="s">
        <v>3241</v>
      </c>
      <c r="F1097" s="1" t="s">
        <v>1013</v>
      </c>
      <c r="G1097" s="1" t="s">
        <v>1002</v>
      </c>
      <c r="H1097" s="1">
        <v>5</v>
      </c>
      <c r="I1097" s="1">
        <v>1</v>
      </c>
      <c r="J1097" s="1" t="s">
        <v>2569</v>
      </c>
      <c r="K1097" s="2">
        <v>225.35</v>
      </c>
      <c r="L1097" s="1">
        <v>18</v>
      </c>
      <c r="M1097" s="2">
        <v>1126.75</v>
      </c>
      <c r="N1097" s="2">
        <v>202.81</v>
      </c>
      <c r="O1097" s="2">
        <v>923.94</v>
      </c>
      <c r="P1097" s="1">
        <v>108</v>
      </c>
      <c r="Q1097" s="2">
        <v>157.74</v>
      </c>
      <c r="R1097" s="2">
        <v>135.24</v>
      </c>
      <c r="S1097" s="1" t="s">
        <v>1011</v>
      </c>
      <c r="T1097" s="1" t="s">
        <v>1007</v>
      </c>
      <c r="U1097" s="1" t="s">
        <v>1004</v>
      </c>
    </row>
    <row r="1098" spans="1:21" x14ac:dyDescent="0.3">
      <c r="A1098" s="1" t="s">
        <v>2112</v>
      </c>
      <c r="B1098" s="1" t="s">
        <v>192</v>
      </c>
      <c r="C1098" s="1" t="s">
        <v>193</v>
      </c>
      <c r="D1098" s="1" t="s">
        <v>85</v>
      </c>
      <c r="E1098" s="1" t="s">
        <v>3242</v>
      </c>
      <c r="F1098" s="1" t="s">
        <v>1006</v>
      </c>
      <c r="G1098" s="1" t="s">
        <v>1002</v>
      </c>
      <c r="H1098" s="1">
        <v>12</v>
      </c>
      <c r="I1098" s="1">
        <v>6</v>
      </c>
      <c r="J1098" s="1" t="s">
        <v>2724</v>
      </c>
      <c r="K1098" s="2">
        <v>203.89</v>
      </c>
      <c r="L1098" s="1">
        <v>24</v>
      </c>
      <c r="M1098" s="2">
        <v>2446.6799999999998</v>
      </c>
      <c r="N1098" s="2">
        <v>587.20000000000005</v>
      </c>
      <c r="O1098" s="2">
        <v>1859.48</v>
      </c>
      <c r="P1098" s="1">
        <v>111</v>
      </c>
      <c r="Q1098" s="2">
        <v>142.72</v>
      </c>
      <c r="R1098" s="2">
        <v>146.84</v>
      </c>
      <c r="S1098" s="1" t="s">
        <v>1003</v>
      </c>
      <c r="T1098" s="1" t="s">
        <v>1004</v>
      </c>
      <c r="U1098" s="1" t="s">
        <v>1004</v>
      </c>
    </row>
    <row r="1099" spans="1:21" x14ac:dyDescent="0.3">
      <c r="A1099" s="1" t="s">
        <v>2113</v>
      </c>
      <c r="B1099" s="1" t="s">
        <v>83</v>
      </c>
      <c r="C1099" s="1" t="s">
        <v>84</v>
      </c>
      <c r="D1099" s="1" t="s">
        <v>85</v>
      </c>
      <c r="E1099" s="1" t="s">
        <v>3243</v>
      </c>
      <c r="F1099" s="1" t="s">
        <v>1006</v>
      </c>
      <c r="G1099" s="1" t="s">
        <v>1010</v>
      </c>
      <c r="H1099" s="1">
        <v>2</v>
      </c>
      <c r="I1099" s="1">
        <v>4</v>
      </c>
      <c r="J1099" s="1" t="s">
        <v>2672</v>
      </c>
      <c r="K1099" s="2">
        <v>253.17</v>
      </c>
      <c r="L1099" s="1">
        <v>4</v>
      </c>
      <c r="M1099" s="2">
        <v>506.34</v>
      </c>
      <c r="N1099" s="2">
        <v>20.25</v>
      </c>
      <c r="O1099" s="2">
        <v>486.09</v>
      </c>
      <c r="P1099" s="1">
        <v>240</v>
      </c>
      <c r="Q1099" s="2">
        <v>177.22</v>
      </c>
      <c r="R1099" s="2">
        <v>131.65</v>
      </c>
      <c r="S1099" s="1" t="s">
        <v>1003</v>
      </c>
      <c r="T1099" s="1" t="s">
        <v>1004</v>
      </c>
      <c r="U1099" s="1" t="s">
        <v>1004</v>
      </c>
    </row>
    <row r="1100" spans="1:21" x14ac:dyDescent="0.3">
      <c r="A1100" s="1" t="s">
        <v>2114</v>
      </c>
      <c r="B1100" s="1" t="s">
        <v>118</v>
      </c>
      <c r="C1100" s="1" t="s">
        <v>119</v>
      </c>
      <c r="D1100" s="1" t="s">
        <v>97</v>
      </c>
      <c r="E1100" s="1" t="s">
        <v>3244</v>
      </c>
      <c r="F1100" s="1" t="s">
        <v>1015</v>
      </c>
      <c r="G1100" s="1" t="s">
        <v>1010</v>
      </c>
      <c r="H1100" s="1">
        <v>10</v>
      </c>
      <c r="I1100" s="1">
        <v>1</v>
      </c>
      <c r="J1100" s="1" t="s">
        <v>2691</v>
      </c>
      <c r="K1100" s="2">
        <v>98.61</v>
      </c>
      <c r="L1100" s="1">
        <v>14</v>
      </c>
      <c r="M1100" s="2">
        <v>986.1</v>
      </c>
      <c r="N1100" s="2">
        <v>138.05000000000001</v>
      </c>
      <c r="O1100" s="2">
        <v>848.05</v>
      </c>
      <c r="P1100" s="1">
        <v>286</v>
      </c>
      <c r="Q1100" s="2">
        <v>69.03</v>
      </c>
      <c r="R1100" s="2">
        <v>157.75</v>
      </c>
      <c r="S1100" s="1" t="s">
        <v>1016</v>
      </c>
      <c r="T1100" s="1" t="s">
        <v>1004</v>
      </c>
      <c r="U1100" s="1" t="s">
        <v>1004</v>
      </c>
    </row>
    <row r="1101" spans="1:21" x14ac:dyDescent="0.3">
      <c r="A1101" s="1" t="s">
        <v>2115</v>
      </c>
      <c r="B1101" s="1" t="s">
        <v>130</v>
      </c>
      <c r="C1101" s="1" t="s">
        <v>131</v>
      </c>
      <c r="D1101" s="1" t="s">
        <v>132</v>
      </c>
      <c r="E1101" s="1" t="s">
        <v>3245</v>
      </c>
      <c r="F1101" s="1" t="s">
        <v>1015</v>
      </c>
      <c r="G1101" s="1" t="s">
        <v>1002</v>
      </c>
      <c r="H1101" s="1">
        <v>12</v>
      </c>
      <c r="I1101" s="1">
        <v>7</v>
      </c>
      <c r="J1101" s="1" t="s">
        <v>2760</v>
      </c>
      <c r="K1101" s="2">
        <v>472.47</v>
      </c>
      <c r="L1101" s="1">
        <v>0</v>
      </c>
      <c r="M1101" s="2">
        <v>5669.64</v>
      </c>
      <c r="N1101" s="2">
        <v>0</v>
      </c>
      <c r="O1101" s="2">
        <v>5669.64</v>
      </c>
      <c r="P1101" s="1">
        <v>138</v>
      </c>
      <c r="Q1101" s="2">
        <v>330.73</v>
      </c>
      <c r="R1101" s="2">
        <v>1700.88</v>
      </c>
      <c r="S1101" s="1" t="s">
        <v>1003</v>
      </c>
      <c r="T1101" s="1" t="s">
        <v>1007</v>
      </c>
      <c r="U1101" s="1" t="s">
        <v>1004</v>
      </c>
    </row>
    <row r="1102" spans="1:21" x14ac:dyDescent="0.3">
      <c r="A1102" s="1" t="s">
        <v>2116</v>
      </c>
      <c r="B1102" s="1" t="s">
        <v>37</v>
      </c>
      <c r="C1102" s="1" t="s">
        <v>38</v>
      </c>
      <c r="D1102" s="1" t="s">
        <v>39</v>
      </c>
      <c r="E1102" s="1" t="s">
        <v>3246</v>
      </c>
      <c r="F1102" s="1" t="s">
        <v>1009</v>
      </c>
      <c r="G1102" s="1" t="s">
        <v>1002</v>
      </c>
      <c r="H1102" s="1">
        <v>14</v>
      </c>
      <c r="I1102" s="1">
        <v>7</v>
      </c>
      <c r="J1102" s="1" t="s">
        <v>2679</v>
      </c>
      <c r="K1102" s="2">
        <v>394.38</v>
      </c>
      <c r="L1102" s="1">
        <v>23</v>
      </c>
      <c r="M1102" s="2">
        <v>5521.32</v>
      </c>
      <c r="N1102" s="2">
        <v>1269.9000000000001</v>
      </c>
      <c r="O1102" s="2">
        <v>4251.42</v>
      </c>
      <c r="P1102" s="1">
        <v>50</v>
      </c>
      <c r="Q1102" s="2">
        <v>276.07</v>
      </c>
      <c r="R1102" s="2">
        <v>386.44</v>
      </c>
      <c r="S1102" s="1" t="s">
        <v>1016</v>
      </c>
      <c r="T1102" s="1" t="s">
        <v>1007</v>
      </c>
      <c r="U1102" s="1" t="s">
        <v>1007</v>
      </c>
    </row>
    <row r="1103" spans="1:21" x14ac:dyDescent="0.3">
      <c r="A1103" s="1" t="s">
        <v>2117</v>
      </c>
      <c r="B1103" s="1" t="s">
        <v>237</v>
      </c>
      <c r="C1103" s="1" t="s">
        <v>238</v>
      </c>
      <c r="D1103" s="1" t="s">
        <v>85</v>
      </c>
      <c r="E1103" s="1" t="s">
        <v>3247</v>
      </c>
      <c r="F1103" s="1" t="s">
        <v>1027</v>
      </c>
      <c r="G1103" s="1" t="s">
        <v>1002</v>
      </c>
      <c r="H1103" s="1">
        <v>6</v>
      </c>
      <c r="I1103" s="1">
        <v>1</v>
      </c>
      <c r="J1103" s="1" t="s">
        <v>2776</v>
      </c>
      <c r="K1103" s="2">
        <v>278.82</v>
      </c>
      <c r="L1103" s="1">
        <v>20</v>
      </c>
      <c r="M1103" s="2">
        <v>1672.92</v>
      </c>
      <c r="N1103" s="2">
        <v>334.58</v>
      </c>
      <c r="O1103" s="2">
        <v>1338.34</v>
      </c>
      <c r="P1103" s="1">
        <v>152</v>
      </c>
      <c r="Q1103" s="2">
        <v>195.17</v>
      </c>
      <c r="R1103" s="2">
        <v>167.32</v>
      </c>
      <c r="S1103" s="1" t="s">
        <v>1016</v>
      </c>
      <c r="T1103" s="1" t="s">
        <v>1004</v>
      </c>
      <c r="U1103" s="1" t="s">
        <v>1007</v>
      </c>
    </row>
    <row r="1104" spans="1:21" x14ac:dyDescent="0.3">
      <c r="A1104" s="1" t="s">
        <v>2118</v>
      </c>
      <c r="B1104" s="1" t="s">
        <v>77</v>
      </c>
      <c r="C1104" s="1" t="s">
        <v>78</v>
      </c>
      <c r="D1104" s="1" t="s">
        <v>47</v>
      </c>
      <c r="E1104" s="1" t="s">
        <v>3248</v>
      </c>
      <c r="F1104" s="1" t="s">
        <v>1027</v>
      </c>
      <c r="G1104" s="1" t="s">
        <v>1010</v>
      </c>
      <c r="H1104" s="1">
        <v>1</v>
      </c>
      <c r="I1104" s="1">
        <v>6</v>
      </c>
      <c r="J1104" s="1" t="s">
        <v>2598</v>
      </c>
      <c r="K1104" s="2">
        <v>184.86</v>
      </c>
      <c r="L1104" s="1">
        <v>0</v>
      </c>
      <c r="M1104" s="2">
        <v>184.86</v>
      </c>
      <c r="N1104" s="2">
        <v>0</v>
      </c>
      <c r="O1104" s="2">
        <v>184.86</v>
      </c>
      <c r="P1104" s="1">
        <v>174</v>
      </c>
      <c r="Q1104" s="2">
        <v>129.4</v>
      </c>
      <c r="R1104" s="2">
        <v>55.46</v>
      </c>
      <c r="S1104" s="1" t="s">
        <v>1011</v>
      </c>
      <c r="T1104" s="1" t="s">
        <v>1004</v>
      </c>
      <c r="U1104" s="1" t="s">
        <v>1004</v>
      </c>
    </row>
    <row r="1105" spans="1:21" x14ac:dyDescent="0.3">
      <c r="A1105" s="1" t="s">
        <v>2119</v>
      </c>
      <c r="B1105" s="1" t="s">
        <v>63</v>
      </c>
      <c r="C1105" s="1" t="s">
        <v>64</v>
      </c>
      <c r="D1105" s="1" t="s">
        <v>28</v>
      </c>
      <c r="E1105" s="1" t="s">
        <v>3249</v>
      </c>
      <c r="F1105" s="1" t="s">
        <v>1015</v>
      </c>
      <c r="G1105" s="1" t="s">
        <v>1002</v>
      </c>
      <c r="H1105" s="1">
        <v>9</v>
      </c>
      <c r="I1105" s="1">
        <v>5</v>
      </c>
      <c r="J1105" s="1" t="s">
        <v>2545</v>
      </c>
      <c r="K1105" s="2">
        <v>419.34</v>
      </c>
      <c r="L1105" s="1">
        <v>23</v>
      </c>
      <c r="M1105" s="2">
        <v>3774.06</v>
      </c>
      <c r="N1105" s="2">
        <v>868.03</v>
      </c>
      <c r="O1105" s="2">
        <v>2906.03</v>
      </c>
      <c r="P1105" s="1">
        <v>225</v>
      </c>
      <c r="Q1105" s="2">
        <v>293.54000000000002</v>
      </c>
      <c r="R1105" s="2">
        <v>264.17</v>
      </c>
      <c r="S1105" s="1" t="s">
        <v>1011</v>
      </c>
      <c r="T1105" s="1" t="s">
        <v>1004</v>
      </c>
      <c r="U1105" s="1" t="s">
        <v>1007</v>
      </c>
    </row>
    <row r="1106" spans="1:21" x14ac:dyDescent="0.3">
      <c r="A1106" s="1" t="s">
        <v>2120</v>
      </c>
      <c r="B1106" s="1" t="s">
        <v>72</v>
      </c>
      <c r="C1106" s="1" t="s">
        <v>73</v>
      </c>
      <c r="D1106" s="1" t="s">
        <v>47</v>
      </c>
      <c r="E1106" s="1" t="s">
        <v>3250</v>
      </c>
      <c r="F1106" s="1" t="s">
        <v>1027</v>
      </c>
      <c r="G1106" s="1" t="s">
        <v>1023</v>
      </c>
      <c r="H1106" s="1">
        <v>7</v>
      </c>
      <c r="I1106" s="1">
        <v>4</v>
      </c>
      <c r="J1106" s="1" t="s">
        <v>2558</v>
      </c>
      <c r="K1106" s="2">
        <v>478.51</v>
      </c>
      <c r="L1106" s="1">
        <v>24</v>
      </c>
      <c r="M1106" s="2">
        <v>3349.57</v>
      </c>
      <c r="N1106" s="2">
        <v>803.9</v>
      </c>
      <c r="O1106" s="2">
        <v>2545.67</v>
      </c>
      <c r="P1106" s="1">
        <v>234</v>
      </c>
      <c r="Q1106" s="2">
        <v>334.96</v>
      </c>
      <c r="R1106" s="2">
        <v>200.95</v>
      </c>
      <c r="S1106" s="1" t="s">
        <v>1016</v>
      </c>
      <c r="T1106" s="1" t="s">
        <v>1007</v>
      </c>
      <c r="U1106" s="1" t="s">
        <v>1004</v>
      </c>
    </row>
    <row r="1107" spans="1:21" x14ac:dyDescent="0.3">
      <c r="A1107" s="1" t="s">
        <v>2121</v>
      </c>
      <c r="B1107" s="1" t="s">
        <v>176</v>
      </c>
      <c r="C1107" s="1" t="s">
        <v>177</v>
      </c>
      <c r="D1107" s="1" t="s">
        <v>39</v>
      </c>
      <c r="E1107" s="1" t="s">
        <v>3251</v>
      </c>
      <c r="F1107" s="1" t="s">
        <v>1027</v>
      </c>
      <c r="G1107" s="1" t="s">
        <v>1023</v>
      </c>
      <c r="H1107" s="1">
        <v>7</v>
      </c>
      <c r="I1107" s="1">
        <v>4</v>
      </c>
      <c r="J1107" s="1" t="s">
        <v>2535</v>
      </c>
      <c r="K1107" s="2">
        <v>65.7</v>
      </c>
      <c r="L1107" s="1">
        <v>5</v>
      </c>
      <c r="M1107" s="2">
        <v>459.9</v>
      </c>
      <c r="N1107" s="2">
        <v>23</v>
      </c>
      <c r="O1107" s="2">
        <v>436.9</v>
      </c>
      <c r="P1107" s="1">
        <v>198</v>
      </c>
      <c r="Q1107" s="2">
        <v>45.99</v>
      </c>
      <c r="R1107" s="2">
        <v>114.97</v>
      </c>
      <c r="S1107" s="1" t="s">
        <v>1003</v>
      </c>
      <c r="T1107" s="1" t="s">
        <v>1004</v>
      </c>
      <c r="U1107" s="1" t="s">
        <v>1004</v>
      </c>
    </row>
    <row r="1108" spans="1:21" x14ac:dyDescent="0.3">
      <c r="A1108" s="1" t="s">
        <v>2122</v>
      </c>
      <c r="B1108" s="1" t="s">
        <v>95</v>
      </c>
      <c r="C1108" s="1" t="s">
        <v>96</v>
      </c>
      <c r="D1108" s="1" t="s">
        <v>97</v>
      </c>
      <c r="E1108" s="1" t="s">
        <v>3252</v>
      </c>
      <c r="F1108" s="1" t="s">
        <v>1013</v>
      </c>
      <c r="G1108" s="1" t="s">
        <v>1023</v>
      </c>
      <c r="H1108" s="1">
        <v>14</v>
      </c>
      <c r="I1108" s="1">
        <v>1</v>
      </c>
      <c r="J1108" s="1" t="s">
        <v>2804</v>
      </c>
      <c r="K1108" s="2">
        <v>304.33</v>
      </c>
      <c r="L1108" s="1">
        <v>8</v>
      </c>
      <c r="M1108" s="2">
        <v>4260.62</v>
      </c>
      <c r="N1108" s="2">
        <v>340.85</v>
      </c>
      <c r="O1108" s="2">
        <v>3919.77</v>
      </c>
      <c r="P1108" s="1">
        <v>158</v>
      </c>
      <c r="Q1108" s="2">
        <v>213.03</v>
      </c>
      <c r="R1108" s="2">
        <v>937.35</v>
      </c>
      <c r="S1108" s="1" t="s">
        <v>1011</v>
      </c>
      <c r="T1108" s="1" t="s">
        <v>1004</v>
      </c>
      <c r="U1108" s="1" t="s">
        <v>1007</v>
      </c>
    </row>
    <row r="1109" spans="1:21" x14ac:dyDescent="0.3">
      <c r="A1109" s="1" t="s">
        <v>2123</v>
      </c>
      <c r="B1109" s="1" t="s">
        <v>111</v>
      </c>
      <c r="C1109" s="1" t="s">
        <v>112</v>
      </c>
      <c r="D1109" s="1" t="s">
        <v>97</v>
      </c>
      <c r="E1109" s="1" t="s">
        <v>3253</v>
      </c>
      <c r="F1109" s="1" t="s">
        <v>1013</v>
      </c>
      <c r="G1109" s="1" t="s">
        <v>1002</v>
      </c>
      <c r="H1109" s="1">
        <v>4</v>
      </c>
      <c r="I1109" s="1">
        <v>4</v>
      </c>
      <c r="J1109" s="1" t="s">
        <v>2855</v>
      </c>
      <c r="K1109" s="2">
        <v>219.88</v>
      </c>
      <c r="L1109" s="1">
        <v>25</v>
      </c>
      <c r="M1109" s="2">
        <v>879.52</v>
      </c>
      <c r="N1109" s="2">
        <v>219.88</v>
      </c>
      <c r="O1109" s="2">
        <v>659.64</v>
      </c>
      <c r="P1109" s="1">
        <v>266</v>
      </c>
      <c r="Q1109" s="2">
        <v>153.91999999999999</v>
      </c>
      <c r="R1109" s="2">
        <v>43.96</v>
      </c>
      <c r="S1109" s="1" t="s">
        <v>1011</v>
      </c>
      <c r="T1109" s="1" t="s">
        <v>1004</v>
      </c>
      <c r="U1109" s="1" t="s">
        <v>1007</v>
      </c>
    </row>
    <row r="1110" spans="1:21" x14ac:dyDescent="0.3">
      <c r="A1110" s="1" t="s">
        <v>2124</v>
      </c>
      <c r="B1110" s="1" t="s">
        <v>69</v>
      </c>
      <c r="C1110" s="1" t="s">
        <v>70</v>
      </c>
      <c r="D1110" s="1" t="s">
        <v>59</v>
      </c>
      <c r="E1110" s="1" t="s">
        <v>3254</v>
      </c>
      <c r="F1110" s="1" t="s">
        <v>1013</v>
      </c>
      <c r="G1110" s="1" t="s">
        <v>1023</v>
      </c>
      <c r="H1110" s="1">
        <v>2</v>
      </c>
      <c r="I1110" s="1">
        <v>5</v>
      </c>
      <c r="J1110" s="1" t="s">
        <v>2522</v>
      </c>
      <c r="K1110" s="2">
        <v>476.94</v>
      </c>
      <c r="L1110" s="1">
        <v>7</v>
      </c>
      <c r="M1110" s="2">
        <v>953.88</v>
      </c>
      <c r="N1110" s="2">
        <v>66.77</v>
      </c>
      <c r="O1110" s="2">
        <v>887.11</v>
      </c>
      <c r="P1110" s="1">
        <v>247</v>
      </c>
      <c r="Q1110" s="2">
        <v>333.86</v>
      </c>
      <c r="R1110" s="2">
        <v>219.39</v>
      </c>
      <c r="S1110" s="1" t="s">
        <v>1003</v>
      </c>
      <c r="T1110" s="1" t="s">
        <v>1004</v>
      </c>
      <c r="U1110" s="1" t="s">
        <v>1007</v>
      </c>
    </row>
    <row r="1111" spans="1:21" x14ac:dyDescent="0.3">
      <c r="A1111" s="1" t="s">
        <v>2125</v>
      </c>
      <c r="B1111" s="1" t="s">
        <v>63</v>
      </c>
      <c r="C1111" s="1" t="s">
        <v>64</v>
      </c>
      <c r="D1111" s="1" t="s">
        <v>28</v>
      </c>
      <c r="E1111" s="1" t="s">
        <v>3255</v>
      </c>
      <c r="F1111" s="1" t="s">
        <v>1013</v>
      </c>
      <c r="G1111" s="1" t="s">
        <v>1002</v>
      </c>
      <c r="H1111" s="1">
        <v>14</v>
      </c>
      <c r="I1111" s="1">
        <v>1</v>
      </c>
      <c r="J1111" s="1" t="s">
        <v>2796</v>
      </c>
      <c r="K1111" s="2">
        <v>172</v>
      </c>
      <c r="L1111" s="1">
        <v>7</v>
      </c>
      <c r="M1111" s="2">
        <v>2408</v>
      </c>
      <c r="N1111" s="2">
        <v>168.56</v>
      </c>
      <c r="O1111" s="2">
        <v>2239.44</v>
      </c>
      <c r="P1111" s="1">
        <v>188</v>
      </c>
      <c r="Q1111" s="2">
        <v>120.4</v>
      </c>
      <c r="R1111" s="2">
        <v>553.84</v>
      </c>
      <c r="S1111" s="1" t="s">
        <v>1011</v>
      </c>
      <c r="T1111" s="1" t="s">
        <v>1004</v>
      </c>
      <c r="U1111" s="1" t="s">
        <v>1004</v>
      </c>
    </row>
    <row r="1112" spans="1:21" x14ac:dyDescent="0.3">
      <c r="A1112" s="1" t="s">
        <v>2126</v>
      </c>
      <c r="B1112" s="1" t="s">
        <v>189</v>
      </c>
      <c r="C1112" s="1" t="s">
        <v>190</v>
      </c>
      <c r="D1112" s="1" t="s">
        <v>59</v>
      </c>
      <c r="E1112" s="1" t="s">
        <v>3256</v>
      </c>
      <c r="F1112" s="1" t="s">
        <v>1027</v>
      </c>
      <c r="G1112" s="1" t="s">
        <v>1002</v>
      </c>
      <c r="H1112" s="1">
        <v>2</v>
      </c>
      <c r="I1112" s="1">
        <v>6</v>
      </c>
      <c r="J1112" s="1" t="s">
        <v>3257</v>
      </c>
      <c r="K1112" s="2">
        <v>232.07</v>
      </c>
      <c r="L1112" s="1">
        <v>14</v>
      </c>
      <c r="M1112" s="2">
        <v>464.14</v>
      </c>
      <c r="N1112" s="2">
        <v>64.98</v>
      </c>
      <c r="O1112" s="2">
        <v>399.16</v>
      </c>
      <c r="P1112" s="1">
        <v>90</v>
      </c>
      <c r="Q1112" s="2">
        <v>162.44999999999999</v>
      </c>
      <c r="R1112" s="2">
        <v>74.260000000000005</v>
      </c>
      <c r="S1112" s="1" t="s">
        <v>1003</v>
      </c>
      <c r="T1112" s="1" t="s">
        <v>1004</v>
      </c>
      <c r="U1112" s="1" t="s">
        <v>1007</v>
      </c>
    </row>
    <row r="1113" spans="1:21" x14ac:dyDescent="0.3">
      <c r="A1113" s="1" t="s">
        <v>2127</v>
      </c>
      <c r="B1113" s="1" t="s">
        <v>130</v>
      </c>
      <c r="C1113" s="1" t="s">
        <v>131</v>
      </c>
      <c r="D1113" s="1" t="s">
        <v>132</v>
      </c>
      <c r="E1113" s="1" t="s">
        <v>3258</v>
      </c>
      <c r="F1113" s="1" t="s">
        <v>1020</v>
      </c>
      <c r="G1113" s="1" t="s">
        <v>1023</v>
      </c>
      <c r="H1113" s="1">
        <v>8</v>
      </c>
      <c r="I1113" s="1">
        <v>2</v>
      </c>
      <c r="J1113" s="1" t="s">
        <v>2640</v>
      </c>
      <c r="K1113" s="2">
        <v>389.47</v>
      </c>
      <c r="L1113" s="1">
        <v>17</v>
      </c>
      <c r="M1113" s="2">
        <v>3115.76</v>
      </c>
      <c r="N1113" s="2">
        <v>529.67999999999995</v>
      </c>
      <c r="O1113" s="2">
        <v>2586.08</v>
      </c>
      <c r="P1113" s="1">
        <v>120</v>
      </c>
      <c r="Q1113" s="2">
        <v>272.63</v>
      </c>
      <c r="R1113" s="2">
        <v>405.04</v>
      </c>
      <c r="S1113" s="1" t="s">
        <v>1016</v>
      </c>
      <c r="T1113" s="1" t="s">
        <v>1004</v>
      </c>
      <c r="U1113" s="1" t="s">
        <v>1007</v>
      </c>
    </row>
    <row r="1114" spans="1:21" x14ac:dyDescent="0.3">
      <c r="A1114" s="1" t="s">
        <v>2128</v>
      </c>
      <c r="B1114" s="1" t="s">
        <v>77</v>
      </c>
      <c r="C1114" s="1" t="s">
        <v>78</v>
      </c>
      <c r="D1114" s="1" t="s">
        <v>47</v>
      </c>
      <c r="E1114" s="1" t="s">
        <v>3259</v>
      </c>
      <c r="F1114" s="1" t="s">
        <v>1001</v>
      </c>
      <c r="G1114" s="1" t="s">
        <v>1023</v>
      </c>
      <c r="H1114" s="1">
        <v>12</v>
      </c>
      <c r="I1114" s="1">
        <v>7</v>
      </c>
      <c r="J1114" s="1" t="s">
        <v>2919</v>
      </c>
      <c r="K1114" s="2">
        <v>437.27</v>
      </c>
      <c r="L1114" s="1">
        <v>4</v>
      </c>
      <c r="M1114" s="2">
        <v>5247.24</v>
      </c>
      <c r="N1114" s="2">
        <v>209.89</v>
      </c>
      <c r="O1114" s="2">
        <v>5037.3500000000004</v>
      </c>
      <c r="P1114" s="1">
        <v>170</v>
      </c>
      <c r="Q1114" s="2">
        <v>306.08999999999997</v>
      </c>
      <c r="R1114" s="2">
        <v>1364.27</v>
      </c>
      <c r="S1114" s="1" t="s">
        <v>1011</v>
      </c>
      <c r="T1114" s="1" t="s">
        <v>1007</v>
      </c>
      <c r="U1114" s="1" t="s">
        <v>1007</v>
      </c>
    </row>
    <row r="1115" spans="1:21" x14ac:dyDescent="0.3">
      <c r="A1115" s="1" t="s">
        <v>2129</v>
      </c>
      <c r="B1115" s="1" t="s">
        <v>130</v>
      </c>
      <c r="C1115" s="1" t="s">
        <v>131</v>
      </c>
      <c r="D1115" s="1" t="s">
        <v>132</v>
      </c>
      <c r="E1115" s="1" t="s">
        <v>3260</v>
      </c>
      <c r="F1115" s="1" t="s">
        <v>1015</v>
      </c>
      <c r="G1115" s="1" t="s">
        <v>1010</v>
      </c>
      <c r="H1115" s="1">
        <v>12</v>
      </c>
      <c r="I1115" s="1">
        <v>4</v>
      </c>
      <c r="J1115" s="1" t="s">
        <v>2879</v>
      </c>
      <c r="K1115" s="2">
        <v>133.69</v>
      </c>
      <c r="L1115" s="1">
        <v>22</v>
      </c>
      <c r="M1115" s="2">
        <v>1604.28</v>
      </c>
      <c r="N1115" s="2">
        <v>352.94</v>
      </c>
      <c r="O1115" s="2">
        <v>1251.3399999999999</v>
      </c>
      <c r="P1115" s="1">
        <v>272</v>
      </c>
      <c r="Q1115" s="2">
        <v>93.58</v>
      </c>
      <c r="R1115" s="2">
        <v>128.38</v>
      </c>
      <c r="S1115" s="1" t="s">
        <v>1011</v>
      </c>
      <c r="T1115" s="1" t="s">
        <v>1004</v>
      </c>
      <c r="U1115" s="1" t="s">
        <v>1007</v>
      </c>
    </row>
    <row r="1116" spans="1:21" x14ac:dyDescent="0.3">
      <c r="A1116" s="1" t="s">
        <v>2130</v>
      </c>
      <c r="B1116" s="1" t="s">
        <v>176</v>
      </c>
      <c r="C1116" s="1" t="s">
        <v>177</v>
      </c>
      <c r="D1116" s="1" t="s">
        <v>39</v>
      </c>
      <c r="E1116" s="1" t="s">
        <v>3261</v>
      </c>
      <c r="F1116" s="1" t="s">
        <v>1001</v>
      </c>
      <c r="G1116" s="1" t="s">
        <v>1002</v>
      </c>
      <c r="H1116" s="1">
        <v>7</v>
      </c>
      <c r="I1116" s="1">
        <v>6</v>
      </c>
      <c r="J1116" s="1" t="s">
        <v>2549</v>
      </c>
      <c r="K1116" s="2">
        <v>153.83000000000001</v>
      </c>
      <c r="L1116" s="1">
        <v>23</v>
      </c>
      <c r="M1116" s="2">
        <v>1076.81</v>
      </c>
      <c r="N1116" s="2">
        <v>247.67</v>
      </c>
      <c r="O1116" s="2">
        <v>829.14</v>
      </c>
      <c r="P1116" s="1">
        <v>278</v>
      </c>
      <c r="Q1116" s="2">
        <v>107.68</v>
      </c>
      <c r="R1116" s="2">
        <v>75.38</v>
      </c>
      <c r="S1116" s="1" t="s">
        <v>1003</v>
      </c>
      <c r="T1116" s="1" t="s">
        <v>1007</v>
      </c>
      <c r="U1116" s="1" t="s">
        <v>1007</v>
      </c>
    </row>
    <row r="1117" spans="1:21" x14ac:dyDescent="0.3">
      <c r="A1117" s="1" t="s">
        <v>2131</v>
      </c>
      <c r="B1117" s="1" t="s">
        <v>176</v>
      </c>
      <c r="C1117" s="1" t="s">
        <v>177</v>
      </c>
      <c r="D1117" s="1" t="s">
        <v>39</v>
      </c>
      <c r="E1117" s="1" t="s">
        <v>3262</v>
      </c>
      <c r="F1117" s="1" t="s">
        <v>1001</v>
      </c>
      <c r="G1117" s="1" t="s">
        <v>1023</v>
      </c>
      <c r="H1117" s="1">
        <v>15</v>
      </c>
      <c r="I1117" s="1">
        <v>5</v>
      </c>
      <c r="J1117" s="1" t="s">
        <v>2666</v>
      </c>
      <c r="K1117" s="2">
        <v>344.15</v>
      </c>
      <c r="L1117" s="1">
        <v>14</v>
      </c>
      <c r="M1117" s="2">
        <v>5162.25</v>
      </c>
      <c r="N1117" s="2">
        <v>722.72</v>
      </c>
      <c r="O1117" s="2">
        <v>4439.53</v>
      </c>
      <c r="P1117" s="1">
        <v>214</v>
      </c>
      <c r="Q1117" s="2">
        <v>240.9</v>
      </c>
      <c r="R1117" s="2">
        <v>826.03</v>
      </c>
      <c r="S1117" s="1" t="s">
        <v>1011</v>
      </c>
      <c r="T1117" s="1" t="s">
        <v>1004</v>
      </c>
      <c r="U1117" s="1" t="s">
        <v>1004</v>
      </c>
    </row>
    <row r="1118" spans="1:21" x14ac:dyDescent="0.3">
      <c r="A1118" s="1" t="s">
        <v>2132</v>
      </c>
      <c r="B1118" s="1" t="s">
        <v>189</v>
      </c>
      <c r="C1118" s="1" t="s">
        <v>190</v>
      </c>
      <c r="D1118" s="1" t="s">
        <v>59</v>
      </c>
      <c r="E1118" s="1" t="s">
        <v>3263</v>
      </c>
      <c r="F1118" s="1" t="s">
        <v>1009</v>
      </c>
      <c r="G1118" s="1" t="s">
        <v>1023</v>
      </c>
      <c r="H1118" s="1">
        <v>15</v>
      </c>
      <c r="I1118" s="1">
        <v>3</v>
      </c>
      <c r="J1118" s="1" t="s">
        <v>2833</v>
      </c>
      <c r="K1118" s="2">
        <v>391.15</v>
      </c>
      <c r="L1118" s="1">
        <v>22</v>
      </c>
      <c r="M1118" s="2">
        <v>5867.25</v>
      </c>
      <c r="N1118" s="2">
        <v>1290.8</v>
      </c>
      <c r="O1118" s="2">
        <v>4576.45</v>
      </c>
      <c r="P1118" s="1">
        <v>63</v>
      </c>
      <c r="Q1118" s="2">
        <v>273.8</v>
      </c>
      <c r="R1118" s="2">
        <v>469.45</v>
      </c>
      <c r="S1118" s="1" t="s">
        <v>1011</v>
      </c>
      <c r="T1118" s="1" t="s">
        <v>1004</v>
      </c>
      <c r="U1118" s="1" t="s">
        <v>1007</v>
      </c>
    </row>
    <row r="1119" spans="1:21" x14ac:dyDescent="0.3">
      <c r="A1119" s="1" t="s">
        <v>2133</v>
      </c>
      <c r="B1119" s="1" t="s">
        <v>57</v>
      </c>
      <c r="C1119" s="1" t="s">
        <v>58</v>
      </c>
      <c r="D1119" s="1" t="s">
        <v>59</v>
      </c>
      <c r="E1119" s="1" t="s">
        <v>3264</v>
      </c>
      <c r="F1119" s="1" t="s">
        <v>1009</v>
      </c>
      <c r="G1119" s="1" t="s">
        <v>1002</v>
      </c>
      <c r="H1119" s="1">
        <v>9</v>
      </c>
      <c r="I1119" s="1">
        <v>6</v>
      </c>
      <c r="J1119" s="1" t="s">
        <v>2608</v>
      </c>
      <c r="K1119" s="2">
        <v>70.5</v>
      </c>
      <c r="L1119" s="1">
        <v>19</v>
      </c>
      <c r="M1119" s="2">
        <v>634.5</v>
      </c>
      <c r="N1119" s="2">
        <v>120.56</v>
      </c>
      <c r="O1119" s="2">
        <v>513.94000000000005</v>
      </c>
      <c r="P1119" s="1">
        <v>257</v>
      </c>
      <c r="Q1119" s="2">
        <v>49.35</v>
      </c>
      <c r="R1119" s="2">
        <v>69.790000000000006</v>
      </c>
      <c r="S1119" s="1" t="s">
        <v>1003</v>
      </c>
      <c r="T1119" s="1" t="s">
        <v>1004</v>
      </c>
      <c r="U1119" s="1" t="s">
        <v>1004</v>
      </c>
    </row>
    <row r="1120" spans="1:21" x14ac:dyDescent="0.3">
      <c r="A1120" s="1" t="s">
        <v>2134</v>
      </c>
      <c r="B1120" s="1" t="s">
        <v>118</v>
      </c>
      <c r="C1120" s="1" t="s">
        <v>119</v>
      </c>
      <c r="D1120" s="1" t="s">
        <v>97</v>
      </c>
      <c r="E1120" s="1" t="s">
        <v>3265</v>
      </c>
      <c r="F1120" s="1" t="s">
        <v>1013</v>
      </c>
      <c r="G1120" s="1" t="s">
        <v>1010</v>
      </c>
      <c r="H1120" s="1">
        <v>13</v>
      </c>
      <c r="I1120" s="1">
        <v>7</v>
      </c>
      <c r="J1120" s="1" t="s">
        <v>2559</v>
      </c>
      <c r="K1120" s="2">
        <v>117.22</v>
      </c>
      <c r="L1120" s="1">
        <v>2</v>
      </c>
      <c r="M1120" s="2">
        <v>1523.86</v>
      </c>
      <c r="N1120" s="2">
        <v>30.48</v>
      </c>
      <c r="O1120" s="2">
        <v>1493.38</v>
      </c>
      <c r="P1120" s="1">
        <v>157</v>
      </c>
      <c r="Q1120" s="2">
        <v>82.05</v>
      </c>
      <c r="R1120" s="2">
        <v>426.73</v>
      </c>
      <c r="S1120" s="1" t="s">
        <v>1016</v>
      </c>
      <c r="T1120" s="1" t="s">
        <v>1007</v>
      </c>
      <c r="U1120" s="1" t="s">
        <v>1004</v>
      </c>
    </row>
    <row r="1121" spans="1:21" x14ac:dyDescent="0.3">
      <c r="A1121" s="1" t="s">
        <v>2135</v>
      </c>
      <c r="B1121" s="1" t="s">
        <v>107</v>
      </c>
      <c r="C1121" s="1" t="s">
        <v>108</v>
      </c>
      <c r="D1121" s="1" t="s">
        <v>39</v>
      </c>
      <c r="E1121" s="1" t="s">
        <v>3266</v>
      </c>
      <c r="F1121" s="1" t="s">
        <v>1001</v>
      </c>
      <c r="G1121" s="1" t="s">
        <v>1023</v>
      </c>
      <c r="H1121" s="1">
        <v>14</v>
      </c>
      <c r="I1121" s="1">
        <v>6</v>
      </c>
      <c r="J1121" s="1" t="s">
        <v>2518</v>
      </c>
      <c r="K1121" s="2">
        <v>242.52</v>
      </c>
      <c r="L1121" s="1">
        <v>20</v>
      </c>
      <c r="M1121" s="2">
        <v>3395.28</v>
      </c>
      <c r="N1121" s="2">
        <v>679.06</v>
      </c>
      <c r="O1121" s="2">
        <v>2716.22</v>
      </c>
      <c r="P1121" s="1">
        <v>151</v>
      </c>
      <c r="Q1121" s="2">
        <v>169.76</v>
      </c>
      <c r="R1121" s="2">
        <v>339.58</v>
      </c>
      <c r="S1121" s="1" t="s">
        <v>1003</v>
      </c>
      <c r="T1121" s="1" t="s">
        <v>1004</v>
      </c>
      <c r="U1121" s="1" t="s">
        <v>1004</v>
      </c>
    </row>
    <row r="1122" spans="1:21" x14ac:dyDescent="0.3">
      <c r="A1122" s="1" t="s">
        <v>2136</v>
      </c>
      <c r="B1122" s="1" t="s">
        <v>118</v>
      </c>
      <c r="C1122" s="1" t="s">
        <v>119</v>
      </c>
      <c r="D1122" s="1" t="s">
        <v>97</v>
      </c>
      <c r="E1122" s="1" t="s">
        <v>3267</v>
      </c>
      <c r="F1122" s="1" t="s">
        <v>1027</v>
      </c>
      <c r="G1122" s="1" t="s">
        <v>1002</v>
      </c>
      <c r="H1122" s="1">
        <v>9</v>
      </c>
      <c r="I1122" s="1">
        <v>5</v>
      </c>
      <c r="J1122" s="1" t="s">
        <v>2612</v>
      </c>
      <c r="K1122" s="2">
        <v>56.45</v>
      </c>
      <c r="L1122" s="1">
        <v>8</v>
      </c>
      <c r="M1122" s="2">
        <v>508.05</v>
      </c>
      <c r="N1122" s="2">
        <v>40.64</v>
      </c>
      <c r="O1122" s="2">
        <v>467.41</v>
      </c>
      <c r="P1122" s="1">
        <v>69</v>
      </c>
      <c r="Q1122" s="2">
        <v>39.520000000000003</v>
      </c>
      <c r="R1122" s="2">
        <v>111.73</v>
      </c>
      <c r="S1122" s="1" t="s">
        <v>1003</v>
      </c>
      <c r="T1122" s="1" t="s">
        <v>1007</v>
      </c>
      <c r="U1122" s="1" t="s">
        <v>1007</v>
      </c>
    </row>
    <row r="1123" spans="1:21" x14ac:dyDescent="0.3">
      <c r="A1123" s="1" t="s">
        <v>2137</v>
      </c>
      <c r="B1123" s="1" t="s">
        <v>192</v>
      </c>
      <c r="C1123" s="1" t="s">
        <v>193</v>
      </c>
      <c r="D1123" s="1" t="s">
        <v>85</v>
      </c>
      <c r="E1123" s="1" t="s">
        <v>3268</v>
      </c>
      <c r="F1123" s="1" t="s">
        <v>1020</v>
      </c>
      <c r="G1123" s="1" t="s">
        <v>1023</v>
      </c>
      <c r="H1123" s="1">
        <v>4</v>
      </c>
      <c r="I1123" s="1">
        <v>1</v>
      </c>
      <c r="J1123" s="1" t="s">
        <v>2666</v>
      </c>
      <c r="K1123" s="2">
        <v>74.31</v>
      </c>
      <c r="L1123" s="1">
        <v>6</v>
      </c>
      <c r="M1123" s="2">
        <v>297.24</v>
      </c>
      <c r="N1123" s="2">
        <v>17.829999999999998</v>
      </c>
      <c r="O1123" s="2">
        <v>279.41000000000003</v>
      </c>
      <c r="P1123" s="1">
        <v>110</v>
      </c>
      <c r="Q1123" s="2">
        <v>52.02</v>
      </c>
      <c r="R1123" s="2">
        <v>71.33</v>
      </c>
      <c r="S1123" s="1" t="s">
        <v>1003</v>
      </c>
      <c r="T1123" s="1" t="s">
        <v>1007</v>
      </c>
      <c r="U1123" s="1" t="s">
        <v>1004</v>
      </c>
    </row>
    <row r="1124" spans="1:21" x14ac:dyDescent="0.3">
      <c r="A1124" s="1" t="s">
        <v>2138</v>
      </c>
      <c r="B1124" s="1" t="s">
        <v>237</v>
      </c>
      <c r="C1124" s="1" t="s">
        <v>238</v>
      </c>
      <c r="D1124" s="1" t="s">
        <v>85</v>
      </c>
      <c r="E1124" s="1" t="s">
        <v>3269</v>
      </c>
      <c r="F1124" s="1" t="s">
        <v>1020</v>
      </c>
      <c r="G1124" s="1" t="s">
        <v>1023</v>
      </c>
      <c r="H1124" s="1">
        <v>9</v>
      </c>
      <c r="I1124" s="1">
        <v>6</v>
      </c>
      <c r="J1124" s="1" t="s">
        <v>2917</v>
      </c>
      <c r="K1124" s="2">
        <v>130.44</v>
      </c>
      <c r="L1124" s="1">
        <v>20</v>
      </c>
      <c r="M1124" s="2">
        <v>1173.96</v>
      </c>
      <c r="N1124" s="2">
        <v>234.79</v>
      </c>
      <c r="O1124" s="2">
        <v>939.17</v>
      </c>
      <c r="P1124" s="1">
        <v>86</v>
      </c>
      <c r="Q1124" s="2">
        <v>91.31</v>
      </c>
      <c r="R1124" s="2">
        <v>117.38</v>
      </c>
      <c r="S1124" s="1" t="s">
        <v>1003</v>
      </c>
      <c r="T1124" s="1" t="s">
        <v>1007</v>
      </c>
      <c r="U1124" s="1" t="s">
        <v>1007</v>
      </c>
    </row>
    <row r="1125" spans="1:21" x14ac:dyDescent="0.3">
      <c r="A1125" s="1" t="s">
        <v>2139</v>
      </c>
      <c r="B1125" s="1" t="s">
        <v>102</v>
      </c>
      <c r="C1125" s="1" t="s">
        <v>103</v>
      </c>
      <c r="D1125" s="1" t="s">
        <v>104</v>
      </c>
      <c r="E1125" s="1" t="s">
        <v>3270</v>
      </c>
      <c r="F1125" s="1" t="s">
        <v>1009</v>
      </c>
      <c r="G1125" s="1" t="s">
        <v>1023</v>
      </c>
      <c r="H1125" s="1">
        <v>10</v>
      </c>
      <c r="I1125" s="1">
        <v>4</v>
      </c>
      <c r="J1125" s="1" t="s">
        <v>2866</v>
      </c>
      <c r="K1125" s="2">
        <v>326.64999999999998</v>
      </c>
      <c r="L1125" s="1">
        <v>13</v>
      </c>
      <c r="M1125" s="2">
        <v>3266.5</v>
      </c>
      <c r="N1125" s="2">
        <v>424.65</v>
      </c>
      <c r="O1125" s="2">
        <v>2841.85</v>
      </c>
      <c r="P1125" s="1">
        <v>186</v>
      </c>
      <c r="Q1125" s="2">
        <v>228.65</v>
      </c>
      <c r="R1125" s="2">
        <v>555.35</v>
      </c>
      <c r="S1125" s="1" t="s">
        <v>1016</v>
      </c>
      <c r="T1125" s="1" t="s">
        <v>1004</v>
      </c>
      <c r="U1125" s="1" t="s">
        <v>1007</v>
      </c>
    </row>
    <row r="1126" spans="1:21" x14ac:dyDescent="0.3">
      <c r="A1126" s="1" t="s">
        <v>2140</v>
      </c>
      <c r="B1126" s="1" t="s">
        <v>123</v>
      </c>
      <c r="C1126" s="1" t="s">
        <v>124</v>
      </c>
      <c r="D1126" s="1" t="s">
        <v>47</v>
      </c>
      <c r="E1126" s="1" t="s">
        <v>3271</v>
      </c>
      <c r="F1126" s="1" t="s">
        <v>1006</v>
      </c>
      <c r="G1126" s="1" t="s">
        <v>1002</v>
      </c>
      <c r="H1126" s="1">
        <v>2</v>
      </c>
      <c r="I1126" s="1">
        <v>3</v>
      </c>
      <c r="J1126" s="1" t="s">
        <v>2551</v>
      </c>
      <c r="K1126" s="2">
        <v>231.19</v>
      </c>
      <c r="L1126" s="1">
        <v>6</v>
      </c>
      <c r="M1126" s="2">
        <v>462.38</v>
      </c>
      <c r="N1126" s="2">
        <v>27.74</v>
      </c>
      <c r="O1126" s="2">
        <v>434.64</v>
      </c>
      <c r="P1126" s="1">
        <v>68</v>
      </c>
      <c r="Q1126" s="2">
        <v>161.83000000000001</v>
      </c>
      <c r="R1126" s="2">
        <v>110.98</v>
      </c>
      <c r="S1126" s="1" t="s">
        <v>1003</v>
      </c>
      <c r="T1126" s="1" t="s">
        <v>1004</v>
      </c>
      <c r="U1126" s="1" t="s">
        <v>1004</v>
      </c>
    </row>
    <row r="1127" spans="1:21" x14ac:dyDescent="0.3">
      <c r="A1127" s="1" t="s">
        <v>2141</v>
      </c>
      <c r="B1127" s="1" t="s">
        <v>83</v>
      </c>
      <c r="C1127" s="1" t="s">
        <v>84</v>
      </c>
      <c r="D1127" s="1" t="s">
        <v>85</v>
      </c>
      <c r="E1127" s="1" t="s">
        <v>3272</v>
      </c>
      <c r="F1127" s="1" t="s">
        <v>1020</v>
      </c>
      <c r="G1127" s="1" t="s">
        <v>1002</v>
      </c>
      <c r="H1127" s="1">
        <v>14</v>
      </c>
      <c r="I1127" s="1">
        <v>7</v>
      </c>
      <c r="J1127" s="1" t="s">
        <v>3273</v>
      </c>
      <c r="K1127" s="2">
        <v>184.16</v>
      </c>
      <c r="L1127" s="1">
        <v>17</v>
      </c>
      <c r="M1127" s="2">
        <v>2578.2399999999998</v>
      </c>
      <c r="N1127" s="2">
        <v>438.3</v>
      </c>
      <c r="O1127" s="2">
        <v>2139.94</v>
      </c>
      <c r="P1127" s="1">
        <v>69</v>
      </c>
      <c r="Q1127" s="2">
        <v>128.91</v>
      </c>
      <c r="R1127" s="2">
        <v>335.2</v>
      </c>
      <c r="S1127" s="1" t="s">
        <v>1016</v>
      </c>
      <c r="T1127" s="1" t="s">
        <v>1004</v>
      </c>
      <c r="U1127" s="1" t="s">
        <v>1007</v>
      </c>
    </row>
    <row r="1128" spans="1:21" x14ac:dyDescent="0.3">
      <c r="A1128" s="1" t="s">
        <v>2142</v>
      </c>
      <c r="B1128" s="1" t="s">
        <v>57</v>
      </c>
      <c r="C1128" s="1" t="s">
        <v>58</v>
      </c>
      <c r="D1128" s="1" t="s">
        <v>59</v>
      </c>
      <c r="E1128" s="1" t="s">
        <v>3274</v>
      </c>
      <c r="F1128" s="1" t="s">
        <v>1027</v>
      </c>
      <c r="G1128" s="1" t="s">
        <v>1010</v>
      </c>
      <c r="H1128" s="1">
        <v>13</v>
      </c>
      <c r="I1128" s="1">
        <v>6</v>
      </c>
      <c r="J1128" s="1" t="s">
        <v>2789</v>
      </c>
      <c r="K1128" s="2">
        <v>204.31</v>
      </c>
      <c r="L1128" s="1">
        <v>19</v>
      </c>
      <c r="M1128" s="2">
        <v>2656.03</v>
      </c>
      <c r="N1128" s="2">
        <v>504.65</v>
      </c>
      <c r="O1128" s="2">
        <v>2151.38</v>
      </c>
      <c r="P1128" s="1">
        <v>60</v>
      </c>
      <c r="Q1128" s="2">
        <v>143.02000000000001</v>
      </c>
      <c r="R1128" s="2">
        <v>292.12</v>
      </c>
      <c r="S1128" s="1" t="s">
        <v>1016</v>
      </c>
      <c r="T1128" s="1" t="s">
        <v>1004</v>
      </c>
      <c r="U1128" s="1" t="s">
        <v>1004</v>
      </c>
    </row>
    <row r="1129" spans="1:21" x14ac:dyDescent="0.3">
      <c r="A1129" s="1" t="s">
        <v>2143</v>
      </c>
      <c r="B1129" s="1" t="s">
        <v>237</v>
      </c>
      <c r="C1129" s="1" t="s">
        <v>238</v>
      </c>
      <c r="D1129" s="1" t="s">
        <v>85</v>
      </c>
      <c r="E1129" s="1" t="s">
        <v>3275</v>
      </c>
      <c r="F1129" s="1" t="s">
        <v>1015</v>
      </c>
      <c r="G1129" s="1" t="s">
        <v>1010</v>
      </c>
      <c r="H1129" s="1">
        <v>6</v>
      </c>
      <c r="I1129" s="1">
        <v>1</v>
      </c>
      <c r="J1129" s="1" t="s">
        <v>2839</v>
      </c>
      <c r="K1129" s="2">
        <v>145.85</v>
      </c>
      <c r="L1129" s="1">
        <v>10</v>
      </c>
      <c r="M1129" s="2">
        <v>875.1</v>
      </c>
      <c r="N1129" s="2">
        <v>87.51</v>
      </c>
      <c r="O1129" s="2">
        <v>787.59</v>
      </c>
      <c r="P1129" s="1">
        <v>123</v>
      </c>
      <c r="Q1129" s="2">
        <v>102.09</v>
      </c>
      <c r="R1129" s="2">
        <v>175.05</v>
      </c>
      <c r="S1129" s="1" t="s">
        <v>1016</v>
      </c>
      <c r="T1129" s="1" t="s">
        <v>1004</v>
      </c>
      <c r="U1129" s="1" t="s">
        <v>1007</v>
      </c>
    </row>
    <row r="1130" spans="1:21" x14ac:dyDescent="0.3">
      <c r="A1130" s="1" t="s">
        <v>2144</v>
      </c>
      <c r="B1130" s="1" t="s">
        <v>107</v>
      </c>
      <c r="C1130" s="1" t="s">
        <v>108</v>
      </c>
      <c r="D1130" s="1" t="s">
        <v>39</v>
      </c>
      <c r="E1130" s="1" t="s">
        <v>3276</v>
      </c>
      <c r="F1130" s="1" t="s">
        <v>1020</v>
      </c>
      <c r="G1130" s="1" t="s">
        <v>1002</v>
      </c>
      <c r="H1130" s="1">
        <v>6</v>
      </c>
      <c r="I1130" s="1">
        <v>1</v>
      </c>
      <c r="J1130" s="1" t="s">
        <v>2635</v>
      </c>
      <c r="K1130" s="2">
        <v>323.45999999999998</v>
      </c>
      <c r="L1130" s="1">
        <v>25</v>
      </c>
      <c r="M1130" s="2">
        <v>1940.76</v>
      </c>
      <c r="N1130" s="2">
        <v>485.19</v>
      </c>
      <c r="O1130" s="2">
        <v>1455.57</v>
      </c>
      <c r="P1130" s="1">
        <v>74</v>
      </c>
      <c r="Q1130" s="2">
        <v>226.42</v>
      </c>
      <c r="R1130" s="2">
        <v>97.05</v>
      </c>
      <c r="S1130" s="1" t="s">
        <v>1016</v>
      </c>
      <c r="T1130" s="1" t="s">
        <v>1007</v>
      </c>
      <c r="U1130" s="1" t="s">
        <v>1004</v>
      </c>
    </row>
    <row r="1131" spans="1:21" x14ac:dyDescent="0.3">
      <c r="A1131" s="1" t="s">
        <v>2145</v>
      </c>
      <c r="B1131" s="1" t="s">
        <v>107</v>
      </c>
      <c r="C1131" s="1" t="s">
        <v>108</v>
      </c>
      <c r="D1131" s="1" t="s">
        <v>39</v>
      </c>
      <c r="E1131" s="1" t="s">
        <v>3277</v>
      </c>
      <c r="F1131" s="1" t="s">
        <v>1009</v>
      </c>
      <c r="G1131" s="1" t="s">
        <v>1002</v>
      </c>
      <c r="H1131" s="1">
        <v>15</v>
      </c>
      <c r="I1131" s="1">
        <v>3</v>
      </c>
      <c r="J1131" s="1" t="s">
        <v>2770</v>
      </c>
      <c r="K1131" s="2">
        <v>445.61</v>
      </c>
      <c r="L1131" s="1">
        <v>15</v>
      </c>
      <c r="M1131" s="2">
        <v>6684.15</v>
      </c>
      <c r="N1131" s="2">
        <v>1002.62</v>
      </c>
      <c r="O1131" s="2">
        <v>5681.53</v>
      </c>
      <c r="P1131" s="1">
        <v>122</v>
      </c>
      <c r="Q1131" s="2">
        <v>311.93</v>
      </c>
      <c r="R1131" s="2">
        <v>1002.58</v>
      </c>
      <c r="S1131" s="1" t="s">
        <v>1011</v>
      </c>
      <c r="T1131" s="1" t="s">
        <v>1007</v>
      </c>
      <c r="U1131" s="1" t="s">
        <v>1004</v>
      </c>
    </row>
    <row r="1132" spans="1:21" x14ac:dyDescent="0.3">
      <c r="A1132" s="1" t="s">
        <v>2146</v>
      </c>
      <c r="B1132" s="1" t="s">
        <v>192</v>
      </c>
      <c r="C1132" s="1" t="s">
        <v>193</v>
      </c>
      <c r="D1132" s="1" t="s">
        <v>85</v>
      </c>
      <c r="E1132" s="1" t="s">
        <v>3278</v>
      </c>
      <c r="F1132" s="1" t="s">
        <v>1006</v>
      </c>
      <c r="G1132" s="1" t="s">
        <v>1002</v>
      </c>
      <c r="H1132" s="1">
        <v>12</v>
      </c>
      <c r="I1132" s="1">
        <v>5</v>
      </c>
      <c r="J1132" s="1" t="s">
        <v>2524</v>
      </c>
      <c r="K1132" s="2">
        <v>199.66</v>
      </c>
      <c r="L1132" s="1">
        <v>17</v>
      </c>
      <c r="M1132" s="2">
        <v>2395.92</v>
      </c>
      <c r="N1132" s="2">
        <v>407.31</v>
      </c>
      <c r="O1132" s="2">
        <v>1988.61</v>
      </c>
      <c r="P1132" s="1">
        <v>101</v>
      </c>
      <c r="Q1132" s="2">
        <v>139.76</v>
      </c>
      <c r="R1132" s="2">
        <v>311.49</v>
      </c>
      <c r="S1132" s="1" t="s">
        <v>1003</v>
      </c>
      <c r="T1132" s="1" t="s">
        <v>1007</v>
      </c>
      <c r="U1132" s="1" t="s">
        <v>1004</v>
      </c>
    </row>
    <row r="1133" spans="1:21" x14ac:dyDescent="0.3">
      <c r="A1133" s="1" t="s">
        <v>2147</v>
      </c>
      <c r="B1133" s="1" t="s">
        <v>123</v>
      </c>
      <c r="C1133" s="1" t="s">
        <v>124</v>
      </c>
      <c r="D1133" s="1" t="s">
        <v>47</v>
      </c>
      <c r="E1133" s="1" t="s">
        <v>3279</v>
      </c>
      <c r="F1133" s="1" t="s">
        <v>1013</v>
      </c>
      <c r="G1133" s="1" t="s">
        <v>1023</v>
      </c>
      <c r="H1133" s="1">
        <v>14</v>
      </c>
      <c r="I1133" s="1">
        <v>2</v>
      </c>
      <c r="J1133" s="1" t="s">
        <v>2766</v>
      </c>
      <c r="K1133" s="2">
        <v>218.78</v>
      </c>
      <c r="L1133" s="1">
        <v>1</v>
      </c>
      <c r="M1133" s="2">
        <v>3062.92</v>
      </c>
      <c r="N1133" s="2">
        <v>30.63</v>
      </c>
      <c r="O1133" s="2">
        <v>3032.29</v>
      </c>
      <c r="P1133" s="1">
        <v>60</v>
      </c>
      <c r="Q1133" s="2">
        <v>153.15</v>
      </c>
      <c r="R1133" s="2">
        <v>888.19</v>
      </c>
      <c r="S1133" s="1" t="s">
        <v>1003</v>
      </c>
      <c r="T1133" s="1" t="s">
        <v>1007</v>
      </c>
      <c r="U1133" s="1" t="s">
        <v>1007</v>
      </c>
    </row>
    <row r="1134" spans="1:21" x14ac:dyDescent="0.3">
      <c r="A1134" s="1" t="s">
        <v>2148</v>
      </c>
      <c r="B1134" s="1" t="s">
        <v>77</v>
      </c>
      <c r="C1134" s="1" t="s">
        <v>78</v>
      </c>
      <c r="D1134" s="1" t="s">
        <v>47</v>
      </c>
      <c r="E1134" s="1" t="s">
        <v>3280</v>
      </c>
      <c r="F1134" s="1" t="s">
        <v>1020</v>
      </c>
      <c r="G1134" s="1" t="s">
        <v>1010</v>
      </c>
      <c r="H1134" s="1">
        <v>9</v>
      </c>
      <c r="I1134" s="1">
        <v>1</v>
      </c>
      <c r="J1134" s="1" t="s">
        <v>2712</v>
      </c>
      <c r="K1134" s="2">
        <v>482.05</v>
      </c>
      <c r="L1134" s="1">
        <v>17</v>
      </c>
      <c r="M1134" s="2">
        <v>4338.45</v>
      </c>
      <c r="N1134" s="2">
        <v>737.54</v>
      </c>
      <c r="O1134" s="2">
        <v>3600.91</v>
      </c>
      <c r="P1134" s="1">
        <v>95</v>
      </c>
      <c r="Q1134" s="2">
        <v>337.44</v>
      </c>
      <c r="R1134" s="2">
        <v>563.95000000000005</v>
      </c>
      <c r="S1134" s="1" t="s">
        <v>1011</v>
      </c>
      <c r="T1134" s="1" t="s">
        <v>1004</v>
      </c>
      <c r="U1134" s="1" t="s">
        <v>1007</v>
      </c>
    </row>
    <row r="1135" spans="1:21" x14ac:dyDescent="0.3">
      <c r="A1135" s="1" t="s">
        <v>2149</v>
      </c>
      <c r="B1135" s="1" t="s">
        <v>130</v>
      </c>
      <c r="C1135" s="1" t="s">
        <v>131</v>
      </c>
      <c r="D1135" s="1" t="s">
        <v>132</v>
      </c>
      <c r="E1135" s="1" t="s">
        <v>3281</v>
      </c>
      <c r="F1135" s="1" t="s">
        <v>1020</v>
      </c>
      <c r="G1135" s="1" t="s">
        <v>1002</v>
      </c>
      <c r="H1135" s="1">
        <v>2</v>
      </c>
      <c r="I1135" s="1">
        <v>5</v>
      </c>
      <c r="J1135" s="1" t="s">
        <v>3282</v>
      </c>
      <c r="K1135" s="2">
        <v>114.89</v>
      </c>
      <c r="L1135" s="1">
        <v>23</v>
      </c>
      <c r="M1135" s="2">
        <v>229.78</v>
      </c>
      <c r="N1135" s="2">
        <v>52.85</v>
      </c>
      <c r="O1135" s="2">
        <v>176.93</v>
      </c>
      <c r="P1135" s="1">
        <v>143</v>
      </c>
      <c r="Q1135" s="2">
        <v>80.42</v>
      </c>
      <c r="R1135" s="2">
        <v>16.09</v>
      </c>
      <c r="S1135" s="1" t="s">
        <v>1011</v>
      </c>
      <c r="T1135" s="1" t="s">
        <v>1007</v>
      </c>
      <c r="U1135" s="1" t="s">
        <v>1004</v>
      </c>
    </row>
    <row r="1136" spans="1:21" x14ac:dyDescent="0.3">
      <c r="A1136" s="1" t="s">
        <v>2150</v>
      </c>
      <c r="B1136" s="1" t="s">
        <v>57</v>
      </c>
      <c r="C1136" s="1" t="s">
        <v>58</v>
      </c>
      <c r="D1136" s="1" t="s">
        <v>59</v>
      </c>
      <c r="E1136" s="1" t="s">
        <v>3283</v>
      </c>
      <c r="F1136" s="1" t="s">
        <v>1015</v>
      </c>
      <c r="G1136" s="1" t="s">
        <v>1023</v>
      </c>
      <c r="H1136" s="1">
        <v>4</v>
      </c>
      <c r="I1136" s="1">
        <v>3</v>
      </c>
      <c r="J1136" s="1" t="s">
        <v>2869</v>
      </c>
      <c r="K1136" s="2">
        <v>192.74</v>
      </c>
      <c r="L1136" s="1">
        <v>0</v>
      </c>
      <c r="M1136" s="2">
        <v>770.96</v>
      </c>
      <c r="N1136" s="2">
        <v>0</v>
      </c>
      <c r="O1136" s="2">
        <v>770.96</v>
      </c>
      <c r="P1136" s="1">
        <v>126</v>
      </c>
      <c r="Q1136" s="2">
        <v>134.91999999999999</v>
      </c>
      <c r="R1136" s="2">
        <v>231.28</v>
      </c>
      <c r="S1136" s="1" t="s">
        <v>1003</v>
      </c>
      <c r="T1136" s="1" t="s">
        <v>1007</v>
      </c>
      <c r="U1136" s="1" t="s">
        <v>1004</v>
      </c>
    </row>
    <row r="1137" spans="1:21" x14ac:dyDescent="0.3">
      <c r="A1137" s="1" t="s">
        <v>2151</v>
      </c>
      <c r="B1137" s="1" t="s">
        <v>95</v>
      </c>
      <c r="C1137" s="1" t="s">
        <v>96</v>
      </c>
      <c r="D1137" s="1" t="s">
        <v>97</v>
      </c>
      <c r="E1137" s="1" t="s">
        <v>3284</v>
      </c>
      <c r="F1137" s="1" t="s">
        <v>1009</v>
      </c>
      <c r="G1137" s="1" t="s">
        <v>1023</v>
      </c>
      <c r="H1137" s="1">
        <v>13</v>
      </c>
      <c r="I1137" s="1">
        <v>6</v>
      </c>
      <c r="J1137" s="1" t="s">
        <v>2797</v>
      </c>
      <c r="K1137" s="2">
        <v>206.98</v>
      </c>
      <c r="L1137" s="1">
        <v>21</v>
      </c>
      <c r="M1137" s="2">
        <v>2690.74</v>
      </c>
      <c r="N1137" s="2">
        <v>565.05999999999995</v>
      </c>
      <c r="O1137" s="2">
        <v>2125.6799999999998</v>
      </c>
      <c r="P1137" s="1">
        <v>92</v>
      </c>
      <c r="Q1137" s="2">
        <v>144.88999999999999</v>
      </c>
      <c r="R1137" s="2">
        <v>242.11</v>
      </c>
      <c r="S1137" s="1" t="s">
        <v>1016</v>
      </c>
      <c r="T1137" s="1" t="s">
        <v>1004</v>
      </c>
      <c r="U1137" s="1" t="s">
        <v>1004</v>
      </c>
    </row>
    <row r="1138" spans="1:21" x14ac:dyDescent="0.3">
      <c r="A1138" s="1" t="s">
        <v>2152</v>
      </c>
      <c r="B1138" s="1" t="s">
        <v>95</v>
      </c>
      <c r="C1138" s="1" t="s">
        <v>96</v>
      </c>
      <c r="D1138" s="1" t="s">
        <v>97</v>
      </c>
      <c r="E1138" s="1" t="s">
        <v>3285</v>
      </c>
      <c r="F1138" s="1" t="s">
        <v>1009</v>
      </c>
      <c r="G1138" s="1" t="s">
        <v>1010</v>
      </c>
      <c r="H1138" s="1">
        <v>13</v>
      </c>
      <c r="I1138" s="1">
        <v>6</v>
      </c>
      <c r="J1138" s="1" t="s">
        <v>2729</v>
      </c>
      <c r="K1138" s="2">
        <v>292.89999999999998</v>
      </c>
      <c r="L1138" s="1">
        <v>15</v>
      </c>
      <c r="M1138" s="2">
        <v>3807.7</v>
      </c>
      <c r="N1138" s="2">
        <v>571.15</v>
      </c>
      <c r="O1138" s="2">
        <v>3236.55</v>
      </c>
      <c r="P1138" s="1">
        <v>173</v>
      </c>
      <c r="Q1138" s="2">
        <v>205.03</v>
      </c>
      <c r="R1138" s="2">
        <v>571.16</v>
      </c>
      <c r="S1138" s="1" t="s">
        <v>1016</v>
      </c>
      <c r="T1138" s="1" t="s">
        <v>1004</v>
      </c>
      <c r="U1138" s="1" t="s">
        <v>1007</v>
      </c>
    </row>
    <row r="1139" spans="1:21" x14ac:dyDescent="0.3">
      <c r="A1139" s="1" t="s">
        <v>2153</v>
      </c>
      <c r="B1139" s="1" t="s">
        <v>118</v>
      </c>
      <c r="C1139" s="1" t="s">
        <v>119</v>
      </c>
      <c r="D1139" s="1" t="s">
        <v>97</v>
      </c>
      <c r="E1139" s="1" t="s">
        <v>3286</v>
      </c>
      <c r="F1139" s="1" t="s">
        <v>1013</v>
      </c>
      <c r="G1139" s="1" t="s">
        <v>1002</v>
      </c>
      <c r="H1139" s="1">
        <v>14</v>
      </c>
      <c r="I1139" s="1">
        <v>2</v>
      </c>
      <c r="J1139" s="1" t="s">
        <v>2788</v>
      </c>
      <c r="K1139" s="2">
        <v>485.95</v>
      </c>
      <c r="L1139" s="1">
        <v>3</v>
      </c>
      <c r="M1139" s="2">
        <v>6803.3</v>
      </c>
      <c r="N1139" s="2">
        <v>204.1</v>
      </c>
      <c r="O1139" s="2">
        <v>6599.2</v>
      </c>
      <c r="P1139" s="1">
        <v>287</v>
      </c>
      <c r="Q1139" s="2">
        <v>340.16</v>
      </c>
      <c r="R1139" s="2">
        <v>1836.96</v>
      </c>
      <c r="S1139" s="1" t="s">
        <v>1011</v>
      </c>
      <c r="T1139" s="1" t="s">
        <v>1007</v>
      </c>
      <c r="U1139" s="1" t="s">
        <v>1004</v>
      </c>
    </row>
    <row r="1140" spans="1:21" x14ac:dyDescent="0.3">
      <c r="A1140" s="1" t="s">
        <v>2154</v>
      </c>
      <c r="B1140" s="1" t="s">
        <v>176</v>
      </c>
      <c r="C1140" s="1" t="s">
        <v>177</v>
      </c>
      <c r="D1140" s="1" t="s">
        <v>39</v>
      </c>
      <c r="E1140" s="1" t="s">
        <v>3287</v>
      </c>
      <c r="F1140" s="1" t="s">
        <v>1013</v>
      </c>
      <c r="G1140" s="1" t="s">
        <v>1002</v>
      </c>
      <c r="H1140" s="1">
        <v>10</v>
      </c>
      <c r="I1140" s="1">
        <v>5</v>
      </c>
      <c r="J1140" s="1" t="s">
        <v>2731</v>
      </c>
      <c r="K1140" s="2">
        <v>370.45</v>
      </c>
      <c r="L1140" s="1">
        <v>8</v>
      </c>
      <c r="M1140" s="2">
        <v>3704.5</v>
      </c>
      <c r="N1140" s="2">
        <v>296.36</v>
      </c>
      <c r="O1140" s="2">
        <v>3408.14</v>
      </c>
      <c r="P1140" s="1">
        <v>188</v>
      </c>
      <c r="Q1140" s="2">
        <v>259.31</v>
      </c>
      <c r="R1140" s="2">
        <v>815.04</v>
      </c>
      <c r="S1140" s="1" t="s">
        <v>1003</v>
      </c>
      <c r="T1140" s="1" t="s">
        <v>1007</v>
      </c>
      <c r="U1140" s="1" t="s">
        <v>1007</v>
      </c>
    </row>
    <row r="1141" spans="1:21" x14ac:dyDescent="0.3">
      <c r="A1141" s="1" t="s">
        <v>2155</v>
      </c>
      <c r="B1141" s="1" t="s">
        <v>118</v>
      </c>
      <c r="C1141" s="1" t="s">
        <v>119</v>
      </c>
      <c r="D1141" s="1" t="s">
        <v>97</v>
      </c>
      <c r="E1141" s="1" t="s">
        <v>3288</v>
      </c>
      <c r="F1141" s="1" t="s">
        <v>1015</v>
      </c>
      <c r="G1141" s="1" t="s">
        <v>1002</v>
      </c>
      <c r="H1141" s="1">
        <v>7</v>
      </c>
      <c r="I1141" s="1">
        <v>7</v>
      </c>
      <c r="J1141" s="1" t="s">
        <v>2896</v>
      </c>
      <c r="K1141" s="2">
        <v>315.08</v>
      </c>
      <c r="L1141" s="1">
        <v>5</v>
      </c>
      <c r="M1141" s="2">
        <v>2205.56</v>
      </c>
      <c r="N1141" s="2">
        <v>110.28</v>
      </c>
      <c r="O1141" s="2">
        <v>2095.2800000000002</v>
      </c>
      <c r="P1141" s="1">
        <v>67</v>
      </c>
      <c r="Q1141" s="2">
        <v>220.56</v>
      </c>
      <c r="R1141" s="2">
        <v>551.36</v>
      </c>
      <c r="S1141" s="1" t="s">
        <v>1011</v>
      </c>
      <c r="T1141" s="1" t="s">
        <v>1007</v>
      </c>
      <c r="U1141" s="1" t="s">
        <v>1004</v>
      </c>
    </row>
    <row r="1142" spans="1:21" x14ac:dyDescent="0.3">
      <c r="A1142" s="1" t="s">
        <v>2156</v>
      </c>
      <c r="B1142" s="1" t="s">
        <v>45</v>
      </c>
      <c r="C1142" s="1" t="s">
        <v>46</v>
      </c>
      <c r="D1142" s="1" t="s">
        <v>47</v>
      </c>
      <c r="E1142" s="1" t="s">
        <v>3289</v>
      </c>
      <c r="F1142" s="1" t="s">
        <v>1001</v>
      </c>
      <c r="G1142" s="1" t="s">
        <v>1010</v>
      </c>
      <c r="H1142" s="1">
        <v>7</v>
      </c>
      <c r="I1142" s="1">
        <v>7</v>
      </c>
      <c r="J1142" s="1" t="s">
        <v>2846</v>
      </c>
      <c r="K1142" s="2">
        <v>165.9</v>
      </c>
      <c r="L1142" s="1">
        <v>2</v>
      </c>
      <c r="M1142" s="2">
        <v>1161.3</v>
      </c>
      <c r="N1142" s="2">
        <v>23.23</v>
      </c>
      <c r="O1142" s="2">
        <v>1138.07</v>
      </c>
      <c r="P1142" s="1">
        <v>190</v>
      </c>
      <c r="Q1142" s="2">
        <v>116.13</v>
      </c>
      <c r="R1142" s="2">
        <v>325.16000000000003</v>
      </c>
      <c r="S1142" s="1" t="s">
        <v>1011</v>
      </c>
      <c r="T1142" s="1" t="s">
        <v>1007</v>
      </c>
      <c r="U1142" s="1" t="s">
        <v>1004</v>
      </c>
    </row>
    <row r="1143" spans="1:21" x14ac:dyDescent="0.3">
      <c r="A1143" s="1" t="s">
        <v>2157</v>
      </c>
      <c r="B1143" s="1" t="s">
        <v>45</v>
      </c>
      <c r="C1143" s="1" t="s">
        <v>46</v>
      </c>
      <c r="D1143" s="1" t="s">
        <v>47</v>
      </c>
      <c r="E1143" s="1" t="s">
        <v>3290</v>
      </c>
      <c r="F1143" s="1" t="s">
        <v>1027</v>
      </c>
      <c r="G1143" s="1" t="s">
        <v>1002</v>
      </c>
      <c r="H1143" s="1">
        <v>6</v>
      </c>
      <c r="I1143" s="1">
        <v>2</v>
      </c>
      <c r="J1143" s="1" t="s">
        <v>3126</v>
      </c>
      <c r="K1143" s="2">
        <v>483.71</v>
      </c>
      <c r="L1143" s="1">
        <v>3</v>
      </c>
      <c r="M1143" s="2">
        <v>2902.26</v>
      </c>
      <c r="N1143" s="2">
        <v>87.07</v>
      </c>
      <c r="O1143" s="2">
        <v>2815.19</v>
      </c>
      <c r="P1143" s="1">
        <v>109</v>
      </c>
      <c r="Q1143" s="2">
        <v>338.6</v>
      </c>
      <c r="R1143" s="2">
        <v>783.59</v>
      </c>
      <c r="S1143" s="1" t="s">
        <v>1016</v>
      </c>
      <c r="T1143" s="1" t="s">
        <v>1007</v>
      </c>
      <c r="U1143" s="1" t="s">
        <v>1004</v>
      </c>
    </row>
    <row r="1144" spans="1:21" x14ac:dyDescent="0.3">
      <c r="A1144" s="1" t="s">
        <v>2158</v>
      </c>
      <c r="B1144" s="1" t="s">
        <v>107</v>
      </c>
      <c r="C1144" s="1" t="s">
        <v>108</v>
      </c>
      <c r="D1144" s="1" t="s">
        <v>39</v>
      </c>
      <c r="E1144" s="1" t="s">
        <v>3291</v>
      </c>
      <c r="F1144" s="1" t="s">
        <v>1006</v>
      </c>
      <c r="G1144" s="1" t="s">
        <v>1023</v>
      </c>
      <c r="H1144" s="1">
        <v>1</v>
      </c>
      <c r="I1144" s="1">
        <v>2</v>
      </c>
      <c r="J1144" s="1" t="s">
        <v>2578</v>
      </c>
      <c r="K1144" s="2">
        <v>149.97999999999999</v>
      </c>
      <c r="L1144" s="1">
        <v>18</v>
      </c>
      <c r="M1144" s="2">
        <v>149.97999999999999</v>
      </c>
      <c r="N1144" s="2">
        <v>27</v>
      </c>
      <c r="O1144" s="2">
        <v>122.98</v>
      </c>
      <c r="P1144" s="1">
        <v>197</v>
      </c>
      <c r="Q1144" s="2">
        <v>104.99</v>
      </c>
      <c r="R1144" s="2">
        <v>17.989999999999998</v>
      </c>
      <c r="S1144" s="1" t="s">
        <v>1016</v>
      </c>
      <c r="T1144" s="1" t="s">
        <v>1004</v>
      </c>
      <c r="U1144" s="1" t="s">
        <v>1004</v>
      </c>
    </row>
    <row r="1145" spans="1:21" x14ac:dyDescent="0.3">
      <c r="A1145" s="1" t="s">
        <v>2159</v>
      </c>
      <c r="B1145" s="1" t="s">
        <v>95</v>
      </c>
      <c r="C1145" s="1" t="s">
        <v>96</v>
      </c>
      <c r="D1145" s="1" t="s">
        <v>97</v>
      </c>
      <c r="E1145" s="1" t="s">
        <v>3292</v>
      </c>
      <c r="F1145" s="1" t="s">
        <v>1001</v>
      </c>
      <c r="G1145" s="1" t="s">
        <v>1002</v>
      </c>
      <c r="H1145" s="1">
        <v>8</v>
      </c>
      <c r="I1145" s="1">
        <v>3</v>
      </c>
      <c r="J1145" s="1" t="s">
        <v>2687</v>
      </c>
      <c r="K1145" s="2">
        <v>232.06</v>
      </c>
      <c r="L1145" s="1">
        <v>1</v>
      </c>
      <c r="M1145" s="2">
        <v>1856.48</v>
      </c>
      <c r="N1145" s="2">
        <v>18.559999999999999</v>
      </c>
      <c r="O1145" s="2">
        <v>1837.92</v>
      </c>
      <c r="P1145" s="1">
        <v>285</v>
      </c>
      <c r="Q1145" s="2">
        <v>162.44</v>
      </c>
      <c r="R1145" s="2">
        <v>538.4</v>
      </c>
      <c r="S1145" s="1" t="s">
        <v>1003</v>
      </c>
      <c r="T1145" s="1" t="s">
        <v>1007</v>
      </c>
      <c r="U1145" s="1" t="s">
        <v>1007</v>
      </c>
    </row>
    <row r="1146" spans="1:21" x14ac:dyDescent="0.3">
      <c r="A1146" s="1" t="s">
        <v>2160</v>
      </c>
      <c r="B1146" s="1" t="s">
        <v>107</v>
      </c>
      <c r="C1146" s="1" t="s">
        <v>108</v>
      </c>
      <c r="D1146" s="1" t="s">
        <v>39</v>
      </c>
      <c r="E1146" s="1" t="s">
        <v>3293</v>
      </c>
      <c r="F1146" s="1" t="s">
        <v>1009</v>
      </c>
      <c r="G1146" s="1" t="s">
        <v>1023</v>
      </c>
      <c r="H1146" s="1">
        <v>11</v>
      </c>
      <c r="I1146" s="1">
        <v>3</v>
      </c>
      <c r="J1146" s="1" t="s">
        <v>2760</v>
      </c>
      <c r="K1146" s="2">
        <v>117</v>
      </c>
      <c r="L1146" s="1">
        <v>9</v>
      </c>
      <c r="M1146" s="2">
        <v>1287</v>
      </c>
      <c r="N1146" s="2">
        <v>115.83</v>
      </c>
      <c r="O1146" s="2">
        <v>1171.17</v>
      </c>
      <c r="P1146" s="1">
        <v>154</v>
      </c>
      <c r="Q1146" s="2">
        <v>81.900000000000006</v>
      </c>
      <c r="R1146" s="2">
        <v>270.27</v>
      </c>
      <c r="S1146" s="1" t="s">
        <v>1011</v>
      </c>
      <c r="T1146" s="1" t="s">
        <v>1007</v>
      </c>
      <c r="U1146" s="1" t="s">
        <v>1007</v>
      </c>
    </row>
    <row r="1147" spans="1:21" x14ac:dyDescent="0.3">
      <c r="A1147" s="1" t="s">
        <v>2161</v>
      </c>
      <c r="B1147" s="1" t="s">
        <v>26</v>
      </c>
      <c r="C1147" s="1" t="s">
        <v>27</v>
      </c>
      <c r="D1147" s="1" t="s">
        <v>28</v>
      </c>
      <c r="E1147" s="1" t="s">
        <v>3294</v>
      </c>
      <c r="F1147" s="1" t="s">
        <v>1009</v>
      </c>
      <c r="G1147" s="1" t="s">
        <v>1023</v>
      </c>
      <c r="H1147" s="1">
        <v>9</v>
      </c>
      <c r="I1147" s="1">
        <v>7</v>
      </c>
      <c r="J1147" s="1" t="s">
        <v>2811</v>
      </c>
      <c r="K1147" s="2">
        <v>427.75</v>
      </c>
      <c r="L1147" s="1">
        <v>5</v>
      </c>
      <c r="M1147" s="2">
        <v>3849.75</v>
      </c>
      <c r="N1147" s="2">
        <v>192.49</v>
      </c>
      <c r="O1147" s="2">
        <v>3657.26</v>
      </c>
      <c r="P1147" s="1">
        <v>170</v>
      </c>
      <c r="Q1147" s="2">
        <v>299.42</v>
      </c>
      <c r="R1147" s="2">
        <v>962.48</v>
      </c>
      <c r="S1147" s="1" t="s">
        <v>1003</v>
      </c>
      <c r="T1147" s="1" t="s">
        <v>1007</v>
      </c>
      <c r="U1147" s="1" t="s">
        <v>1007</v>
      </c>
    </row>
    <row r="1148" spans="1:21" x14ac:dyDescent="0.3">
      <c r="A1148" s="1" t="s">
        <v>2162</v>
      </c>
      <c r="B1148" s="1" t="s">
        <v>111</v>
      </c>
      <c r="C1148" s="1" t="s">
        <v>112</v>
      </c>
      <c r="D1148" s="1" t="s">
        <v>97</v>
      </c>
      <c r="E1148" s="1" t="s">
        <v>3295</v>
      </c>
      <c r="F1148" s="1" t="s">
        <v>1001</v>
      </c>
      <c r="G1148" s="1" t="s">
        <v>1002</v>
      </c>
      <c r="H1148" s="1">
        <v>13</v>
      </c>
      <c r="I1148" s="1">
        <v>1</v>
      </c>
      <c r="J1148" s="1" t="s">
        <v>2570</v>
      </c>
      <c r="K1148" s="2">
        <v>58.91</v>
      </c>
      <c r="L1148" s="1">
        <v>15</v>
      </c>
      <c r="M1148" s="2">
        <v>765.83</v>
      </c>
      <c r="N1148" s="2">
        <v>114.87</v>
      </c>
      <c r="O1148" s="2">
        <v>650.96</v>
      </c>
      <c r="P1148" s="1">
        <v>60</v>
      </c>
      <c r="Q1148" s="2">
        <v>41.24</v>
      </c>
      <c r="R1148" s="2">
        <v>114.84</v>
      </c>
      <c r="S1148" s="1" t="s">
        <v>1016</v>
      </c>
      <c r="T1148" s="1" t="s">
        <v>1004</v>
      </c>
      <c r="U1148" s="1" t="s">
        <v>1004</v>
      </c>
    </row>
    <row r="1149" spans="1:21" x14ac:dyDescent="0.3">
      <c r="A1149" s="1" t="s">
        <v>2163</v>
      </c>
      <c r="B1149" s="1" t="s">
        <v>118</v>
      </c>
      <c r="C1149" s="1" t="s">
        <v>119</v>
      </c>
      <c r="D1149" s="1" t="s">
        <v>97</v>
      </c>
      <c r="E1149" s="1" t="s">
        <v>3296</v>
      </c>
      <c r="F1149" s="1" t="s">
        <v>1009</v>
      </c>
      <c r="G1149" s="1" t="s">
        <v>1002</v>
      </c>
      <c r="H1149" s="1">
        <v>7</v>
      </c>
      <c r="I1149" s="1">
        <v>2</v>
      </c>
      <c r="J1149" s="1" t="s">
        <v>2548</v>
      </c>
      <c r="K1149" s="2">
        <v>186.61</v>
      </c>
      <c r="L1149" s="1">
        <v>24</v>
      </c>
      <c r="M1149" s="2">
        <v>1306.27</v>
      </c>
      <c r="N1149" s="2">
        <v>313.5</v>
      </c>
      <c r="O1149" s="2">
        <v>992.77</v>
      </c>
      <c r="P1149" s="1">
        <v>169</v>
      </c>
      <c r="Q1149" s="2">
        <v>130.63</v>
      </c>
      <c r="R1149" s="2">
        <v>78.36</v>
      </c>
      <c r="S1149" s="1" t="s">
        <v>1016</v>
      </c>
      <c r="T1149" s="1" t="s">
        <v>1007</v>
      </c>
      <c r="U1149" s="1" t="s">
        <v>1007</v>
      </c>
    </row>
    <row r="1150" spans="1:21" x14ac:dyDescent="0.3">
      <c r="A1150" s="1" t="s">
        <v>2164</v>
      </c>
      <c r="B1150" s="1" t="s">
        <v>63</v>
      </c>
      <c r="C1150" s="1" t="s">
        <v>64</v>
      </c>
      <c r="D1150" s="1" t="s">
        <v>28</v>
      </c>
      <c r="E1150" s="1" t="s">
        <v>3297</v>
      </c>
      <c r="F1150" s="1" t="s">
        <v>1009</v>
      </c>
      <c r="G1150" s="1" t="s">
        <v>1023</v>
      </c>
      <c r="H1150" s="1">
        <v>4</v>
      </c>
      <c r="I1150" s="1">
        <v>1</v>
      </c>
      <c r="J1150" s="1" t="s">
        <v>2590</v>
      </c>
      <c r="K1150" s="2">
        <v>68.010000000000005</v>
      </c>
      <c r="L1150" s="1">
        <v>14</v>
      </c>
      <c r="M1150" s="2">
        <v>272.04000000000002</v>
      </c>
      <c r="N1150" s="2">
        <v>38.090000000000003</v>
      </c>
      <c r="O1150" s="2">
        <v>233.95</v>
      </c>
      <c r="P1150" s="1">
        <v>65</v>
      </c>
      <c r="Q1150" s="2">
        <v>47.61</v>
      </c>
      <c r="R1150" s="2">
        <v>43.51</v>
      </c>
      <c r="S1150" s="1" t="s">
        <v>1011</v>
      </c>
      <c r="T1150" s="1" t="s">
        <v>1007</v>
      </c>
      <c r="U1150" s="1" t="s">
        <v>1004</v>
      </c>
    </row>
    <row r="1151" spans="1:21" x14ac:dyDescent="0.3">
      <c r="A1151" s="1" t="s">
        <v>2165</v>
      </c>
      <c r="B1151" s="1" t="s">
        <v>166</v>
      </c>
      <c r="C1151" s="1" t="s">
        <v>167</v>
      </c>
      <c r="D1151" s="1" t="s">
        <v>59</v>
      </c>
      <c r="E1151" s="1" t="s">
        <v>3298</v>
      </c>
      <c r="F1151" s="1" t="s">
        <v>1013</v>
      </c>
      <c r="G1151" s="1" t="s">
        <v>1023</v>
      </c>
      <c r="H1151" s="1">
        <v>1</v>
      </c>
      <c r="I1151" s="1">
        <v>7</v>
      </c>
      <c r="J1151" s="1" t="s">
        <v>2887</v>
      </c>
      <c r="K1151" s="2">
        <v>186.88</v>
      </c>
      <c r="L1151" s="1">
        <v>5</v>
      </c>
      <c r="M1151" s="2">
        <v>186.88</v>
      </c>
      <c r="N1151" s="2">
        <v>9.34</v>
      </c>
      <c r="O1151" s="2">
        <v>177.54</v>
      </c>
      <c r="P1151" s="1">
        <v>269</v>
      </c>
      <c r="Q1151" s="2">
        <v>130.82</v>
      </c>
      <c r="R1151" s="2">
        <v>46.72</v>
      </c>
      <c r="S1151" s="1" t="s">
        <v>1011</v>
      </c>
      <c r="T1151" s="1" t="s">
        <v>1007</v>
      </c>
      <c r="U1151" s="1" t="s">
        <v>1007</v>
      </c>
    </row>
    <row r="1152" spans="1:21" x14ac:dyDescent="0.3">
      <c r="A1152" s="1" t="s">
        <v>2166</v>
      </c>
      <c r="B1152" s="1" t="s">
        <v>237</v>
      </c>
      <c r="C1152" s="1" t="s">
        <v>238</v>
      </c>
      <c r="D1152" s="1" t="s">
        <v>85</v>
      </c>
      <c r="E1152" s="1" t="s">
        <v>3299</v>
      </c>
      <c r="F1152" s="1" t="s">
        <v>1020</v>
      </c>
      <c r="G1152" s="1" t="s">
        <v>1010</v>
      </c>
      <c r="H1152" s="1">
        <v>5</v>
      </c>
      <c r="I1152" s="1">
        <v>1</v>
      </c>
      <c r="J1152" s="1" t="s">
        <v>3072</v>
      </c>
      <c r="K1152" s="2">
        <v>448.14</v>
      </c>
      <c r="L1152" s="1">
        <v>3</v>
      </c>
      <c r="M1152" s="2">
        <v>2240.6999999999998</v>
      </c>
      <c r="N1152" s="2">
        <v>67.22</v>
      </c>
      <c r="O1152" s="2">
        <v>2173.48</v>
      </c>
      <c r="P1152" s="1">
        <v>73</v>
      </c>
      <c r="Q1152" s="2">
        <v>313.7</v>
      </c>
      <c r="R1152" s="2">
        <v>604.98</v>
      </c>
      <c r="S1152" s="1" t="s">
        <v>1011</v>
      </c>
      <c r="T1152" s="1" t="s">
        <v>1007</v>
      </c>
      <c r="U1152" s="1" t="s">
        <v>1007</v>
      </c>
    </row>
    <row r="1153" spans="1:21" x14ac:dyDescent="0.3">
      <c r="A1153" s="1" t="s">
        <v>2167</v>
      </c>
      <c r="B1153" s="1" t="s">
        <v>69</v>
      </c>
      <c r="C1153" s="1" t="s">
        <v>70</v>
      </c>
      <c r="D1153" s="1" t="s">
        <v>59</v>
      </c>
      <c r="E1153" s="1" t="s">
        <v>3300</v>
      </c>
      <c r="F1153" s="1" t="s">
        <v>1013</v>
      </c>
      <c r="G1153" s="1" t="s">
        <v>1002</v>
      </c>
      <c r="H1153" s="1">
        <v>2</v>
      </c>
      <c r="I1153" s="1">
        <v>4</v>
      </c>
      <c r="J1153" s="1" t="s">
        <v>3053</v>
      </c>
      <c r="K1153" s="2">
        <v>344.49</v>
      </c>
      <c r="L1153" s="1">
        <v>16</v>
      </c>
      <c r="M1153" s="2">
        <v>688.98</v>
      </c>
      <c r="N1153" s="2">
        <v>110.24</v>
      </c>
      <c r="O1153" s="2">
        <v>578.74</v>
      </c>
      <c r="P1153" s="1">
        <v>126</v>
      </c>
      <c r="Q1153" s="2">
        <v>241.14</v>
      </c>
      <c r="R1153" s="2">
        <v>96.46</v>
      </c>
      <c r="S1153" s="1" t="s">
        <v>1003</v>
      </c>
      <c r="T1153" s="1" t="s">
        <v>1007</v>
      </c>
      <c r="U1153" s="1" t="s">
        <v>1004</v>
      </c>
    </row>
    <row r="1154" spans="1:21" x14ac:dyDescent="0.3">
      <c r="A1154" s="1" t="s">
        <v>2168</v>
      </c>
      <c r="B1154" s="1" t="s">
        <v>72</v>
      </c>
      <c r="C1154" s="1" t="s">
        <v>73</v>
      </c>
      <c r="D1154" s="1" t="s">
        <v>47</v>
      </c>
      <c r="E1154" s="1" t="s">
        <v>3301</v>
      </c>
      <c r="F1154" s="1" t="s">
        <v>1006</v>
      </c>
      <c r="G1154" s="1" t="s">
        <v>1023</v>
      </c>
      <c r="H1154" s="1">
        <v>8</v>
      </c>
      <c r="I1154" s="1">
        <v>1</v>
      </c>
      <c r="J1154" s="1" t="s">
        <v>2626</v>
      </c>
      <c r="K1154" s="2">
        <v>490.88</v>
      </c>
      <c r="L1154" s="1">
        <v>21</v>
      </c>
      <c r="M1154" s="2">
        <v>3927.04</v>
      </c>
      <c r="N1154" s="2">
        <v>824.68</v>
      </c>
      <c r="O1154" s="2">
        <v>3102.36</v>
      </c>
      <c r="P1154" s="1">
        <v>239</v>
      </c>
      <c r="Q1154" s="2">
        <v>343.62</v>
      </c>
      <c r="R1154" s="2">
        <v>353.4</v>
      </c>
      <c r="S1154" s="1" t="s">
        <v>1016</v>
      </c>
      <c r="T1154" s="1" t="s">
        <v>1007</v>
      </c>
      <c r="U1154" s="1" t="s">
        <v>1004</v>
      </c>
    </row>
    <row r="1155" spans="1:21" x14ac:dyDescent="0.3">
      <c r="A1155" s="1" t="s">
        <v>2169</v>
      </c>
      <c r="B1155" s="1" t="s">
        <v>26</v>
      </c>
      <c r="C1155" s="1" t="s">
        <v>27</v>
      </c>
      <c r="D1155" s="1" t="s">
        <v>28</v>
      </c>
      <c r="E1155" s="1" t="s">
        <v>3302</v>
      </c>
      <c r="F1155" s="1" t="s">
        <v>1027</v>
      </c>
      <c r="G1155" s="1" t="s">
        <v>1002</v>
      </c>
      <c r="H1155" s="1">
        <v>15</v>
      </c>
      <c r="I1155" s="1">
        <v>1</v>
      </c>
      <c r="J1155" s="1" t="s">
        <v>2607</v>
      </c>
      <c r="K1155" s="2">
        <v>73.88</v>
      </c>
      <c r="L1155" s="1">
        <v>1</v>
      </c>
      <c r="M1155" s="2">
        <v>1108.2</v>
      </c>
      <c r="N1155" s="2">
        <v>11.08</v>
      </c>
      <c r="O1155" s="2">
        <v>1097.1199999999999</v>
      </c>
      <c r="P1155" s="1">
        <v>216</v>
      </c>
      <c r="Q1155" s="2">
        <v>51.72</v>
      </c>
      <c r="R1155" s="2">
        <v>321.32</v>
      </c>
      <c r="S1155" s="1" t="s">
        <v>1016</v>
      </c>
      <c r="T1155" s="1" t="s">
        <v>1004</v>
      </c>
      <c r="U1155" s="1" t="s">
        <v>1004</v>
      </c>
    </row>
    <row r="1156" spans="1:21" x14ac:dyDescent="0.3">
      <c r="A1156" s="1" t="s">
        <v>2170</v>
      </c>
      <c r="B1156" s="1" t="s">
        <v>189</v>
      </c>
      <c r="C1156" s="1" t="s">
        <v>190</v>
      </c>
      <c r="D1156" s="1" t="s">
        <v>59</v>
      </c>
      <c r="E1156" s="1" t="s">
        <v>3303</v>
      </c>
      <c r="F1156" s="1" t="s">
        <v>1013</v>
      </c>
      <c r="G1156" s="1" t="s">
        <v>1002</v>
      </c>
      <c r="H1156" s="1">
        <v>3</v>
      </c>
      <c r="I1156" s="1">
        <v>3</v>
      </c>
      <c r="J1156" s="1" t="s">
        <v>2649</v>
      </c>
      <c r="K1156" s="2">
        <v>440.35</v>
      </c>
      <c r="L1156" s="1">
        <v>0</v>
      </c>
      <c r="M1156" s="2">
        <v>1321.05</v>
      </c>
      <c r="N1156" s="2">
        <v>0</v>
      </c>
      <c r="O1156" s="2">
        <v>1321.05</v>
      </c>
      <c r="P1156" s="1">
        <v>241</v>
      </c>
      <c r="Q1156" s="2">
        <v>308.25</v>
      </c>
      <c r="R1156" s="2">
        <v>396.3</v>
      </c>
      <c r="S1156" s="1" t="s">
        <v>1011</v>
      </c>
      <c r="T1156" s="1" t="s">
        <v>1004</v>
      </c>
      <c r="U1156" s="1" t="s">
        <v>1004</v>
      </c>
    </row>
    <row r="1157" spans="1:21" x14ac:dyDescent="0.3">
      <c r="A1157" s="1" t="s">
        <v>2171</v>
      </c>
      <c r="B1157" s="1" t="s">
        <v>37</v>
      </c>
      <c r="C1157" s="1" t="s">
        <v>38</v>
      </c>
      <c r="D1157" s="1" t="s">
        <v>39</v>
      </c>
      <c r="E1157" s="1" t="s">
        <v>3304</v>
      </c>
      <c r="F1157" s="1" t="s">
        <v>1009</v>
      </c>
      <c r="G1157" s="1" t="s">
        <v>1002</v>
      </c>
      <c r="H1157" s="1">
        <v>9</v>
      </c>
      <c r="I1157" s="1">
        <v>7</v>
      </c>
      <c r="J1157" s="1" t="s">
        <v>2565</v>
      </c>
      <c r="K1157" s="2">
        <v>146.27000000000001</v>
      </c>
      <c r="L1157" s="1">
        <v>12</v>
      </c>
      <c r="M1157" s="2">
        <v>1316.43</v>
      </c>
      <c r="N1157" s="2">
        <v>157.97</v>
      </c>
      <c r="O1157" s="2">
        <v>1158.46</v>
      </c>
      <c r="P1157" s="1">
        <v>134</v>
      </c>
      <c r="Q1157" s="2">
        <v>102.39</v>
      </c>
      <c r="R1157" s="2">
        <v>236.95</v>
      </c>
      <c r="S1157" s="1" t="s">
        <v>1003</v>
      </c>
      <c r="T1157" s="1" t="s">
        <v>1007</v>
      </c>
      <c r="U1157" s="1" t="s">
        <v>1004</v>
      </c>
    </row>
    <row r="1158" spans="1:21" x14ac:dyDescent="0.3">
      <c r="A1158" s="1" t="s">
        <v>2172</v>
      </c>
      <c r="B1158" s="1" t="s">
        <v>26</v>
      </c>
      <c r="C1158" s="1" t="s">
        <v>27</v>
      </c>
      <c r="D1158" s="1" t="s">
        <v>28</v>
      </c>
      <c r="E1158" s="1" t="s">
        <v>3305</v>
      </c>
      <c r="F1158" s="1" t="s">
        <v>1001</v>
      </c>
      <c r="G1158" s="1" t="s">
        <v>1023</v>
      </c>
      <c r="H1158" s="1">
        <v>5</v>
      </c>
      <c r="I1158" s="1">
        <v>7</v>
      </c>
      <c r="J1158" s="1" t="s">
        <v>3306</v>
      </c>
      <c r="K1158" s="2">
        <v>448.77</v>
      </c>
      <c r="L1158" s="1">
        <v>20</v>
      </c>
      <c r="M1158" s="2">
        <v>2243.85</v>
      </c>
      <c r="N1158" s="2">
        <v>448.77</v>
      </c>
      <c r="O1158" s="2">
        <v>1795.08</v>
      </c>
      <c r="P1158" s="1">
        <v>293</v>
      </c>
      <c r="Q1158" s="2">
        <v>314.14</v>
      </c>
      <c r="R1158" s="2">
        <v>224.38</v>
      </c>
      <c r="S1158" s="1" t="s">
        <v>1016</v>
      </c>
      <c r="T1158" s="1" t="s">
        <v>1004</v>
      </c>
      <c r="U1158" s="1" t="s">
        <v>1007</v>
      </c>
    </row>
    <row r="1159" spans="1:21" x14ac:dyDescent="0.3">
      <c r="A1159" s="1" t="s">
        <v>2173</v>
      </c>
      <c r="B1159" s="1" t="s">
        <v>189</v>
      </c>
      <c r="C1159" s="1" t="s">
        <v>190</v>
      </c>
      <c r="D1159" s="1" t="s">
        <v>59</v>
      </c>
      <c r="E1159" s="1" t="s">
        <v>3307</v>
      </c>
      <c r="F1159" s="1" t="s">
        <v>1027</v>
      </c>
      <c r="G1159" s="1" t="s">
        <v>1010</v>
      </c>
      <c r="H1159" s="1">
        <v>5</v>
      </c>
      <c r="I1159" s="1">
        <v>6</v>
      </c>
      <c r="J1159" s="1" t="s">
        <v>2555</v>
      </c>
      <c r="K1159" s="2">
        <v>141.59</v>
      </c>
      <c r="L1159" s="1">
        <v>18</v>
      </c>
      <c r="M1159" s="2">
        <v>707.95</v>
      </c>
      <c r="N1159" s="2">
        <v>127.43</v>
      </c>
      <c r="O1159" s="2">
        <v>580.52</v>
      </c>
      <c r="P1159" s="1">
        <v>282</v>
      </c>
      <c r="Q1159" s="2">
        <v>99.11</v>
      </c>
      <c r="R1159" s="2">
        <v>84.97</v>
      </c>
      <c r="S1159" s="1" t="s">
        <v>1016</v>
      </c>
      <c r="T1159" s="1" t="s">
        <v>1007</v>
      </c>
      <c r="U1159" s="1" t="s">
        <v>1004</v>
      </c>
    </row>
    <row r="1160" spans="1:21" x14ac:dyDescent="0.3">
      <c r="A1160" s="1" t="s">
        <v>2174</v>
      </c>
      <c r="B1160" s="1" t="s">
        <v>95</v>
      </c>
      <c r="C1160" s="1" t="s">
        <v>96</v>
      </c>
      <c r="D1160" s="1" t="s">
        <v>97</v>
      </c>
      <c r="E1160" s="1" t="s">
        <v>3308</v>
      </c>
      <c r="F1160" s="1" t="s">
        <v>1013</v>
      </c>
      <c r="G1160" s="1" t="s">
        <v>1010</v>
      </c>
      <c r="H1160" s="1">
        <v>3</v>
      </c>
      <c r="I1160" s="1">
        <v>4</v>
      </c>
      <c r="J1160" s="1" t="s">
        <v>2571</v>
      </c>
      <c r="K1160" s="2">
        <v>180.67</v>
      </c>
      <c r="L1160" s="1">
        <v>2</v>
      </c>
      <c r="M1160" s="2">
        <v>542.01</v>
      </c>
      <c r="N1160" s="2">
        <v>10.84</v>
      </c>
      <c r="O1160" s="2">
        <v>531.16999999999996</v>
      </c>
      <c r="P1160" s="1">
        <v>192</v>
      </c>
      <c r="Q1160" s="2">
        <v>126.47</v>
      </c>
      <c r="R1160" s="2">
        <v>151.76</v>
      </c>
      <c r="S1160" s="1" t="s">
        <v>1003</v>
      </c>
      <c r="T1160" s="1" t="s">
        <v>1004</v>
      </c>
      <c r="U1160" s="1" t="s">
        <v>1007</v>
      </c>
    </row>
    <row r="1161" spans="1:21" x14ac:dyDescent="0.3">
      <c r="A1161" s="1" t="s">
        <v>2175</v>
      </c>
      <c r="B1161" s="1" t="s">
        <v>77</v>
      </c>
      <c r="C1161" s="1" t="s">
        <v>78</v>
      </c>
      <c r="D1161" s="1" t="s">
        <v>47</v>
      </c>
      <c r="E1161" s="1" t="s">
        <v>3309</v>
      </c>
      <c r="F1161" s="1" t="s">
        <v>1027</v>
      </c>
      <c r="G1161" s="1" t="s">
        <v>1002</v>
      </c>
      <c r="H1161" s="1">
        <v>5</v>
      </c>
      <c r="I1161" s="1">
        <v>6</v>
      </c>
      <c r="J1161" s="1" t="s">
        <v>2846</v>
      </c>
      <c r="K1161" s="2">
        <v>428.39</v>
      </c>
      <c r="L1161" s="1">
        <v>10</v>
      </c>
      <c r="M1161" s="2">
        <v>2141.9499999999998</v>
      </c>
      <c r="N1161" s="2">
        <v>214.19</v>
      </c>
      <c r="O1161" s="2">
        <v>1927.76</v>
      </c>
      <c r="P1161" s="1">
        <v>97</v>
      </c>
      <c r="Q1161" s="2">
        <v>299.87</v>
      </c>
      <c r="R1161" s="2">
        <v>428.41</v>
      </c>
      <c r="S1161" s="1" t="s">
        <v>1003</v>
      </c>
      <c r="T1161" s="1" t="s">
        <v>1004</v>
      </c>
      <c r="U1161" s="1" t="s">
        <v>1007</v>
      </c>
    </row>
    <row r="1162" spans="1:21" x14ac:dyDescent="0.3">
      <c r="A1162" s="1" t="s">
        <v>2176</v>
      </c>
      <c r="B1162" s="1" t="s">
        <v>63</v>
      </c>
      <c r="C1162" s="1" t="s">
        <v>64</v>
      </c>
      <c r="D1162" s="1" t="s">
        <v>28</v>
      </c>
      <c r="E1162" s="1" t="s">
        <v>3310</v>
      </c>
      <c r="F1162" s="1" t="s">
        <v>1001</v>
      </c>
      <c r="G1162" s="1" t="s">
        <v>1023</v>
      </c>
      <c r="H1162" s="1">
        <v>7</v>
      </c>
      <c r="I1162" s="1">
        <v>6</v>
      </c>
      <c r="J1162" s="1" t="s">
        <v>2806</v>
      </c>
      <c r="K1162" s="2">
        <v>439.59</v>
      </c>
      <c r="L1162" s="1">
        <v>21</v>
      </c>
      <c r="M1162" s="2">
        <v>3077.13</v>
      </c>
      <c r="N1162" s="2">
        <v>646.20000000000005</v>
      </c>
      <c r="O1162" s="2">
        <v>2430.9299999999998</v>
      </c>
      <c r="P1162" s="1">
        <v>144</v>
      </c>
      <c r="Q1162" s="2">
        <v>307.70999999999998</v>
      </c>
      <c r="R1162" s="2">
        <v>276.95999999999998</v>
      </c>
      <c r="S1162" s="1" t="s">
        <v>1011</v>
      </c>
      <c r="T1162" s="1" t="s">
        <v>1004</v>
      </c>
      <c r="U1162" s="1" t="s">
        <v>1007</v>
      </c>
    </row>
    <row r="1163" spans="1:21" x14ac:dyDescent="0.3">
      <c r="A1163" s="1" t="s">
        <v>2177</v>
      </c>
      <c r="B1163" s="1" t="s">
        <v>107</v>
      </c>
      <c r="C1163" s="1" t="s">
        <v>108</v>
      </c>
      <c r="D1163" s="1" t="s">
        <v>39</v>
      </c>
      <c r="E1163" s="1" t="s">
        <v>3311</v>
      </c>
      <c r="F1163" s="1" t="s">
        <v>1013</v>
      </c>
      <c r="G1163" s="1" t="s">
        <v>1023</v>
      </c>
      <c r="H1163" s="1">
        <v>12</v>
      </c>
      <c r="I1163" s="1">
        <v>5</v>
      </c>
      <c r="J1163" s="1" t="s">
        <v>3273</v>
      </c>
      <c r="K1163" s="2">
        <v>488.22</v>
      </c>
      <c r="L1163" s="1">
        <v>21</v>
      </c>
      <c r="M1163" s="2">
        <v>5858.64</v>
      </c>
      <c r="N1163" s="2">
        <v>1230.31</v>
      </c>
      <c r="O1163" s="2">
        <v>4628.33</v>
      </c>
      <c r="P1163" s="1">
        <v>76</v>
      </c>
      <c r="Q1163" s="2">
        <v>341.75</v>
      </c>
      <c r="R1163" s="2">
        <v>527.33000000000004</v>
      </c>
      <c r="S1163" s="1" t="s">
        <v>1003</v>
      </c>
      <c r="T1163" s="1" t="s">
        <v>1004</v>
      </c>
      <c r="U1163" s="1" t="s">
        <v>1007</v>
      </c>
    </row>
    <row r="1164" spans="1:21" x14ac:dyDescent="0.3">
      <c r="A1164" s="1" t="s">
        <v>2178</v>
      </c>
      <c r="B1164" s="1" t="s">
        <v>45</v>
      </c>
      <c r="C1164" s="1" t="s">
        <v>46</v>
      </c>
      <c r="D1164" s="1" t="s">
        <v>47</v>
      </c>
      <c r="E1164" s="1" t="s">
        <v>3312</v>
      </c>
      <c r="F1164" s="1" t="s">
        <v>1015</v>
      </c>
      <c r="G1164" s="1" t="s">
        <v>1023</v>
      </c>
      <c r="H1164" s="1">
        <v>6</v>
      </c>
      <c r="I1164" s="1">
        <v>5</v>
      </c>
      <c r="J1164" s="1" t="s">
        <v>2527</v>
      </c>
      <c r="K1164" s="2">
        <v>477.69</v>
      </c>
      <c r="L1164" s="1">
        <v>3</v>
      </c>
      <c r="M1164" s="2">
        <v>2866.14</v>
      </c>
      <c r="N1164" s="2">
        <v>85.98</v>
      </c>
      <c r="O1164" s="2">
        <v>2780.16</v>
      </c>
      <c r="P1164" s="1">
        <v>253</v>
      </c>
      <c r="Q1164" s="2">
        <v>334.38</v>
      </c>
      <c r="R1164" s="2">
        <v>773.88</v>
      </c>
      <c r="S1164" s="1" t="s">
        <v>1011</v>
      </c>
      <c r="T1164" s="1" t="s">
        <v>1004</v>
      </c>
      <c r="U1164" s="1" t="s">
        <v>1007</v>
      </c>
    </row>
    <row r="1165" spans="1:21" x14ac:dyDescent="0.3">
      <c r="A1165" s="1" t="s">
        <v>2179</v>
      </c>
      <c r="B1165" s="1" t="s">
        <v>63</v>
      </c>
      <c r="C1165" s="1" t="s">
        <v>64</v>
      </c>
      <c r="D1165" s="1" t="s">
        <v>28</v>
      </c>
      <c r="E1165" s="1" t="s">
        <v>3313</v>
      </c>
      <c r="F1165" s="1" t="s">
        <v>1020</v>
      </c>
      <c r="G1165" s="1" t="s">
        <v>1023</v>
      </c>
      <c r="H1165" s="1">
        <v>13</v>
      </c>
      <c r="I1165" s="1">
        <v>1</v>
      </c>
      <c r="J1165" s="1" t="s">
        <v>2641</v>
      </c>
      <c r="K1165" s="2">
        <v>472.98</v>
      </c>
      <c r="L1165" s="1">
        <v>15</v>
      </c>
      <c r="M1165" s="2">
        <v>6148.74</v>
      </c>
      <c r="N1165" s="2">
        <v>922.31</v>
      </c>
      <c r="O1165" s="2">
        <v>5226.43</v>
      </c>
      <c r="P1165" s="1">
        <v>189</v>
      </c>
      <c r="Q1165" s="2">
        <v>331.09</v>
      </c>
      <c r="R1165" s="2">
        <v>922.26</v>
      </c>
      <c r="S1165" s="1" t="s">
        <v>1003</v>
      </c>
      <c r="T1165" s="1" t="s">
        <v>1004</v>
      </c>
      <c r="U1165" s="1" t="s">
        <v>1007</v>
      </c>
    </row>
    <row r="1166" spans="1:21" x14ac:dyDescent="0.3">
      <c r="A1166" s="1" t="s">
        <v>2180</v>
      </c>
      <c r="B1166" s="1" t="s">
        <v>37</v>
      </c>
      <c r="C1166" s="1" t="s">
        <v>38</v>
      </c>
      <c r="D1166" s="1" t="s">
        <v>39</v>
      </c>
      <c r="E1166" s="1" t="s">
        <v>3314</v>
      </c>
      <c r="F1166" s="1" t="s">
        <v>1020</v>
      </c>
      <c r="G1166" s="1" t="s">
        <v>1002</v>
      </c>
      <c r="H1166" s="1">
        <v>5</v>
      </c>
      <c r="I1166" s="1">
        <v>2</v>
      </c>
      <c r="J1166" s="1" t="s">
        <v>3315</v>
      </c>
      <c r="K1166" s="2">
        <v>320.43</v>
      </c>
      <c r="L1166" s="1">
        <v>13</v>
      </c>
      <c r="M1166" s="2">
        <v>1602.15</v>
      </c>
      <c r="N1166" s="2">
        <v>208.28</v>
      </c>
      <c r="O1166" s="2">
        <v>1393.87</v>
      </c>
      <c r="P1166" s="1">
        <v>241</v>
      </c>
      <c r="Q1166" s="2">
        <v>224.3</v>
      </c>
      <c r="R1166" s="2">
        <v>272.37</v>
      </c>
      <c r="S1166" s="1" t="s">
        <v>1016</v>
      </c>
      <c r="T1166" s="1" t="s">
        <v>1007</v>
      </c>
      <c r="U1166" s="1" t="s">
        <v>1007</v>
      </c>
    </row>
    <row r="1167" spans="1:21" x14ac:dyDescent="0.3">
      <c r="A1167" s="1" t="s">
        <v>2181</v>
      </c>
      <c r="B1167" s="1" t="s">
        <v>102</v>
      </c>
      <c r="C1167" s="1" t="s">
        <v>103</v>
      </c>
      <c r="D1167" s="1" t="s">
        <v>104</v>
      </c>
      <c r="E1167" s="1" t="s">
        <v>3316</v>
      </c>
      <c r="F1167" s="1" t="s">
        <v>1001</v>
      </c>
      <c r="G1167" s="1" t="s">
        <v>1023</v>
      </c>
      <c r="H1167" s="1">
        <v>1</v>
      </c>
      <c r="I1167" s="1">
        <v>4</v>
      </c>
      <c r="J1167" s="1" t="s">
        <v>2802</v>
      </c>
      <c r="K1167" s="2">
        <v>274.57</v>
      </c>
      <c r="L1167" s="1">
        <v>14</v>
      </c>
      <c r="M1167" s="2">
        <v>274.57</v>
      </c>
      <c r="N1167" s="2">
        <v>38.44</v>
      </c>
      <c r="O1167" s="2">
        <v>236.13</v>
      </c>
      <c r="P1167" s="1">
        <v>131</v>
      </c>
      <c r="Q1167" s="2">
        <v>192.2</v>
      </c>
      <c r="R1167" s="2">
        <v>43.93</v>
      </c>
      <c r="S1167" s="1" t="s">
        <v>1016</v>
      </c>
      <c r="T1167" s="1" t="s">
        <v>1007</v>
      </c>
      <c r="U1167" s="1" t="s">
        <v>1007</v>
      </c>
    </row>
    <row r="1168" spans="1:21" x14ac:dyDescent="0.3">
      <c r="A1168" s="1" t="s">
        <v>2182</v>
      </c>
      <c r="B1168" s="1" t="s">
        <v>37</v>
      </c>
      <c r="C1168" s="1" t="s">
        <v>38</v>
      </c>
      <c r="D1168" s="1" t="s">
        <v>39</v>
      </c>
      <c r="E1168" s="1" t="s">
        <v>3317</v>
      </c>
      <c r="F1168" s="1" t="s">
        <v>1020</v>
      </c>
      <c r="G1168" s="1" t="s">
        <v>1010</v>
      </c>
      <c r="H1168" s="1">
        <v>11</v>
      </c>
      <c r="I1168" s="1">
        <v>6</v>
      </c>
      <c r="J1168" s="1" t="s">
        <v>2765</v>
      </c>
      <c r="K1168" s="2">
        <v>373.1</v>
      </c>
      <c r="L1168" s="1">
        <v>25</v>
      </c>
      <c r="M1168" s="2">
        <v>4104.1000000000004</v>
      </c>
      <c r="N1168" s="2">
        <v>1026.03</v>
      </c>
      <c r="O1168" s="2">
        <v>3078.07</v>
      </c>
      <c r="P1168" s="1">
        <v>166</v>
      </c>
      <c r="Q1168" s="2">
        <v>261.17</v>
      </c>
      <c r="R1168" s="2">
        <v>205.2</v>
      </c>
      <c r="S1168" s="1" t="s">
        <v>1003</v>
      </c>
      <c r="T1168" s="1" t="s">
        <v>1007</v>
      </c>
      <c r="U1168" s="1" t="s">
        <v>1004</v>
      </c>
    </row>
    <row r="1169" spans="1:21" x14ac:dyDescent="0.3">
      <c r="A1169" s="1" t="s">
        <v>2183</v>
      </c>
      <c r="B1169" s="1" t="s">
        <v>102</v>
      </c>
      <c r="C1169" s="1" t="s">
        <v>103</v>
      </c>
      <c r="D1169" s="1" t="s">
        <v>104</v>
      </c>
      <c r="E1169" s="1" t="s">
        <v>3318</v>
      </c>
      <c r="F1169" s="1" t="s">
        <v>1001</v>
      </c>
      <c r="G1169" s="1" t="s">
        <v>1010</v>
      </c>
      <c r="H1169" s="1">
        <v>2</v>
      </c>
      <c r="I1169" s="1">
        <v>4</v>
      </c>
      <c r="J1169" s="1" t="s">
        <v>2791</v>
      </c>
      <c r="K1169" s="2">
        <v>141.25</v>
      </c>
      <c r="L1169" s="1">
        <v>20</v>
      </c>
      <c r="M1169" s="2">
        <v>282.5</v>
      </c>
      <c r="N1169" s="2">
        <v>56.5</v>
      </c>
      <c r="O1169" s="2">
        <v>226</v>
      </c>
      <c r="P1169" s="1">
        <v>55</v>
      </c>
      <c r="Q1169" s="2">
        <v>98.88</v>
      </c>
      <c r="R1169" s="2">
        <v>28.24</v>
      </c>
      <c r="S1169" s="1" t="s">
        <v>1003</v>
      </c>
      <c r="T1169" s="1" t="s">
        <v>1007</v>
      </c>
      <c r="U1169" s="1" t="s">
        <v>1004</v>
      </c>
    </row>
    <row r="1170" spans="1:21" x14ac:dyDescent="0.3">
      <c r="A1170" s="1" t="s">
        <v>2184</v>
      </c>
      <c r="B1170" s="1" t="s">
        <v>45</v>
      </c>
      <c r="C1170" s="1" t="s">
        <v>46</v>
      </c>
      <c r="D1170" s="1" t="s">
        <v>47</v>
      </c>
      <c r="E1170" s="1" t="s">
        <v>3319</v>
      </c>
      <c r="F1170" s="1" t="s">
        <v>1009</v>
      </c>
      <c r="G1170" s="1" t="s">
        <v>1010</v>
      </c>
      <c r="H1170" s="1">
        <v>14</v>
      </c>
      <c r="I1170" s="1">
        <v>6</v>
      </c>
      <c r="J1170" s="1" t="s">
        <v>2743</v>
      </c>
      <c r="K1170" s="2">
        <v>332.74</v>
      </c>
      <c r="L1170" s="1">
        <v>12</v>
      </c>
      <c r="M1170" s="2">
        <v>4658.3599999999997</v>
      </c>
      <c r="N1170" s="2">
        <v>559</v>
      </c>
      <c r="O1170" s="2">
        <v>4099.3599999999997</v>
      </c>
      <c r="P1170" s="1">
        <v>207</v>
      </c>
      <c r="Q1170" s="2">
        <v>232.92</v>
      </c>
      <c r="R1170" s="2">
        <v>838.48</v>
      </c>
      <c r="S1170" s="1" t="s">
        <v>1003</v>
      </c>
      <c r="T1170" s="1" t="s">
        <v>1004</v>
      </c>
      <c r="U1170" s="1" t="s">
        <v>1007</v>
      </c>
    </row>
    <row r="1171" spans="1:21" x14ac:dyDescent="0.3">
      <c r="A1171" s="1" t="s">
        <v>2185</v>
      </c>
      <c r="B1171" s="1" t="s">
        <v>111</v>
      </c>
      <c r="C1171" s="1" t="s">
        <v>112</v>
      </c>
      <c r="D1171" s="1" t="s">
        <v>97</v>
      </c>
      <c r="E1171" s="1" t="s">
        <v>3320</v>
      </c>
      <c r="F1171" s="1" t="s">
        <v>1015</v>
      </c>
      <c r="G1171" s="1" t="s">
        <v>1002</v>
      </c>
      <c r="H1171" s="1">
        <v>13</v>
      </c>
      <c r="I1171" s="1">
        <v>3</v>
      </c>
      <c r="J1171" s="1" t="s">
        <v>2721</v>
      </c>
      <c r="K1171" s="2">
        <v>161.87</v>
      </c>
      <c r="L1171" s="1">
        <v>5</v>
      </c>
      <c r="M1171" s="2">
        <v>2104.31</v>
      </c>
      <c r="N1171" s="2">
        <v>105.22</v>
      </c>
      <c r="O1171" s="2">
        <v>1999.09</v>
      </c>
      <c r="P1171" s="1">
        <v>142</v>
      </c>
      <c r="Q1171" s="2">
        <v>113.31</v>
      </c>
      <c r="R1171" s="2">
        <v>526.05999999999995</v>
      </c>
      <c r="S1171" s="1" t="s">
        <v>1016</v>
      </c>
      <c r="T1171" s="1" t="s">
        <v>1004</v>
      </c>
      <c r="U1171" s="1" t="s">
        <v>1004</v>
      </c>
    </row>
    <row r="1172" spans="1:21" x14ac:dyDescent="0.3">
      <c r="A1172" s="1" t="s">
        <v>2186</v>
      </c>
      <c r="B1172" s="1" t="s">
        <v>72</v>
      </c>
      <c r="C1172" s="1" t="s">
        <v>73</v>
      </c>
      <c r="D1172" s="1" t="s">
        <v>47</v>
      </c>
      <c r="E1172" s="1" t="s">
        <v>3321</v>
      </c>
      <c r="F1172" s="1" t="s">
        <v>1006</v>
      </c>
      <c r="G1172" s="1" t="s">
        <v>1023</v>
      </c>
      <c r="H1172" s="1">
        <v>7</v>
      </c>
      <c r="I1172" s="1">
        <v>4</v>
      </c>
      <c r="J1172" s="1" t="s">
        <v>2590</v>
      </c>
      <c r="K1172" s="2">
        <v>432.18</v>
      </c>
      <c r="L1172" s="1">
        <v>25</v>
      </c>
      <c r="M1172" s="2">
        <v>3025.26</v>
      </c>
      <c r="N1172" s="2">
        <v>756.32</v>
      </c>
      <c r="O1172" s="2">
        <v>2268.94</v>
      </c>
      <c r="P1172" s="1">
        <v>205</v>
      </c>
      <c r="Q1172" s="2">
        <v>302.52999999999997</v>
      </c>
      <c r="R1172" s="2">
        <v>151.22999999999999</v>
      </c>
      <c r="S1172" s="1" t="s">
        <v>1003</v>
      </c>
      <c r="T1172" s="1" t="s">
        <v>1004</v>
      </c>
      <c r="U1172" s="1" t="s">
        <v>1007</v>
      </c>
    </row>
    <row r="1173" spans="1:21" x14ac:dyDescent="0.3">
      <c r="A1173" s="1" t="s">
        <v>2187</v>
      </c>
      <c r="B1173" s="1" t="s">
        <v>95</v>
      </c>
      <c r="C1173" s="1" t="s">
        <v>96</v>
      </c>
      <c r="D1173" s="1" t="s">
        <v>97</v>
      </c>
      <c r="E1173" s="1" t="s">
        <v>3322</v>
      </c>
      <c r="F1173" s="1" t="s">
        <v>1009</v>
      </c>
      <c r="G1173" s="1" t="s">
        <v>1010</v>
      </c>
      <c r="H1173" s="1">
        <v>2</v>
      </c>
      <c r="I1173" s="1">
        <v>4</v>
      </c>
      <c r="J1173" s="1" t="s">
        <v>2729</v>
      </c>
      <c r="K1173" s="2">
        <v>456.96</v>
      </c>
      <c r="L1173" s="1">
        <v>21</v>
      </c>
      <c r="M1173" s="2">
        <v>913.92</v>
      </c>
      <c r="N1173" s="2">
        <v>191.92</v>
      </c>
      <c r="O1173" s="2">
        <v>722</v>
      </c>
      <c r="P1173" s="1">
        <v>63</v>
      </c>
      <c r="Q1173" s="2">
        <v>319.87</v>
      </c>
      <c r="R1173" s="2">
        <v>82.26</v>
      </c>
      <c r="S1173" s="1" t="s">
        <v>1003</v>
      </c>
      <c r="T1173" s="1" t="s">
        <v>1007</v>
      </c>
      <c r="U1173" s="1" t="s">
        <v>1004</v>
      </c>
    </row>
    <row r="1174" spans="1:21" x14ac:dyDescent="0.3">
      <c r="A1174" s="1" t="s">
        <v>2188</v>
      </c>
      <c r="B1174" s="1" t="s">
        <v>189</v>
      </c>
      <c r="C1174" s="1" t="s">
        <v>190</v>
      </c>
      <c r="D1174" s="1" t="s">
        <v>59</v>
      </c>
      <c r="E1174" s="1" t="s">
        <v>3323</v>
      </c>
      <c r="F1174" s="1" t="s">
        <v>1020</v>
      </c>
      <c r="G1174" s="1" t="s">
        <v>1002</v>
      </c>
      <c r="H1174" s="1">
        <v>1</v>
      </c>
      <c r="I1174" s="1">
        <v>5</v>
      </c>
      <c r="J1174" s="1" t="s">
        <v>2870</v>
      </c>
      <c r="K1174" s="2">
        <v>388.5</v>
      </c>
      <c r="L1174" s="1">
        <v>23</v>
      </c>
      <c r="M1174" s="2">
        <v>388.5</v>
      </c>
      <c r="N1174" s="2">
        <v>89.36</v>
      </c>
      <c r="O1174" s="2">
        <v>299.14</v>
      </c>
      <c r="P1174" s="1">
        <v>79</v>
      </c>
      <c r="Q1174" s="2">
        <v>271.95</v>
      </c>
      <c r="R1174" s="2">
        <v>27.19</v>
      </c>
      <c r="S1174" s="1" t="s">
        <v>1011</v>
      </c>
      <c r="T1174" s="1" t="s">
        <v>1007</v>
      </c>
      <c r="U1174" s="1" t="s">
        <v>1007</v>
      </c>
    </row>
    <row r="1175" spans="1:21" x14ac:dyDescent="0.3">
      <c r="A1175" s="1" t="s">
        <v>2189</v>
      </c>
      <c r="B1175" s="1" t="s">
        <v>237</v>
      </c>
      <c r="C1175" s="1" t="s">
        <v>238</v>
      </c>
      <c r="D1175" s="1" t="s">
        <v>85</v>
      </c>
      <c r="E1175" s="1" t="s">
        <v>3324</v>
      </c>
      <c r="F1175" s="1" t="s">
        <v>1001</v>
      </c>
      <c r="G1175" s="1" t="s">
        <v>1023</v>
      </c>
      <c r="H1175" s="1">
        <v>10</v>
      </c>
      <c r="I1175" s="1">
        <v>2</v>
      </c>
      <c r="J1175" s="1" t="s">
        <v>3043</v>
      </c>
      <c r="K1175" s="2">
        <v>481.38</v>
      </c>
      <c r="L1175" s="1">
        <v>16</v>
      </c>
      <c r="M1175" s="2">
        <v>4813.8</v>
      </c>
      <c r="N1175" s="2">
        <v>770.21</v>
      </c>
      <c r="O1175" s="2">
        <v>4043.59</v>
      </c>
      <c r="P1175" s="1">
        <v>139</v>
      </c>
      <c r="Q1175" s="2">
        <v>336.97</v>
      </c>
      <c r="R1175" s="2">
        <v>673.89</v>
      </c>
      <c r="S1175" s="1" t="s">
        <v>1011</v>
      </c>
      <c r="T1175" s="1" t="s">
        <v>1004</v>
      </c>
      <c r="U1175" s="1" t="s">
        <v>1004</v>
      </c>
    </row>
    <row r="1176" spans="1:21" x14ac:dyDescent="0.3">
      <c r="A1176" s="1" t="s">
        <v>2190</v>
      </c>
      <c r="B1176" s="1" t="s">
        <v>37</v>
      </c>
      <c r="C1176" s="1" t="s">
        <v>38</v>
      </c>
      <c r="D1176" s="1" t="s">
        <v>39</v>
      </c>
      <c r="E1176" s="1" t="s">
        <v>3325</v>
      </c>
      <c r="F1176" s="1" t="s">
        <v>1013</v>
      </c>
      <c r="G1176" s="1" t="s">
        <v>1023</v>
      </c>
      <c r="H1176" s="1">
        <v>9</v>
      </c>
      <c r="I1176" s="1">
        <v>1</v>
      </c>
      <c r="J1176" s="1" t="s">
        <v>2635</v>
      </c>
      <c r="K1176" s="2">
        <v>62.63</v>
      </c>
      <c r="L1176" s="1">
        <v>5</v>
      </c>
      <c r="M1176" s="2">
        <v>563.66999999999996</v>
      </c>
      <c r="N1176" s="2">
        <v>28.18</v>
      </c>
      <c r="O1176" s="2">
        <v>535.49</v>
      </c>
      <c r="P1176" s="1">
        <v>115</v>
      </c>
      <c r="Q1176" s="2">
        <v>43.84</v>
      </c>
      <c r="R1176" s="2">
        <v>140.93</v>
      </c>
      <c r="S1176" s="1" t="s">
        <v>1016</v>
      </c>
      <c r="T1176" s="1" t="s">
        <v>1004</v>
      </c>
      <c r="U1176" s="1" t="s">
        <v>1004</v>
      </c>
    </row>
    <row r="1177" spans="1:21" x14ac:dyDescent="0.3">
      <c r="A1177" s="1" t="s">
        <v>2191</v>
      </c>
      <c r="B1177" s="1" t="s">
        <v>37</v>
      </c>
      <c r="C1177" s="1" t="s">
        <v>38</v>
      </c>
      <c r="D1177" s="1" t="s">
        <v>39</v>
      </c>
      <c r="E1177" s="1" t="s">
        <v>3326</v>
      </c>
      <c r="F1177" s="1" t="s">
        <v>1001</v>
      </c>
      <c r="G1177" s="1" t="s">
        <v>1002</v>
      </c>
      <c r="H1177" s="1">
        <v>14</v>
      </c>
      <c r="I1177" s="1">
        <v>5</v>
      </c>
      <c r="J1177" s="1" t="s">
        <v>2815</v>
      </c>
      <c r="K1177" s="2">
        <v>274.89</v>
      </c>
      <c r="L1177" s="1">
        <v>16</v>
      </c>
      <c r="M1177" s="2">
        <v>3848.46</v>
      </c>
      <c r="N1177" s="2">
        <v>615.75</v>
      </c>
      <c r="O1177" s="2">
        <v>3232.71</v>
      </c>
      <c r="P1177" s="1">
        <v>246</v>
      </c>
      <c r="Q1177" s="2">
        <v>192.42</v>
      </c>
      <c r="R1177" s="2">
        <v>538.83000000000004</v>
      </c>
      <c r="S1177" s="1" t="s">
        <v>1016</v>
      </c>
      <c r="T1177" s="1" t="s">
        <v>1007</v>
      </c>
      <c r="U1177" s="1" t="s">
        <v>1007</v>
      </c>
    </row>
    <row r="1178" spans="1:21" x14ac:dyDescent="0.3">
      <c r="A1178" s="1" t="s">
        <v>2192</v>
      </c>
      <c r="B1178" s="1" t="s">
        <v>107</v>
      </c>
      <c r="C1178" s="1" t="s">
        <v>108</v>
      </c>
      <c r="D1178" s="1" t="s">
        <v>39</v>
      </c>
      <c r="E1178" s="1" t="s">
        <v>3327</v>
      </c>
      <c r="F1178" s="1" t="s">
        <v>1001</v>
      </c>
      <c r="G1178" s="1" t="s">
        <v>1002</v>
      </c>
      <c r="H1178" s="1">
        <v>1</v>
      </c>
      <c r="I1178" s="1">
        <v>2</v>
      </c>
      <c r="J1178" s="1" t="s">
        <v>2636</v>
      </c>
      <c r="K1178" s="2">
        <v>226.67</v>
      </c>
      <c r="L1178" s="1">
        <v>23</v>
      </c>
      <c r="M1178" s="2">
        <v>226.67</v>
      </c>
      <c r="N1178" s="2">
        <v>52.13</v>
      </c>
      <c r="O1178" s="2">
        <v>174.54</v>
      </c>
      <c r="P1178" s="1">
        <v>211</v>
      </c>
      <c r="Q1178" s="2">
        <v>158.66999999999999</v>
      </c>
      <c r="R1178" s="2">
        <v>15.87</v>
      </c>
      <c r="S1178" s="1" t="s">
        <v>1011</v>
      </c>
      <c r="T1178" s="1" t="s">
        <v>1004</v>
      </c>
      <c r="U1178" s="1" t="s">
        <v>1004</v>
      </c>
    </row>
    <row r="1179" spans="1:21" x14ac:dyDescent="0.3">
      <c r="A1179" s="1" t="s">
        <v>2193</v>
      </c>
      <c r="B1179" s="1" t="s">
        <v>189</v>
      </c>
      <c r="C1179" s="1" t="s">
        <v>190</v>
      </c>
      <c r="D1179" s="1" t="s">
        <v>59</v>
      </c>
      <c r="E1179" s="1" t="s">
        <v>3328</v>
      </c>
      <c r="F1179" s="1" t="s">
        <v>1020</v>
      </c>
      <c r="G1179" s="1" t="s">
        <v>1010</v>
      </c>
      <c r="H1179" s="1">
        <v>5</v>
      </c>
      <c r="I1179" s="1">
        <v>2</v>
      </c>
      <c r="J1179" s="1" t="s">
        <v>2524</v>
      </c>
      <c r="K1179" s="2">
        <v>104.85</v>
      </c>
      <c r="L1179" s="1">
        <v>12</v>
      </c>
      <c r="M1179" s="2">
        <v>524.25</v>
      </c>
      <c r="N1179" s="2">
        <v>62.91</v>
      </c>
      <c r="O1179" s="2">
        <v>461.34</v>
      </c>
      <c r="P1179" s="1">
        <v>108</v>
      </c>
      <c r="Q1179" s="2">
        <v>73.39</v>
      </c>
      <c r="R1179" s="2">
        <v>94.39</v>
      </c>
      <c r="S1179" s="1" t="s">
        <v>1003</v>
      </c>
      <c r="T1179" s="1" t="s">
        <v>1007</v>
      </c>
      <c r="U1179" s="1" t="s">
        <v>1004</v>
      </c>
    </row>
    <row r="1180" spans="1:21" x14ac:dyDescent="0.3">
      <c r="A1180" s="1" t="s">
        <v>2194</v>
      </c>
      <c r="B1180" s="1" t="s">
        <v>37</v>
      </c>
      <c r="C1180" s="1" t="s">
        <v>38</v>
      </c>
      <c r="D1180" s="1" t="s">
        <v>39</v>
      </c>
      <c r="E1180" s="1" t="s">
        <v>3329</v>
      </c>
      <c r="F1180" s="1" t="s">
        <v>1015</v>
      </c>
      <c r="G1180" s="1" t="s">
        <v>1002</v>
      </c>
      <c r="H1180" s="1">
        <v>10</v>
      </c>
      <c r="I1180" s="1">
        <v>7</v>
      </c>
      <c r="J1180" s="1" t="s">
        <v>2806</v>
      </c>
      <c r="K1180" s="2">
        <v>119.29</v>
      </c>
      <c r="L1180" s="1">
        <v>16</v>
      </c>
      <c r="M1180" s="2">
        <v>1192.9000000000001</v>
      </c>
      <c r="N1180" s="2">
        <v>190.86</v>
      </c>
      <c r="O1180" s="2">
        <v>1002.04</v>
      </c>
      <c r="P1180" s="1">
        <v>196</v>
      </c>
      <c r="Q1180" s="2">
        <v>83.5</v>
      </c>
      <c r="R1180" s="2">
        <v>167.04</v>
      </c>
      <c r="S1180" s="1" t="s">
        <v>1011</v>
      </c>
      <c r="T1180" s="1" t="s">
        <v>1007</v>
      </c>
      <c r="U1180" s="1" t="s">
        <v>1004</v>
      </c>
    </row>
    <row r="1181" spans="1:21" x14ac:dyDescent="0.3">
      <c r="A1181" s="1" t="s">
        <v>2195</v>
      </c>
      <c r="B1181" s="1" t="s">
        <v>95</v>
      </c>
      <c r="C1181" s="1" t="s">
        <v>96</v>
      </c>
      <c r="D1181" s="1" t="s">
        <v>97</v>
      </c>
      <c r="E1181" s="1" t="s">
        <v>3330</v>
      </c>
      <c r="F1181" s="1" t="s">
        <v>1013</v>
      </c>
      <c r="G1181" s="1" t="s">
        <v>1002</v>
      </c>
      <c r="H1181" s="1">
        <v>5</v>
      </c>
      <c r="I1181" s="1">
        <v>5</v>
      </c>
      <c r="J1181" s="1" t="s">
        <v>2801</v>
      </c>
      <c r="K1181" s="2">
        <v>147.81</v>
      </c>
      <c r="L1181" s="1">
        <v>25</v>
      </c>
      <c r="M1181" s="2">
        <v>739.05</v>
      </c>
      <c r="N1181" s="2">
        <v>184.76</v>
      </c>
      <c r="O1181" s="2">
        <v>554.29</v>
      </c>
      <c r="P1181" s="1">
        <v>263</v>
      </c>
      <c r="Q1181" s="2">
        <v>103.47</v>
      </c>
      <c r="R1181" s="2">
        <v>36.94</v>
      </c>
      <c r="S1181" s="1" t="s">
        <v>1011</v>
      </c>
      <c r="T1181" s="1" t="s">
        <v>1004</v>
      </c>
      <c r="U1181" s="1" t="s">
        <v>1004</v>
      </c>
    </row>
    <row r="1182" spans="1:21" x14ac:dyDescent="0.3">
      <c r="A1182" s="1" t="s">
        <v>2196</v>
      </c>
      <c r="B1182" s="1" t="s">
        <v>69</v>
      </c>
      <c r="C1182" s="1" t="s">
        <v>70</v>
      </c>
      <c r="D1182" s="1" t="s">
        <v>59</v>
      </c>
      <c r="E1182" s="1" t="s">
        <v>3331</v>
      </c>
      <c r="F1182" s="1" t="s">
        <v>1001</v>
      </c>
      <c r="G1182" s="1" t="s">
        <v>1010</v>
      </c>
      <c r="H1182" s="1">
        <v>11</v>
      </c>
      <c r="I1182" s="1">
        <v>5</v>
      </c>
      <c r="J1182" s="1" t="s">
        <v>2693</v>
      </c>
      <c r="K1182" s="2">
        <v>304.83999999999997</v>
      </c>
      <c r="L1182" s="1">
        <v>24</v>
      </c>
      <c r="M1182" s="2">
        <v>3353.24</v>
      </c>
      <c r="N1182" s="2">
        <v>804.78</v>
      </c>
      <c r="O1182" s="2">
        <v>2548.46</v>
      </c>
      <c r="P1182" s="1">
        <v>286</v>
      </c>
      <c r="Q1182" s="2">
        <v>213.39</v>
      </c>
      <c r="R1182" s="2">
        <v>201.17</v>
      </c>
      <c r="S1182" s="1" t="s">
        <v>1016</v>
      </c>
      <c r="T1182" s="1" t="s">
        <v>1007</v>
      </c>
      <c r="U1182" s="1" t="s">
        <v>1007</v>
      </c>
    </row>
    <row r="1183" spans="1:21" x14ac:dyDescent="0.3">
      <c r="A1183" s="1" t="s">
        <v>2197</v>
      </c>
      <c r="B1183" s="1" t="s">
        <v>189</v>
      </c>
      <c r="C1183" s="1" t="s">
        <v>190</v>
      </c>
      <c r="D1183" s="1" t="s">
        <v>59</v>
      </c>
      <c r="E1183" s="1" t="s">
        <v>3332</v>
      </c>
      <c r="F1183" s="1" t="s">
        <v>1006</v>
      </c>
      <c r="G1183" s="1" t="s">
        <v>1023</v>
      </c>
      <c r="H1183" s="1">
        <v>5</v>
      </c>
      <c r="I1183" s="1">
        <v>5</v>
      </c>
      <c r="J1183" s="1" t="s">
        <v>2658</v>
      </c>
      <c r="K1183" s="2">
        <v>466.93</v>
      </c>
      <c r="L1183" s="1">
        <v>7</v>
      </c>
      <c r="M1183" s="2">
        <v>2334.65</v>
      </c>
      <c r="N1183" s="2">
        <v>163.43</v>
      </c>
      <c r="O1183" s="2">
        <v>2171.2199999999998</v>
      </c>
      <c r="P1183" s="1">
        <v>261</v>
      </c>
      <c r="Q1183" s="2">
        <v>326.85000000000002</v>
      </c>
      <c r="R1183" s="2">
        <v>536.97</v>
      </c>
      <c r="S1183" s="1" t="s">
        <v>1016</v>
      </c>
      <c r="T1183" s="1" t="s">
        <v>1004</v>
      </c>
      <c r="U1183" s="1" t="s">
        <v>1007</v>
      </c>
    </row>
    <row r="1184" spans="1:21" x14ac:dyDescent="0.3">
      <c r="A1184" s="1" t="s">
        <v>2198</v>
      </c>
      <c r="B1184" s="1" t="s">
        <v>166</v>
      </c>
      <c r="C1184" s="1" t="s">
        <v>167</v>
      </c>
      <c r="D1184" s="1" t="s">
        <v>59</v>
      </c>
      <c r="E1184" s="1" t="s">
        <v>3333</v>
      </c>
      <c r="F1184" s="1" t="s">
        <v>1027</v>
      </c>
      <c r="G1184" s="1" t="s">
        <v>1023</v>
      </c>
      <c r="H1184" s="1">
        <v>2</v>
      </c>
      <c r="I1184" s="1">
        <v>6</v>
      </c>
      <c r="J1184" s="1" t="s">
        <v>2758</v>
      </c>
      <c r="K1184" s="2">
        <v>305.98</v>
      </c>
      <c r="L1184" s="1">
        <v>13</v>
      </c>
      <c r="M1184" s="2">
        <v>611.96</v>
      </c>
      <c r="N1184" s="2">
        <v>79.55</v>
      </c>
      <c r="O1184" s="2">
        <v>532.41</v>
      </c>
      <c r="P1184" s="1">
        <v>270</v>
      </c>
      <c r="Q1184" s="2">
        <v>214.19</v>
      </c>
      <c r="R1184" s="2">
        <v>104.03</v>
      </c>
      <c r="S1184" s="1" t="s">
        <v>1003</v>
      </c>
      <c r="T1184" s="1" t="s">
        <v>1004</v>
      </c>
      <c r="U1184" s="1" t="s">
        <v>1004</v>
      </c>
    </row>
    <row r="1185" spans="1:21" x14ac:dyDescent="0.3">
      <c r="A1185" s="1" t="s">
        <v>2199</v>
      </c>
      <c r="B1185" s="1" t="s">
        <v>176</v>
      </c>
      <c r="C1185" s="1" t="s">
        <v>177</v>
      </c>
      <c r="D1185" s="1" t="s">
        <v>39</v>
      </c>
      <c r="E1185" s="1" t="s">
        <v>3334</v>
      </c>
      <c r="F1185" s="1" t="s">
        <v>1015</v>
      </c>
      <c r="G1185" s="1" t="s">
        <v>1010</v>
      </c>
      <c r="H1185" s="1">
        <v>14</v>
      </c>
      <c r="I1185" s="1">
        <v>4</v>
      </c>
      <c r="J1185" s="1" t="s">
        <v>2681</v>
      </c>
      <c r="K1185" s="2">
        <v>204.09</v>
      </c>
      <c r="L1185" s="1">
        <v>8</v>
      </c>
      <c r="M1185" s="2">
        <v>2857.26</v>
      </c>
      <c r="N1185" s="2">
        <v>228.58</v>
      </c>
      <c r="O1185" s="2">
        <v>2628.68</v>
      </c>
      <c r="P1185" s="1">
        <v>67</v>
      </c>
      <c r="Q1185" s="2">
        <v>142.86000000000001</v>
      </c>
      <c r="R1185" s="2">
        <v>628.64</v>
      </c>
      <c r="S1185" s="1" t="s">
        <v>1003</v>
      </c>
      <c r="T1185" s="1" t="s">
        <v>1007</v>
      </c>
      <c r="U1185" s="1" t="s">
        <v>1004</v>
      </c>
    </row>
    <row r="1186" spans="1:21" x14ac:dyDescent="0.3">
      <c r="A1186" s="1" t="s">
        <v>2200</v>
      </c>
      <c r="B1186" s="1" t="s">
        <v>63</v>
      </c>
      <c r="C1186" s="1" t="s">
        <v>64</v>
      </c>
      <c r="D1186" s="1" t="s">
        <v>28</v>
      </c>
      <c r="E1186" s="1" t="s">
        <v>3335</v>
      </c>
      <c r="F1186" s="1" t="s">
        <v>1020</v>
      </c>
      <c r="G1186" s="1" t="s">
        <v>1010</v>
      </c>
      <c r="H1186" s="1">
        <v>15</v>
      </c>
      <c r="I1186" s="1">
        <v>2</v>
      </c>
      <c r="J1186" s="1" t="s">
        <v>2879</v>
      </c>
      <c r="K1186" s="2">
        <v>419.92</v>
      </c>
      <c r="L1186" s="1">
        <v>21</v>
      </c>
      <c r="M1186" s="2">
        <v>6298.8</v>
      </c>
      <c r="N1186" s="2">
        <v>1322.75</v>
      </c>
      <c r="O1186" s="2">
        <v>4976.05</v>
      </c>
      <c r="P1186" s="1">
        <v>89</v>
      </c>
      <c r="Q1186" s="2">
        <v>293.94</v>
      </c>
      <c r="R1186" s="2">
        <v>566.95000000000005</v>
      </c>
      <c r="S1186" s="1" t="s">
        <v>1003</v>
      </c>
      <c r="T1186" s="1" t="s">
        <v>1007</v>
      </c>
      <c r="U1186" s="1" t="s">
        <v>1004</v>
      </c>
    </row>
    <row r="1187" spans="1:21" x14ac:dyDescent="0.3">
      <c r="A1187" s="1" t="s">
        <v>2201</v>
      </c>
      <c r="B1187" s="1" t="s">
        <v>69</v>
      </c>
      <c r="C1187" s="1" t="s">
        <v>70</v>
      </c>
      <c r="D1187" s="1" t="s">
        <v>59</v>
      </c>
      <c r="E1187" s="1" t="s">
        <v>3336</v>
      </c>
      <c r="F1187" s="1" t="s">
        <v>1013</v>
      </c>
      <c r="G1187" s="1" t="s">
        <v>1002</v>
      </c>
      <c r="H1187" s="1">
        <v>9</v>
      </c>
      <c r="I1187" s="1">
        <v>5</v>
      </c>
      <c r="J1187" s="1" t="s">
        <v>2717</v>
      </c>
      <c r="K1187" s="2">
        <v>364.04</v>
      </c>
      <c r="L1187" s="1">
        <v>25</v>
      </c>
      <c r="M1187" s="2">
        <v>3276.36</v>
      </c>
      <c r="N1187" s="2">
        <v>819.09</v>
      </c>
      <c r="O1187" s="2">
        <v>2457.27</v>
      </c>
      <c r="P1187" s="1">
        <v>96</v>
      </c>
      <c r="Q1187" s="2">
        <v>254.83</v>
      </c>
      <c r="R1187" s="2">
        <v>163.80000000000001</v>
      </c>
      <c r="S1187" s="1" t="s">
        <v>1016</v>
      </c>
      <c r="T1187" s="1" t="s">
        <v>1007</v>
      </c>
      <c r="U1187" s="1" t="s">
        <v>1004</v>
      </c>
    </row>
    <row r="1188" spans="1:21" x14ac:dyDescent="0.3">
      <c r="A1188" s="1" t="s">
        <v>2202</v>
      </c>
      <c r="B1188" s="1" t="s">
        <v>111</v>
      </c>
      <c r="C1188" s="1" t="s">
        <v>112</v>
      </c>
      <c r="D1188" s="1" t="s">
        <v>97</v>
      </c>
      <c r="E1188" s="1" t="s">
        <v>3337</v>
      </c>
      <c r="F1188" s="1" t="s">
        <v>1015</v>
      </c>
      <c r="G1188" s="1" t="s">
        <v>1010</v>
      </c>
      <c r="H1188" s="1">
        <v>9</v>
      </c>
      <c r="I1188" s="1">
        <v>6</v>
      </c>
      <c r="J1188" s="1" t="s">
        <v>2630</v>
      </c>
      <c r="K1188" s="2">
        <v>440.41</v>
      </c>
      <c r="L1188" s="1">
        <v>17</v>
      </c>
      <c r="M1188" s="2">
        <v>3963.69</v>
      </c>
      <c r="N1188" s="2">
        <v>673.83</v>
      </c>
      <c r="O1188" s="2">
        <v>3289.86</v>
      </c>
      <c r="P1188" s="1">
        <v>225</v>
      </c>
      <c r="Q1188" s="2">
        <v>308.29000000000002</v>
      </c>
      <c r="R1188" s="2">
        <v>515.25</v>
      </c>
      <c r="S1188" s="1" t="s">
        <v>1003</v>
      </c>
      <c r="T1188" s="1" t="s">
        <v>1007</v>
      </c>
      <c r="U1188" s="1" t="s">
        <v>1004</v>
      </c>
    </row>
    <row r="1189" spans="1:21" x14ac:dyDescent="0.3">
      <c r="A1189" s="1" t="s">
        <v>2203</v>
      </c>
      <c r="B1189" s="1" t="s">
        <v>192</v>
      </c>
      <c r="C1189" s="1" t="s">
        <v>193</v>
      </c>
      <c r="D1189" s="1" t="s">
        <v>85</v>
      </c>
      <c r="E1189" s="1" t="s">
        <v>3338</v>
      </c>
      <c r="F1189" s="1" t="s">
        <v>1020</v>
      </c>
      <c r="G1189" s="1" t="s">
        <v>1002</v>
      </c>
      <c r="H1189" s="1">
        <v>4</v>
      </c>
      <c r="I1189" s="1">
        <v>3</v>
      </c>
      <c r="J1189" s="1" t="s">
        <v>2912</v>
      </c>
      <c r="K1189" s="2">
        <v>497.57</v>
      </c>
      <c r="L1189" s="1">
        <v>5</v>
      </c>
      <c r="M1189" s="2">
        <v>1990.28</v>
      </c>
      <c r="N1189" s="2">
        <v>99.51</v>
      </c>
      <c r="O1189" s="2">
        <v>1890.77</v>
      </c>
      <c r="P1189" s="1">
        <v>203</v>
      </c>
      <c r="Q1189" s="2">
        <v>348.3</v>
      </c>
      <c r="R1189" s="2">
        <v>497.57</v>
      </c>
      <c r="S1189" s="1" t="s">
        <v>1016</v>
      </c>
      <c r="T1189" s="1" t="s">
        <v>1004</v>
      </c>
      <c r="U1189" s="1" t="s">
        <v>1004</v>
      </c>
    </row>
    <row r="1190" spans="1:21" x14ac:dyDescent="0.3">
      <c r="A1190" s="1" t="s">
        <v>2204</v>
      </c>
      <c r="B1190" s="1" t="s">
        <v>118</v>
      </c>
      <c r="C1190" s="1" t="s">
        <v>119</v>
      </c>
      <c r="D1190" s="1" t="s">
        <v>97</v>
      </c>
      <c r="E1190" s="1" t="s">
        <v>3339</v>
      </c>
      <c r="F1190" s="1" t="s">
        <v>1006</v>
      </c>
      <c r="G1190" s="1" t="s">
        <v>1002</v>
      </c>
      <c r="H1190" s="1">
        <v>8</v>
      </c>
      <c r="I1190" s="1">
        <v>2</v>
      </c>
      <c r="J1190" s="1" t="s">
        <v>2666</v>
      </c>
      <c r="K1190" s="2">
        <v>107.63</v>
      </c>
      <c r="L1190" s="1">
        <v>21</v>
      </c>
      <c r="M1190" s="2">
        <v>861.04</v>
      </c>
      <c r="N1190" s="2">
        <v>180.82</v>
      </c>
      <c r="O1190" s="2">
        <v>680.22</v>
      </c>
      <c r="P1190" s="1">
        <v>93</v>
      </c>
      <c r="Q1190" s="2">
        <v>75.34</v>
      </c>
      <c r="R1190" s="2">
        <v>77.5</v>
      </c>
      <c r="S1190" s="1" t="s">
        <v>1016</v>
      </c>
      <c r="T1190" s="1" t="s">
        <v>1007</v>
      </c>
      <c r="U1190" s="1" t="s">
        <v>1007</v>
      </c>
    </row>
    <row r="1191" spans="1:21" x14ac:dyDescent="0.3">
      <c r="A1191" s="1" t="s">
        <v>2205</v>
      </c>
      <c r="B1191" s="1" t="s">
        <v>72</v>
      </c>
      <c r="C1191" s="1" t="s">
        <v>73</v>
      </c>
      <c r="D1191" s="1" t="s">
        <v>47</v>
      </c>
      <c r="E1191" s="1" t="s">
        <v>3340</v>
      </c>
      <c r="F1191" s="1" t="s">
        <v>1013</v>
      </c>
      <c r="G1191" s="1" t="s">
        <v>1010</v>
      </c>
      <c r="H1191" s="1">
        <v>10</v>
      </c>
      <c r="I1191" s="1">
        <v>4</v>
      </c>
      <c r="J1191" s="1" t="s">
        <v>2594</v>
      </c>
      <c r="K1191" s="2">
        <v>249.81</v>
      </c>
      <c r="L1191" s="1">
        <v>14</v>
      </c>
      <c r="M1191" s="2">
        <v>2498.1</v>
      </c>
      <c r="N1191" s="2">
        <v>349.73</v>
      </c>
      <c r="O1191" s="2">
        <v>2148.37</v>
      </c>
      <c r="P1191" s="1">
        <v>187</v>
      </c>
      <c r="Q1191" s="2">
        <v>174.87</v>
      </c>
      <c r="R1191" s="2">
        <v>399.67</v>
      </c>
      <c r="S1191" s="1" t="s">
        <v>1011</v>
      </c>
      <c r="T1191" s="1" t="s">
        <v>1007</v>
      </c>
      <c r="U1191" s="1" t="s">
        <v>1004</v>
      </c>
    </row>
    <row r="1192" spans="1:21" x14ac:dyDescent="0.3">
      <c r="A1192" s="1" t="s">
        <v>2206</v>
      </c>
      <c r="B1192" s="1" t="s">
        <v>111</v>
      </c>
      <c r="C1192" s="1" t="s">
        <v>112</v>
      </c>
      <c r="D1192" s="1" t="s">
        <v>97</v>
      </c>
      <c r="E1192" s="1" t="s">
        <v>3341</v>
      </c>
      <c r="F1192" s="1" t="s">
        <v>1015</v>
      </c>
      <c r="G1192" s="1" t="s">
        <v>1010</v>
      </c>
      <c r="H1192" s="1">
        <v>11</v>
      </c>
      <c r="I1192" s="1">
        <v>4</v>
      </c>
      <c r="J1192" s="1" t="s">
        <v>2813</v>
      </c>
      <c r="K1192" s="2">
        <v>336.21</v>
      </c>
      <c r="L1192" s="1">
        <v>18</v>
      </c>
      <c r="M1192" s="2">
        <v>3698.31</v>
      </c>
      <c r="N1192" s="2">
        <v>665.7</v>
      </c>
      <c r="O1192" s="2">
        <v>3032.61</v>
      </c>
      <c r="P1192" s="1">
        <v>143</v>
      </c>
      <c r="Q1192" s="2">
        <v>235.35</v>
      </c>
      <c r="R1192" s="2">
        <v>443.76</v>
      </c>
      <c r="S1192" s="1" t="s">
        <v>1016</v>
      </c>
      <c r="T1192" s="1" t="s">
        <v>1007</v>
      </c>
      <c r="U1192" s="1" t="s">
        <v>1007</v>
      </c>
    </row>
    <row r="1193" spans="1:21" x14ac:dyDescent="0.3">
      <c r="A1193" s="1" t="s">
        <v>2207</v>
      </c>
      <c r="B1193" s="1" t="s">
        <v>176</v>
      </c>
      <c r="C1193" s="1" t="s">
        <v>177</v>
      </c>
      <c r="D1193" s="1" t="s">
        <v>39</v>
      </c>
      <c r="E1193" s="1" t="s">
        <v>3342</v>
      </c>
      <c r="F1193" s="1" t="s">
        <v>1020</v>
      </c>
      <c r="G1193" s="1" t="s">
        <v>1002</v>
      </c>
      <c r="H1193" s="1">
        <v>5</v>
      </c>
      <c r="I1193" s="1">
        <v>4</v>
      </c>
      <c r="J1193" s="1" t="s">
        <v>2843</v>
      </c>
      <c r="K1193" s="2">
        <v>117.63</v>
      </c>
      <c r="L1193" s="1">
        <v>6</v>
      </c>
      <c r="M1193" s="2">
        <v>588.15</v>
      </c>
      <c r="N1193" s="2">
        <v>35.29</v>
      </c>
      <c r="O1193" s="2">
        <v>552.86</v>
      </c>
      <c r="P1193" s="1">
        <v>234</v>
      </c>
      <c r="Q1193" s="2">
        <v>82.34</v>
      </c>
      <c r="R1193" s="2">
        <v>141.16</v>
      </c>
      <c r="S1193" s="1" t="s">
        <v>1016</v>
      </c>
      <c r="T1193" s="1" t="s">
        <v>1007</v>
      </c>
      <c r="U1193" s="1" t="s">
        <v>1004</v>
      </c>
    </row>
    <row r="1194" spans="1:21" x14ac:dyDescent="0.3">
      <c r="A1194" s="1" t="s">
        <v>2208</v>
      </c>
      <c r="B1194" s="1" t="s">
        <v>57</v>
      </c>
      <c r="C1194" s="1" t="s">
        <v>58</v>
      </c>
      <c r="D1194" s="1" t="s">
        <v>59</v>
      </c>
      <c r="E1194" s="1" t="s">
        <v>3343</v>
      </c>
      <c r="F1194" s="1" t="s">
        <v>1027</v>
      </c>
      <c r="G1194" s="1" t="s">
        <v>1023</v>
      </c>
      <c r="H1194" s="1">
        <v>13</v>
      </c>
      <c r="I1194" s="1">
        <v>1</v>
      </c>
      <c r="J1194" s="1" t="s">
        <v>2911</v>
      </c>
      <c r="K1194" s="2">
        <v>378.55</v>
      </c>
      <c r="L1194" s="1">
        <v>1</v>
      </c>
      <c r="M1194" s="2">
        <v>4921.1499999999996</v>
      </c>
      <c r="N1194" s="2">
        <v>49.21</v>
      </c>
      <c r="O1194" s="2">
        <v>4871.9399999999996</v>
      </c>
      <c r="P1194" s="1">
        <v>56</v>
      </c>
      <c r="Q1194" s="2">
        <v>264.99</v>
      </c>
      <c r="R1194" s="2">
        <v>1427.07</v>
      </c>
      <c r="S1194" s="1" t="s">
        <v>1003</v>
      </c>
      <c r="T1194" s="1" t="s">
        <v>1004</v>
      </c>
      <c r="U1194" s="1" t="s">
        <v>1004</v>
      </c>
    </row>
    <row r="1195" spans="1:21" x14ac:dyDescent="0.3">
      <c r="A1195" s="1" t="s">
        <v>2209</v>
      </c>
      <c r="B1195" s="1" t="s">
        <v>45</v>
      </c>
      <c r="C1195" s="1" t="s">
        <v>46</v>
      </c>
      <c r="D1195" s="1" t="s">
        <v>47</v>
      </c>
      <c r="E1195" s="1" t="s">
        <v>3344</v>
      </c>
      <c r="F1195" s="1" t="s">
        <v>1001</v>
      </c>
      <c r="G1195" s="1" t="s">
        <v>1010</v>
      </c>
      <c r="H1195" s="1">
        <v>12</v>
      </c>
      <c r="I1195" s="1">
        <v>1</v>
      </c>
      <c r="J1195" s="1" t="s">
        <v>2775</v>
      </c>
      <c r="K1195" s="2">
        <v>107.05</v>
      </c>
      <c r="L1195" s="1">
        <v>1</v>
      </c>
      <c r="M1195" s="2">
        <v>1284.5999999999999</v>
      </c>
      <c r="N1195" s="2">
        <v>12.85</v>
      </c>
      <c r="O1195" s="2">
        <v>1271.75</v>
      </c>
      <c r="P1195" s="1">
        <v>284</v>
      </c>
      <c r="Q1195" s="2">
        <v>74.930000000000007</v>
      </c>
      <c r="R1195" s="2">
        <v>372.59</v>
      </c>
      <c r="S1195" s="1" t="s">
        <v>1011</v>
      </c>
      <c r="T1195" s="1" t="s">
        <v>1007</v>
      </c>
      <c r="U1195" s="1" t="s">
        <v>1004</v>
      </c>
    </row>
    <row r="1196" spans="1:21" x14ac:dyDescent="0.3">
      <c r="A1196" s="1" t="s">
        <v>2210</v>
      </c>
      <c r="B1196" s="1" t="s">
        <v>45</v>
      </c>
      <c r="C1196" s="1" t="s">
        <v>46</v>
      </c>
      <c r="D1196" s="1" t="s">
        <v>47</v>
      </c>
      <c r="E1196" s="1" t="s">
        <v>3345</v>
      </c>
      <c r="F1196" s="1" t="s">
        <v>1020</v>
      </c>
      <c r="G1196" s="1" t="s">
        <v>1002</v>
      </c>
      <c r="H1196" s="1">
        <v>14</v>
      </c>
      <c r="I1196" s="1">
        <v>2</v>
      </c>
      <c r="J1196" s="1" t="s">
        <v>2565</v>
      </c>
      <c r="K1196" s="2">
        <v>445.31</v>
      </c>
      <c r="L1196" s="1">
        <v>14</v>
      </c>
      <c r="M1196" s="2">
        <v>6234.34</v>
      </c>
      <c r="N1196" s="2">
        <v>872.81</v>
      </c>
      <c r="O1196" s="2">
        <v>5361.53</v>
      </c>
      <c r="P1196" s="1">
        <v>161</v>
      </c>
      <c r="Q1196" s="2">
        <v>311.72000000000003</v>
      </c>
      <c r="R1196" s="2">
        <v>997.45</v>
      </c>
      <c r="S1196" s="1" t="s">
        <v>1016</v>
      </c>
      <c r="T1196" s="1" t="s">
        <v>1007</v>
      </c>
      <c r="U1196" s="1" t="s">
        <v>1004</v>
      </c>
    </row>
    <row r="1197" spans="1:21" x14ac:dyDescent="0.3">
      <c r="A1197" s="1" t="s">
        <v>2211</v>
      </c>
      <c r="B1197" s="1" t="s">
        <v>45</v>
      </c>
      <c r="C1197" s="1" t="s">
        <v>46</v>
      </c>
      <c r="D1197" s="1" t="s">
        <v>47</v>
      </c>
      <c r="E1197" s="1" t="s">
        <v>3346</v>
      </c>
      <c r="F1197" s="1" t="s">
        <v>1013</v>
      </c>
      <c r="G1197" s="1" t="s">
        <v>1010</v>
      </c>
      <c r="H1197" s="1">
        <v>8</v>
      </c>
      <c r="I1197" s="1">
        <v>7</v>
      </c>
      <c r="J1197" s="1" t="s">
        <v>2599</v>
      </c>
      <c r="K1197" s="2">
        <v>345.66</v>
      </c>
      <c r="L1197" s="1">
        <v>2</v>
      </c>
      <c r="M1197" s="2">
        <v>2765.28</v>
      </c>
      <c r="N1197" s="2">
        <v>55.31</v>
      </c>
      <c r="O1197" s="2">
        <v>2709.97</v>
      </c>
      <c r="P1197" s="1">
        <v>166</v>
      </c>
      <c r="Q1197" s="2">
        <v>241.96</v>
      </c>
      <c r="R1197" s="2">
        <v>774.29</v>
      </c>
      <c r="S1197" s="1" t="s">
        <v>1011</v>
      </c>
      <c r="T1197" s="1" t="s">
        <v>1007</v>
      </c>
      <c r="U1197" s="1" t="s">
        <v>1004</v>
      </c>
    </row>
    <row r="1198" spans="1:21" x14ac:dyDescent="0.3">
      <c r="A1198" s="1" t="s">
        <v>2212</v>
      </c>
      <c r="B1198" s="1" t="s">
        <v>63</v>
      </c>
      <c r="C1198" s="1" t="s">
        <v>64</v>
      </c>
      <c r="D1198" s="1" t="s">
        <v>28</v>
      </c>
      <c r="E1198" s="1" t="s">
        <v>3347</v>
      </c>
      <c r="F1198" s="1" t="s">
        <v>1009</v>
      </c>
      <c r="G1198" s="1" t="s">
        <v>1002</v>
      </c>
      <c r="H1198" s="1">
        <v>11</v>
      </c>
      <c r="I1198" s="1">
        <v>4</v>
      </c>
      <c r="J1198" s="1" t="s">
        <v>2607</v>
      </c>
      <c r="K1198" s="2">
        <v>139.88</v>
      </c>
      <c r="L1198" s="1">
        <v>2</v>
      </c>
      <c r="M1198" s="2">
        <v>1538.68</v>
      </c>
      <c r="N1198" s="2">
        <v>30.77</v>
      </c>
      <c r="O1198" s="2">
        <v>1507.91</v>
      </c>
      <c r="P1198" s="1">
        <v>105</v>
      </c>
      <c r="Q1198" s="2">
        <v>97.92</v>
      </c>
      <c r="R1198" s="2">
        <v>430.79</v>
      </c>
      <c r="S1198" s="1" t="s">
        <v>1011</v>
      </c>
      <c r="T1198" s="1" t="s">
        <v>1007</v>
      </c>
      <c r="U1198" s="1" t="s">
        <v>1007</v>
      </c>
    </row>
    <row r="1199" spans="1:21" x14ac:dyDescent="0.3">
      <c r="A1199" s="1" t="s">
        <v>2213</v>
      </c>
      <c r="B1199" s="1" t="s">
        <v>26</v>
      </c>
      <c r="C1199" s="1" t="s">
        <v>27</v>
      </c>
      <c r="D1199" s="1" t="s">
        <v>28</v>
      </c>
      <c r="E1199" s="1" t="s">
        <v>3348</v>
      </c>
      <c r="F1199" s="1" t="s">
        <v>1009</v>
      </c>
      <c r="G1199" s="1" t="s">
        <v>1002</v>
      </c>
      <c r="H1199" s="1">
        <v>11</v>
      </c>
      <c r="I1199" s="1">
        <v>6</v>
      </c>
      <c r="J1199" s="1" t="s">
        <v>2581</v>
      </c>
      <c r="K1199" s="2">
        <v>180.38</v>
      </c>
      <c r="L1199" s="1">
        <v>20</v>
      </c>
      <c r="M1199" s="2">
        <v>1984.18</v>
      </c>
      <c r="N1199" s="2">
        <v>396.84</v>
      </c>
      <c r="O1199" s="2">
        <v>1587.34</v>
      </c>
      <c r="P1199" s="1">
        <v>168</v>
      </c>
      <c r="Q1199" s="2">
        <v>126.27</v>
      </c>
      <c r="R1199" s="2">
        <v>198.37</v>
      </c>
      <c r="S1199" s="1" t="s">
        <v>1003</v>
      </c>
      <c r="T1199" s="1" t="s">
        <v>1007</v>
      </c>
      <c r="U1199" s="1" t="s">
        <v>1004</v>
      </c>
    </row>
    <row r="1200" spans="1:21" x14ac:dyDescent="0.3">
      <c r="A1200" s="1" t="s">
        <v>2214</v>
      </c>
      <c r="B1200" s="1" t="s">
        <v>37</v>
      </c>
      <c r="C1200" s="1" t="s">
        <v>38</v>
      </c>
      <c r="D1200" s="1" t="s">
        <v>39</v>
      </c>
      <c r="E1200" s="1" t="s">
        <v>3349</v>
      </c>
      <c r="F1200" s="1" t="s">
        <v>1001</v>
      </c>
      <c r="G1200" s="1" t="s">
        <v>1010</v>
      </c>
      <c r="H1200" s="1">
        <v>13</v>
      </c>
      <c r="I1200" s="1">
        <v>4</v>
      </c>
      <c r="J1200" s="1" t="s">
        <v>2670</v>
      </c>
      <c r="K1200" s="2">
        <v>257.87</v>
      </c>
      <c r="L1200" s="1">
        <v>3</v>
      </c>
      <c r="M1200" s="2">
        <v>3352.31</v>
      </c>
      <c r="N1200" s="2">
        <v>100.57</v>
      </c>
      <c r="O1200" s="2">
        <v>3251.74</v>
      </c>
      <c r="P1200" s="1">
        <v>207</v>
      </c>
      <c r="Q1200" s="2">
        <v>180.51</v>
      </c>
      <c r="R1200" s="2">
        <v>905.11</v>
      </c>
      <c r="S1200" s="1" t="s">
        <v>1016</v>
      </c>
      <c r="T1200" s="1" t="s">
        <v>1004</v>
      </c>
      <c r="U1200" s="1" t="s">
        <v>1004</v>
      </c>
    </row>
    <row r="1201" spans="1:21" x14ac:dyDescent="0.3">
      <c r="A1201" s="1" t="s">
        <v>2215</v>
      </c>
      <c r="B1201" s="1" t="s">
        <v>166</v>
      </c>
      <c r="C1201" s="1" t="s">
        <v>167</v>
      </c>
      <c r="D1201" s="1" t="s">
        <v>59</v>
      </c>
      <c r="E1201" s="1" t="s">
        <v>3350</v>
      </c>
      <c r="F1201" s="1" t="s">
        <v>1015</v>
      </c>
      <c r="G1201" s="1" t="s">
        <v>1002</v>
      </c>
      <c r="H1201" s="1">
        <v>13</v>
      </c>
      <c r="I1201" s="1">
        <v>5</v>
      </c>
      <c r="J1201" s="1" t="s">
        <v>2793</v>
      </c>
      <c r="K1201" s="2">
        <v>180.47</v>
      </c>
      <c r="L1201" s="1">
        <v>19</v>
      </c>
      <c r="M1201" s="2">
        <v>2346.11</v>
      </c>
      <c r="N1201" s="2">
        <v>445.76</v>
      </c>
      <c r="O1201" s="2">
        <v>1900.35</v>
      </c>
      <c r="P1201" s="1">
        <v>204</v>
      </c>
      <c r="Q1201" s="2">
        <v>126.33</v>
      </c>
      <c r="R1201" s="2">
        <v>258.06</v>
      </c>
      <c r="S1201" s="1" t="s">
        <v>1011</v>
      </c>
      <c r="T1201" s="1" t="s">
        <v>1007</v>
      </c>
      <c r="U1201" s="1" t="s">
        <v>1007</v>
      </c>
    </row>
    <row r="1202" spans="1:21" x14ac:dyDescent="0.3">
      <c r="A1202" s="1" t="s">
        <v>2216</v>
      </c>
      <c r="B1202" s="1" t="s">
        <v>45</v>
      </c>
      <c r="C1202" s="1" t="s">
        <v>46</v>
      </c>
      <c r="D1202" s="1" t="s">
        <v>47</v>
      </c>
      <c r="E1202" s="1" t="s">
        <v>3351</v>
      </c>
      <c r="F1202" s="1" t="s">
        <v>1001</v>
      </c>
      <c r="G1202" s="1" t="s">
        <v>1023</v>
      </c>
      <c r="H1202" s="1">
        <v>6</v>
      </c>
      <c r="I1202" s="1">
        <v>5</v>
      </c>
      <c r="J1202" s="1" t="s">
        <v>2659</v>
      </c>
      <c r="K1202" s="2">
        <v>417.24</v>
      </c>
      <c r="L1202" s="1">
        <v>21</v>
      </c>
      <c r="M1202" s="2">
        <v>2503.44</v>
      </c>
      <c r="N1202" s="2">
        <v>525.72</v>
      </c>
      <c r="O1202" s="2">
        <v>1977.72</v>
      </c>
      <c r="P1202" s="1">
        <v>221</v>
      </c>
      <c r="Q1202" s="2">
        <v>292.07</v>
      </c>
      <c r="R1202" s="2">
        <v>225.3</v>
      </c>
      <c r="S1202" s="1" t="s">
        <v>1016</v>
      </c>
      <c r="T1202" s="1" t="s">
        <v>1007</v>
      </c>
      <c r="U1202" s="1" t="s">
        <v>1007</v>
      </c>
    </row>
    <row r="1203" spans="1:21" x14ac:dyDescent="0.3">
      <c r="A1203" s="1" t="s">
        <v>2217</v>
      </c>
      <c r="B1203" s="1" t="s">
        <v>45</v>
      </c>
      <c r="C1203" s="1" t="s">
        <v>46</v>
      </c>
      <c r="D1203" s="1" t="s">
        <v>47</v>
      </c>
      <c r="E1203" s="1" t="s">
        <v>3352</v>
      </c>
      <c r="F1203" s="1" t="s">
        <v>1027</v>
      </c>
      <c r="G1203" s="1" t="s">
        <v>1023</v>
      </c>
      <c r="H1203" s="1">
        <v>6</v>
      </c>
      <c r="I1203" s="1">
        <v>6</v>
      </c>
      <c r="J1203" s="1" t="s">
        <v>2578</v>
      </c>
      <c r="K1203" s="2">
        <v>223.58</v>
      </c>
      <c r="L1203" s="1">
        <v>16</v>
      </c>
      <c r="M1203" s="2">
        <v>1341.48</v>
      </c>
      <c r="N1203" s="2">
        <v>214.64</v>
      </c>
      <c r="O1203" s="2">
        <v>1126.8399999999999</v>
      </c>
      <c r="P1203" s="1">
        <v>79</v>
      </c>
      <c r="Q1203" s="2">
        <v>156.51</v>
      </c>
      <c r="R1203" s="2">
        <v>187.78</v>
      </c>
      <c r="S1203" s="1" t="s">
        <v>1011</v>
      </c>
      <c r="T1203" s="1" t="s">
        <v>1007</v>
      </c>
      <c r="U1203" s="1" t="s">
        <v>1004</v>
      </c>
    </row>
    <row r="1204" spans="1:21" x14ac:dyDescent="0.3">
      <c r="A1204" s="1" t="s">
        <v>2218</v>
      </c>
      <c r="B1204" s="1" t="s">
        <v>192</v>
      </c>
      <c r="C1204" s="1" t="s">
        <v>193</v>
      </c>
      <c r="D1204" s="1" t="s">
        <v>85</v>
      </c>
      <c r="E1204" s="1" t="s">
        <v>3353</v>
      </c>
      <c r="F1204" s="1" t="s">
        <v>1020</v>
      </c>
      <c r="G1204" s="1" t="s">
        <v>1023</v>
      </c>
      <c r="H1204" s="1">
        <v>14</v>
      </c>
      <c r="I1204" s="1">
        <v>2</v>
      </c>
      <c r="J1204" s="1" t="s">
        <v>2769</v>
      </c>
      <c r="K1204" s="2">
        <v>291.81</v>
      </c>
      <c r="L1204" s="1">
        <v>6</v>
      </c>
      <c r="M1204" s="2">
        <v>4085.34</v>
      </c>
      <c r="N1204" s="2">
        <v>245.12</v>
      </c>
      <c r="O1204" s="2">
        <v>3840.22</v>
      </c>
      <c r="P1204" s="1">
        <v>123</v>
      </c>
      <c r="Q1204" s="2">
        <v>204.27</v>
      </c>
      <c r="R1204" s="2">
        <v>980.44</v>
      </c>
      <c r="S1204" s="1" t="s">
        <v>1016</v>
      </c>
      <c r="T1204" s="1" t="s">
        <v>1007</v>
      </c>
      <c r="U1204" s="1" t="s">
        <v>1007</v>
      </c>
    </row>
    <row r="1205" spans="1:21" x14ac:dyDescent="0.3">
      <c r="A1205" s="1" t="s">
        <v>2219</v>
      </c>
      <c r="B1205" s="1" t="s">
        <v>83</v>
      </c>
      <c r="C1205" s="1" t="s">
        <v>84</v>
      </c>
      <c r="D1205" s="1" t="s">
        <v>85</v>
      </c>
      <c r="E1205" s="1" t="s">
        <v>3354</v>
      </c>
      <c r="F1205" s="1" t="s">
        <v>1020</v>
      </c>
      <c r="G1205" s="1" t="s">
        <v>1002</v>
      </c>
      <c r="H1205" s="1">
        <v>12</v>
      </c>
      <c r="I1205" s="1">
        <v>4</v>
      </c>
      <c r="J1205" s="1" t="s">
        <v>2897</v>
      </c>
      <c r="K1205" s="2">
        <v>110.82</v>
      </c>
      <c r="L1205" s="1">
        <v>9</v>
      </c>
      <c r="M1205" s="2">
        <v>1329.84</v>
      </c>
      <c r="N1205" s="2">
        <v>119.69</v>
      </c>
      <c r="O1205" s="2">
        <v>1210.1500000000001</v>
      </c>
      <c r="P1205" s="1">
        <v>71</v>
      </c>
      <c r="Q1205" s="2">
        <v>77.569999999999993</v>
      </c>
      <c r="R1205" s="2">
        <v>279.31</v>
      </c>
      <c r="S1205" s="1" t="s">
        <v>1003</v>
      </c>
      <c r="T1205" s="1" t="s">
        <v>1007</v>
      </c>
      <c r="U1205" s="1" t="s">
        <v>1007</v>
      </c>
    </row>
    <row r="1206" spans="1:21" x14ac:dyDescent="0.3">
      <c r="A1206" s="1" t="s">
        <v>2220</v>
      </c>
      <c r="B1206" s="1" t="s">
        <v>176</v>
      </c>
      <c r="C1206" s="1" t="s">
        <v>177</v>
      </c>
      <c r="D1206" s="1" t="s">
        <v>39</v>
      </c>
      <c r="E1206" s="1" t="s">
        <v>3355</v>
      </c>
      <c r="F1206" s="1" t="s">
        <v>1006</v>
      </c>
      <c r="G1206" s="1" t="s">
        <v>1010</v>
      </c>
      <c r="H1206" s="1">
        <v>15</v>
      </c>
      <c r="I1206" s="1">
        <v>2</v>
      </c>
      <c r="J1206" s="1" t="s">
        <v>2921</v>
      </c>
      <c r="K1206" s="2">
        <v>227.4</v>
      </c>
      <c r="L1206" s="1">
        <v>23</v>
      </c>
      <c r="M1206" s="2">
        <v>3411</v>
      </c>
      <c r="N1206" s="2">
        <v>784.53</v>
      </c>
      <c r="O1206" s="2">
        <v>2626.47</v>
      </c>
      <c r="P1206" s="1">
        <v>89</v>
      </c>
      <c r="Q1206" s="2">
        <v>159.18</v>
      </c>
      <c r="R1206" s="2">
        <v>238.77</v>
      </c>
      <c r="S1206" s="1" t="s">
        <v>1016</v>
      </c>
      <c r="T1206" s="1" t="s">
        <v>1004</v>
      </c>
      <c r="U1206" s="1" t="s">
        <v>1007</v>
      </c>
    </row>
    <row r="1207" spans="1:21" x14ac:dyDescent="0.3">
      <c r="A1207" s="1" t="s">
        <v>2221</v>
      </c>
      <c r="B1207" s="1" t="s">
        <v>95</v>
      </c>
      <c r="C1207" s="1" t="s">
        <v>96</v>
      </c>
      <c r="D1207" s="1" t="s">
        <v>97</v>
      </c>
      <c r="E1207" s="1" t="s">
        <v>3356</v>
      </c>
      <c r="F1207" s="1" t="s">
        <v>1027</v>
      </c>
      <c r="G1207" s="1" t="s">
        <v>1023</v>
      </c>
      <c r="H1207" s="1">
        <v>2</v>
      </c>
      <c r="I1207" s="1">
        <v>4</v>
      </c>
      <c r="J1207" s="1" t="s">
        <v>2845</v>
      </c>
      <c r="K1207" s="2">
        <v>177.48</v>
      </c>
      <c r="L1207" s="1">
        <v>0</v>
      </c>
      <c r="M1207" s="2">
        <v>354.96</v>
      </c>
      <c r="N1207" s="2">
        <v>0</v>
      </c>
      <c r="O1207" s="2">
        <v>354.96</v>
      </c>
      <c r="P1207" s="1">
        <v>222</v>
      </c>
      <c r="Q1207" s="2">
        <v>124.24</v>
      </c>
      <c r="R1207" s="2">
        <v>106.48</v>
      </c>
      <c r="S1207" s="1" t="s">
        <v>1016</v>
      </c>
      <c r="T1207" s="1" t="s">
        <v>1004</v>
      </c>
      <c r="U1207" s="1" t="s">
        <v>1007</v>
      </c>
    </row>
    <row r="1208" spans="1:21" x14ac:dyDescent="0.3">
      <c r="A1208" s="1" t="s">
        <v>2222</v>
      </c>
      <c r="B1208" s="1" t="s">
        <v>57</v>
      </c>
      <c r="C1208" s="1" t="s">
        <v>58</v>
      </c>
      <c r="D1208" s="1" t="s">
        <v>59</v>
      </c>
      <c r="E1208" s="1" t="s">
        <v>3357</v>
      </c>
      <c r="F1208" s="1" t="s">
        <v>1027</v>
      </c>
      <c r="G1208" s="1" t="s">
        <v>1002</v>
      </c>
      <c r="H1208" s="1">
        <v>14</v>
      </c>
      <c r="I1208" s="1">
        <v>3</v>
      </c>
      <c r="J1208" s="1" t="s">
        <v>2640</v>
      </c>
      <c r="K1208" s="2">
        <v>248.35</v>
      </c>
      <c r="L1208" s="1">
        <v>0</v>
      </c>
      <c r="M1208" s="2">
        <v>3476.9</v>
      </c>
      <c r="N1208" s="2">
        <v>0</v>
      </c>
      <c r="O1208" s="2">
        <v>3476.9</v>
      </c>
      <c r="P1208" s="1">
        <v>75</v>
      </c>
      <c r="Q1208" s="2">
        <v>173.84</v>
      </c>
      <c r="R1208" s="2">
        <v>1043.1400000000001</v>
      </c>
      <c r="S1208" s="1" t="s">
        <v>1011</v>
      </c>
      <c r="T1208" s="1" t="s">
        <v>1007</v>
      </c>
      <c r="U1208" s="1" t="s">
        <v>1004</v>
      </c>
    </row>
    <row r="1209" spans="1:21" x14ac:dyDescent="0.3">
      <c r="A1209" s="1" t="s">
        <v>2223</v>
      </c>
      <c r="B1209" s="1" t="s">
        <v>166</v>
      </c>
      <c r="C1209" s="1" t="s">
        <v>167</v>
      </c>
      <c r="D1209" s="1" t="s">
        <v>59</v>
      </c>
      <c r="E1209" s="1" t="s">
        <v>3358</v>
      </c>
      <c r="F1209" s="1" t="s">
        <v>1006</v>
      </c>
      <c r="G1209" s="1" t="s">
        <v>1023</v>
      </c>
      <c r="H1209" s="1">
        <v>2</v>
      </c>
      <c r="I1209" s="1">
        <v>6</v>
      </c>
      <c r="J1209" s="1" t="s">
        <v>2758</v>
      </c>
      <c r="K1209" s="2">
        <v>420.03</v>
      </c>
      <c r="L1209" s="1">
        <v>3</v>
      </c>
      <c r="M1209" s="2">
        <v>840.06</v>
      </c>
      <c r="N1209" s="2">
        <v>25.2</v>
      </c>
      <c r="O1209" s="2">
        <v>814.86</v>
      </c>
      <c r="P1209" s="1">
        <v>241</v>
      </c>
      <c r="Q1209" s="2">
        <v>294.02</v>
      </c>
      <c r="R1209" s="2">
        <v>226.82</v>
      </c>
      <c r="S1209" s="1" t="s">
        <v>1011</v>
      </c>
      <c r="T1209" s="1" t="s">
        <v>1007</v>
      </c>
      <c r="U1209" s="1" t="s">
        <v>1007</v>
      </c>
    </row>
    <row r="1210" spans="1:21" x14ac:dyDescent="0.3">
      <c r="A1210" s="1" t="s">
        <v>2224</v>
      </c>
      <c r="B1210" s="1" t="s">
        <v>63</v>
      </c>
      <c r="C1210" s="1" t="s">
        <v>64</v>
      </c>
      <c r="D1210" s="1" t="s">
        <v>28</v>
      </c>
      <c r="E1210" s="1" t="s">
        <v>3359</v>
      </c>
      <c r="F1210" s="1" t="s">
        <v>1009</v>
      </c>
      <c r="G1210" s="1" t="s">
        <v>1010</v>
      </c>
      <c r="H1210" s="1">
        <v>5</v>
      </c>
      <c r="I1210" s="1">
        <v>1</v>
      </c>
      <c r="J1210" s="1" t="s">
        <v>2710</v>
      </c>
      <c r="K1210" s="2">
        <v>116.55</v>
      </c>
      <c r="L1210" s="1">
        <v>25</v>
      </c>
      <c r="M1210" s="2">
        <v>582.75</v>
      </c>
      <c r="N1210" s="2">
        <v>145.69</v>
      </c>
      <c r="O1210" s="2">
        <v>437.06</v>
      </c>
      <c r="P1210" s="1">
        <v>123</v>
      </c>
      <c r="Q1210" s="2">
        <v>81.58</v>
      </c>
      <c r="R1210" s="2">
        <v>29.16</v>
      </c>
      <c r="S1210" s="1" t="s">
        <v>1016</v>
      </c>
      <c r="T1210" s="1" t="s">
        <v>1007</v>
      </c>
      <c r="U1210" s="1" t="s">
        <v>1007</v>
      </c>
    </row>
    <row r="1211" spans="1:21" x14ac:dyDescent="0.3">
      <c r="A1211" s="1" t="s">
        <v>2225</v>
      </c>
      <c r="B1211" s="1" t="s">
        <v>192</v>
      </c>
      <c r="C1211" s="1" t="s">
        <v>193</v>
      </c>
      <c r="D1211" s="1" t="s">
        <v>85</v>
      </c>
      <c r="E1211" s="1" t="s">
        <v>3360</v>
      </c>
      <c r="F1211" s="1" t="s">
        <v>1020</v>
      </c>
      <c r="G1211" s="1" t="s">
        <v>1002</v>
      </c>
      <c r="H1211" s="1">
        <v>8</v>
      </c>
      <c r="I1211" s="1">
        <v>4</v>
      </c>
      <c r="J1211" s="1" t="s">
        <v>2883</v>
      </c>
      <c r="K1211" s="2">
        <v>436.27</v>
      </c>
      <c r="L1211" s="1">
        <v>12</v>
      </c>
      <c r="M1211" s="2">
        <v>3490.16</v>
      </c>
      <c r="N1211" s="2">
        <v>418.82</v>
      </c>
      <c r="O1211" s="2">
        <v>3071.34</v>
      </c>
      <c r="P1211" s="1">
        <v>84</v>
      </c>
      <c r="Q1211" s="2">
        <v>305.39</v>
      </c>
      <c r="R1211" s="2">
        <v>628.22</v>
      </c>
      <c r="S1211" s="1" t="s">
        <v>1003</v>
      </c>
      <c r="T1211" s="1" t="s">
        <v>1004</v>
      </c>
      <c r="U1211" s="1" t="s">
        <v>1004</v>
      </c>
    </row>
    <row r="1212" spans="1:21" x14ac:dyDescent="0.3">
      <c r="A1212" s="1" t="s">
        <v>2226</v>
      </c>
      <c r="B1212" s="1" t="s">
        <v>118</v>
      </c>
      <c r="C1212" s="1" t="s">
        <v>119</v>
      </c>
      <c r="D1212" s="1" t="s">
        <v>97</v>
      </c>
      <c r="E1212" s="1" t="s">
        <v>3361</v>
      </c>
      <c r="F1212" s="1" t="s">
        <v>1006</v>
      </c>
      <c r="G1212" s="1" t="s">
        <v>1002</v>
      </c>
      <c r="H1212" s="1">
        <v>11</v>
      </c>
      <c r="I1212" s="1">
        <v>4</v>
      </c>
      <c r="J1212" s="1" t="s">
        <v>2649</v>
      </c>
      <c r="K1212" s="2">
        <v>376.75</v>
      </c>
      <c r="L1212" s="1">
        <v>25</v>
      </c>
      <c r="M1212" s="2">
        <v>4144.25</v>
      </c>
      <c r="N1212" s="2">
        <v>1036.06</v>
      </c>
      <c r="O1212" s="2">
        <v>3108.19</v>
      </c>
      <c r="P1212" s="1">
        <v>230</v>
      </c>
      <c r="Q1212" s="2">
        <v>263.72000000000003</v>
      </c>
      <c r="R1212" s="2">
        <v>207.27</v>
      </c>
      <c r="S1212" s="1" t="s">
        <v>1003</v>
      </c>
      <c r="T1212" s="1" t="s">
        <v>1004</v>
      </c>
      <c r="U1212" s="1" t="s">
        <v>1007</v>
      </c>
    </row>
    <row r="1213" spans="1:21" x14ac:dyDescent="0.3">
      <c r="A1213" s="1" t="s">
        <v>2227</v>
      </c>
      <c r="B1213" s="1" t="s">
        <v>176</v>
      </c>
      <c r="C1213" s="1" t="s">
        <v>177</v>
      </c>
      <c r="D1213" s="1" t="s">
        <v>39</v>
      </c>
      <c r="E1213" s="1" t="s">
        <v>3362</v>
      </c>
      <c r="F1213" s="1" t="s">
        <v>1020</v>
      </c>
      <c r="G1213" s="1" t="s">
        <v>1023</v>
      </c>
      <c r="H1213" s="1">
        <v>1</v>
      </c>
      <c r="I1213" s="1">
        <v>6</v>
      </c>
      <c r="J1213" s="1" t="s">
        <v>2839</v>
      </c>
      <c r="K1213" s="2">
        <v>239.22</v>
      </c>
      <c r="L1213" s="1">
        <v>9</v>
      </c>
      <c r="M1213" s="2">
        <v>239.22</v>
      </c>
      <c r="N1213" s="2">
        <v>21.53</v>
      </c>
      <c r="O1213" s="2">
        <v>217.69</v>
      </c>
      <c r="P1213" s="1">
        <v>91</v>
      </c>
      <c r="Q1213" s="2">
        <v>167.45</v>
      </c>
      <c r="R1213" s="2">
        <v>50.24</v>
      </c>
      <c r="S1213" s="1" t="s">
        <v>1016</v>
      </c>
      <c r="T1213" s="1" t="s">
        <v>1004</v>
      </c>
      <c r="U1213" s="1" t="s">
        <v>1004</v>
      </c>
    </row>
    <row r="1214" spans="1:21" x14ac:dyDescent="0.3">
      <c r="A1214" s="1" t="s">
        <v>2228</v>
      </c>
      <c r="B1214" s="1" t="s">
        <v>37</v>
      </c>
      <c r="C1214" s="1" t="s">
        <v>38</v>
      </c>
      <c r="D1214" s="1" t="s">
        <v>39</v>
      </c>
      <c r="E1214" s="1" t="s">
        <v>3363</v>
      </c>
      <c r="F1214" s="1" t="s">
        <v>1015</v>
      </c>
      <c r="G1214" s="1" t="s">
        <v>1010</v>
      </c>
      <c r="H1214" s="1">
        <v>9</v>
      </c>
      <c r="I1214" s="1">
        <v>1</v>
      </c>
      <c r="J1214" s="1" t="s">
        <v>3364</v>
      </c>
      <c r="K1214" s="2">
        <v>54.37</v>
      </c>
      <c r="L1214" s="1">
        <v>15</v>
      </c>
      <c r="M1214" s="2">
        <v>489.33</v>
      </c>
      <c r="N1214" s="2">
        <v>73.400000000000006</v>
      </c>
      <c r="O1214" s="2">
        <v>415.93</v>
      </c>
      <c r="P1214" s="1">
        <v>68</v>
      </c>
      <c r="Q1214" s="2">
        <v>38.06</v>
      </c>
      <c r="R1214" s="2">
        <v>73.39</v>
      </c>
      <c r="S1214" s="1" t="s">
        <v>1003</v>
      </c>
      <c r="T1214" s="1" t="s">
        <v>1004</v>
      </c>
      <c r="U1214" s="1" t="s">
        <v>1007</v>
      </c>
    </row>
    <row r="1215" spans="1:21" x14ac:dyDescent="0.3">
      <c r="A1215" s="1" t="s">
        <v>2229</v>
      </c>
      <c r="B1215" s="1" t="s">
        <v>69</v>
      </c>
      <c r="C1215" s="1" t="s">
        <v>70</v>
      </c>
      <c r="D1215" s="1" t="s">
        <v>59</v>
      </c>
      <c r="E1215" s="1" t="s">
        <v>3365</v>
      </c>
      <c r="F1215" s="1" t="s">
        <v>1015</v>
      </c>
      <c r="G1215" s="1" t="s">
        <v>1023</v>
      </c>
      <c r="H1215" s="1">
        <v>15</v>
      </c>
      <c r="I1215" s="1">
        <v>5</v>
      </c>
      <c r="J1215" s="1" t="s">
        <v>2804</v>
      </c>
      <c r="K1215" s="2">
        <v>63.18</v>
      </c>
      <c r="L1215" s="1">
        <v>20</v>
      </c>
      <c r="M1215" s="2">
        <v>947.7</v>
      </c>
      <c r="N1215" s="2">
        <v>189.54</v>
      </c>
      <c r="O1215" s="2">
        <v>758.16</v>
      </c>
      <c r="P1215" s="1">
        <v>236</v>
      </c>
      <c r="Q1215" s="2">
        <v>44.23</v>
      </c>
      <c r="R1215" s="2">
        <v>94.71</v>
      </c>
      <c r="S1215" s="1" t="s">
        <v>1016</v>
      </c>
      <c r="T1215" s="1" t="s">
        <v>1004</v>
      </c>
      <c r="U1215" s="1" t="s">
        <v>1004</v>
      </c>
    </row>
    <row r="1216" spans="1:21" x14ac:dyDescent="0.3">
      <c r="A1216" s="1" t="s">
        <v>2230</v>
      </c>
      <c r="B1216" s="1" t="s">
        <v>45</v>
      </c>
      <c r="C1216" s="1" t="s">
        <v>46</v>
      </c>
      <c r="D1216" s="1" t="s">
        <v>47</v>
      </c>
      <c r="E1216" s="1" t="s">
        <v>3366</v>
      </c>
      <c r="F1216" s="1" t="s">
        <v>1013</v>
      </c>
      <c r="G1216" s="1" t="s">
        <v>1023</v>
      </c>
      <c r="H1216" s="1">
        <v>2</v>
      </c>
      <c r="I1216" s="1">
        <v>1</v>
      </c>
      <c r="J1216" s="1" t="s">
        <v>2742</v>
      </c>
      <c r="K1216" s="2">
        <v>440.67</v>
      </c>
      <c r="L1216" s="1">
        <v>5</v>
      </c>
      <c r="M1216" s="2">
        <v>881.34</v>
      </c>
      <c r="N1216" s="2">
        <v>44.07</v>
      </c>
      <c r="O1216" s="2">
        <v>837.27</v>
      </c>
      <c r="P1216" s="1">
        <v>175</v>
      </c>
      <c r="Q1216" s="2">
        <v>308.47000000000003</v>
      </c>
      <c r="R1216" s="2">
        <v>220.33</v>
      </c>
      <c r="S1216" s="1" t="s">
        <v>1003</v>
      </c>
      <c r="T1216" s="1" t="s">
        <v>1004</v>
      </c>
      <c r="U1216" s="1" t="s">
        <v>1004</v>
      </c>
    </row>
    <row r="1217" spans="1:21" x14ac:dyDescent="0.3">
      <c r="A1217" s="1" t="s">
        <v>2231</v>
      </c>
      <c r="B1217" s="1" t="s">
        <v>37</v>
      </c>
      <c r="C1217" s="1" t="s">
        <v>38</v>
      </c>
      <c r="D1217" s="1" t="s">
        <v>39</v>
      </c>
      <c r="E1217" s="1" t="s">
        <v>3367</v>
      </c>
      <c r="F1217" s="1" t="s">
        <v>1027</v>
      </c>
      <c r="G1217" s="1" t="s">
        <v>1023</v>
      </c>
      <c r="H1217" s="1">
        <v>14</v>
      </c>
      <c r="I1217" s="1">
        <v>7</v>
      </c>
      <c r="J1217" s="1" t="s">
        <v>2575</v>
      </c>
      <c r="K1217" s="2">
        <v>378.48</v>
      </c>
      <c r="L1217" s="1">
        <v>22</v>
      </c>
      <c r="M1217" s="2">
        <v>5298.72</v>
      </c>
      <c r="N1217" s="2">
        <v>1165.72</v>
      </c>
      <c r="O1217" s="2">
        <v>4133</v>
      </c>
      <c r="P1217" s="1">
        <v>168</v>
      </c>
      <c r="Q1217" s="2">
        <v>264.94</v>
      </c>
      <c r="R1217" s="2">
        <v>423.84</v>
      </c>
      <c r="S1217" s="1" t="s">
        <v>1016</v>
      </c>
      <c r="T1217" s="1" t="s">
        <v>1004</v>
      </c>
      <c r="U1217" s="1" t="s">
        <v>1007</v>
      </c>
    </row>
    <row r="1218" spans="1:21" x14ac:dyDescent="0.3">
      <c r="A1218" s="1" t="s">
        <v>2232</v>
      </c>
      <c r="B1218" s="1" t="s">
        <v>45</v>
      </c>
      <c r="C1218" s="1" t="s">
        <v>46</v>
      </c>
      <c r="D1218" s="1" t="s">
        <v>47</v>
      </c>
      <c r="E1218" s="1" t="s">
        <v>3368</v>
      </c>
      <c r="F1218" s="1" t="s">
        <v>1013</v>
      </c>
      <c r="G1218" s="1" t="s">
        <v>1002</v>
      </c>
      <c r="H1218" s="1">
        <v>12</v>
      </c>
      <c r="I1218" s="1">
        <v>3</v>
      </c>
      <c r="J1218" s="1" t="s">
        <v>2870</v>
      </c>
      <c r="K1218" s="2">
        <v>411.68</v>
      </c>
      <c r="L1218" s="1">
        <v>2</v>
      </c>
      <c r="M1218" s="2">
        <v>4940.16</v>
      </c>
      <c r="N1218" s="2">
        <v>98.8</v>
      </c>
      <c r="O1218" s="2">
        <v>4841.3599999999997</v>
      </c>
      <c r="P1218" s="1">
        <v>230</v>
      </c>
      <c r="Q1218" s="2">
        <v>288.18</v>
      </c>
      <c r="R1218" s="2">
        <v>1383.2</v>
      </c>
      <c r="S1218" s="1" t="s">
        <v>1016</v>
      </c>
      <c r="T1218" s="1" t="s">
        <v>1004</v>
      </c>
      <c r="U1218" s="1" t="s">
        <v>1004</v>
      </c>
    </row>
    <row r="1219" spans="1:21" x14ac:dyDescent="0.3">
      <c r="A1219" s="1" t="s">
        <v>2233</v>
      </c>
      <c r="B1219" s="1" t="s">
        <v>69</v>
      </c>
      <c r="C1219" s="1" t="s">
        <v>70</v>
      </c>
      <c r="D1219" s="1" t="s">
        <v>59</v>
      </c>
      <c r="E1219" s="1" t="s">
        <v>3369</v>
      </c>
      <c r="F1219" s="1" t="s">
        <v>1027</v>
      </c>
      <c r="G1219" s="1" t="s">
        <v>1010</v>
      </c>
      <c r="H1219" s="1">
        <v>12</v>
      </c>
      <c r="I1219" s="1">
        <v>1</v>
      </c>
      <c r="J1219" s="1" t="s">
        <v>2531</v>
      </c>
      <c r="K1219" s="2">
        <v>247.41</v>
      </c>
      <c r="L1219" s="1">
        <v>5</v>
      </c>
      <c r="M1219" s="2">
        <v>2968.92</v>
      </c>
      <c r="N1219" s="2">
        <v>148.44999999999999</v>
      </c>
      <c r="O1219" s="2">
        <v>2820.47</v>
      </c>
      <c r="P1219" s="1">
        <v>231</v>
      </c>
      <c r="Q1219" s="2">
        <v>173.19</v>
      </c>
      <c r="R1219" s="2">
        <v>742.19</v>
      </c>
      <c r="S1219" s="1" t="s">
        <v>1016</v>
      </c>
      <c r="T1219" s="1" t="s">
        <v>1007</v>
      </c>
      <c r="U1219" s="1" t="s">
        <v>1004</v>
      </c>
    </row>
    <row r="1220" spans="1:21" x14ac:dyDescent="0.3">
      <c r="A1220" s="1" t="s">
        <v>2234</v>
      </c>
      <c r="B1220" s="1" t="s">
        <v>26</v>
      </c>
      <c r="C1220" s="1" t="s">
        <v>27</v>
      </c>
      <c r="D1220" s="1" t="s">
        <v>28</v>
      </c>
      <c r="E1220" s="1" t="s">
        <v>3370</v>
      </c>
      <c r="F1220" s="1" t="s">
        <v>1009</v>
      </c>
      <c r="G1220" s="1" t="s">
        <v>1023</v>
      </c>
      <c r="H1220" s="1">
        <v>11</v>
      </c>
      <c r="I1220" s="1">
        <v>1</v>
      </c>
      <c r="J1220" s="1" t="s">
        <v>2590</v>
      </c>
      <c r="K1220" s="2">
        <v>385.42</v>
      </c>
      <c r="L1220" s="1">
        <v>10</v>
      </c>
      <c r="M1220" s="2">
        <v>4239.62</v>
      </c>
      <c r="N1220" s="2">
        <v>423.96</v>
      </c>
      <c r="O1220" s="2">
        <v>3815.66</v>
      </c>
      <c r="P1220" s="1">
        <v>118</v>
      </c>
      <c r="Q1220" s="2">
        <v>269.79000000000002</v>
      </c>
      <c r="R1220" s="2">
        <v>847.97</v>
      </c>
      <c r="S1220" s="1" t="s">
        <v>1003</v>
      </c>
      <c r="T1220" s="1" t="s">
        <v>1007</v>
      </c>
      <c r="U1220" s="1" t="s">
        <v>1004</v>
      </c>
    </row>
    <row r="1221" spans="1:21" x14ac:dyDescent="0.3">
      <c r="A1221" s="1" t="s">
        <v>2235</v>
      </c>
      <c r="B1221" s="1" t="s">
        <v>37</v>
      </c>
      <c r="C1221" s="1" t="s">
        <v>38</v>
      </c>
      <c r="D1221" s="1" t="s">
        <v>39</v>
      </c>
      <c r="E1221" s="1" t="s">
        <v>3371</v>
      </c>
      <c r="F1221" s="1" t="s">
        <v>1001</v>
      </c>
      <c r="G1221" s="1" t="s">
        <v>1002</v>
      </c>
      <c r="H1221" s="1">
        <v>6</v>
      </c>
      <c r="I1221" s="1">
        <v>5</v>
      </c>
      <c r="J1221" s="1" t="s">
        <v>2688</v>
      </c>
      <c r="K1221" s="2">
        <v>497.57</v>
      </c>
      <c r="L1221" s="1">
        <v>18</v>
      </c>
      <c r="M1221" s="2">
        <v>2985.42</v>
      </c>
      <c r="N1221" s="2">
        <v>537.38</v>
      </c>
      <c r="O1221" s="2">
        <v>2448.04</v>
      </c>
      <c r="P1221" s="1">
        <v>136</v>
      </c>
      <c r="Q1221" s="2">
        <v>348.3</v>
      </c>
      <c r="R1221" s="2">
        <v>358.24</v>
      </c>
      <c r="S1221" s="1" t="s">
        <v>1011</v>
      </c>
      <c r="T1221" s="1" t="s">
        <v>1007</v>
      </c>
      <c r="U1221" s="1" t="s">
        <v>1007</v>
      </c>
    </row>
    <row r="1222" spans="1:21" x14ac:dyDescent="0.3">
      <c r="A1222" s="1" t="s">
        <v>2236</v>
      </c>
      <c r="B1222" s="1" t="s">
        <v>77</v>
      </c>
      <c r="C1222" s="1" t="s">
        <v>78</v>
      </c>
      <c r="D1222" s="1" t="s">
        <v>47</v>
      </c>
      <c r="E1222" s="1" t="s">
        <v>3372</v>
      </c>
      <c r="F1222" s="1" t="s">
        <v>1001</v>
      </c>
      <c r="G1222" s="1" t="s">
        <v>1002</v>
      </c>
      <c r="H1222" s="1">
        <v>15</v>
      </c>
      <c r="I1222" s="1">
        <v>7</v>
      </c>
      <c r="J1222" s="1" t="s">
        <v>2790</v>
      </c>
      <c r="K1222" s="2">
        <v>273.19</v>
      </c>
      <c r="L1222" s="1">
        <v>15</v>
      </c>
      <c r="M1222" s="2">
        <v>4097.8500000000004</v>
      </c>
      <c r="N1222" s="2">
        <v>614.67999999999995</v>
      </c>
      <c r="O1222" s="2">
        <v>3483.17</v>
      </c>
      <c r="P1222" s="1">
        <v>92</v>
      </c>
      <c r="Q1222" s="2">
        <v>191.23</v>
      </c>
      <c r="R1222" s="2">
        <v>614.72</v>
      </c>
      <c r="S1222" s="1" t="s">
        <v>1011</v>
      </c>
      <c r="T1222" s="1" t="s">
        <v>1007</v>
      </c>
      <c r="U1222" s="1" t="s">
        <v>1007</v>
      </c>
    </row>
    <row r="1223" spans="1:21" x14ac:dyDescent="0.3">
      <c r="A1223" s="1" t="s">
        <v>2237</v>
      </c>
      <c r="B1223" s="1" t="s">
        <v>52</v>
      </c>
      <c r="C1223" s="1" t="s">
        <v>53</v>
      </c>
      <c r="D1223" s="1" t="s">
        <v>47</v>
      </c>
      <c r="E1223" s="1" t="s">
        <v>3373</v>
      </c>
      <c r="F1223" s="1" t="s">
        <v>1013</v>
      </c>
      <c r="G1223" s="1" t="s">
        <v>1002</v>
      </c>
      <c r="H1223" s="1">
        <v>5</v>
      </c>
      <c r="I1223" s="1">
        <v>3</v>
      </c>
      <c r="J1223" s="1" t="s">
        <v>2560</v>
      </c>
      <c r="K1223" s="2">
        <v>240.81</v>
      </c>
      <c r="L1223" s="1">
        <v>17</v>
      </c>
      <c r="M1223" s="2">
        <v>1204.05</v>
      </c>
      <c r="N1223" s="2">
        <v>204.69</v>
      </c>
      <c r="O1223" s="2">
        <v>999.36</v>
      </c>
      <c r="P1223" s="1">
        <v>108</v>
      </c>
      <c r="Q1223" s="2">
        <v>168.57</v>
      </c>
      <c r="R1223" s="2">
        <v>156.51</v>
      </c>
      <c r="S1223" s="1" t="s">
        <v>1003</v>
      </c>
      <c r="T1223" s="1" t="s">
        <v>1007</v>
      </c>
      <c r="U1223" s="1" t="s">
        <v>1004</v>
      </c>
    </row>
    <row r="1224" spans="1:21" x14ac:dyDescent="0.3">
      <c r="A1224" s="1" t="s">
        <v>2238</v>
      </c>
      <c r="B1224" s="1" t="s">
        <v>83</v>
      </c>
      <c r="C1224" s="1" t="s">
        <v>84</v>
      </c>
      <c r="D1224" s="1" t="s">
        <v>85</v>
      </c>
      <c r="E1224" s="1" t="s">
        <v>3374</v>
      </c>
      <c r="F1224" s="1" t="s">
        <v>1006</v>
      </c>
      <c r="G1224" s="1" t="s">
        <v>1010</v>
      </c>
      <c r="H1224" s="1">
        <v>14</v>
      </c>
      <c r="I1224" s="1">
        <v>7</v>
      </c>
      <c r="J1224" s="1" t="s">
        <v>2884</v>
      </c>
      <c r="K1224" s="2">
        <v>312.44</v>
      </c>
      <c r="L1224" s="1">
        <v>2</v>
      </c>
      <c r="M1224" s="2">
        <v>4374.16</v>
      </c>
      <c r="N1224" s="2">
        <v>87.48</v>
      </c>
      <c r="O1224" s="2">
        <v>4286.68</v>
      </c>
      <c r="P1224" s="1">
        <v>293</v>
      </c>
      <c r="Q1224" s="2">
        <v>218.71</v>
      </c>
      <c r="R1224" s="2">
        <v>1224.74</v>
      </c>
      <c r="S1224" s="1" t="s">
        <v>1016</v>
      </c>
      <c r="T1224" s="1" t="s">
        <v>1007</v>
      </c>
      <c r="U1224" s="1" t="s">
        <v>1004</v>
      </c>
    </row>
    <row r="1225" spans="1:21" x14ac:dyDescent="0.3">
      <c r="A1225" s="1" t="s">
        <v>2239</v>
      </c>
      <c r="B1225" s="1" t="s">
        <v>189</v>
      </c>
      <c r="C1225" s="1" t="s">
        <v>190</v>
      </c>
      <c r="D1225" s="1" t="s">
        <v>59</v>
      </c>
      <c r="E1225" s="1" t="s">
        <v>3375</v>
      </c>
      <c r="F1225" s="1" t="s">
        <v>1006</v>
      </c>
      <c r="G1225" s="1" t="s">
        <v>1010</v>
      </c>
      <c r="H1225" s="1">
        <v>1</v>
      </c>
      <c r="I1225" s="1">
        <v>3</v>
      </c>
      <c r="J1225" s="1" t="s">
        <v>2740</v>
      </c>
      <c r="K1225" s="2">
        <v>274.73</v>
      </c>
      <c r="L1225" s="1">
        <v>24</v>
      </c>
      <c r="M1225" s="2">
        <v>274.73</v>
      </c>
      <c r="N1225" s="2">
        <v>65.94</v>
      </c>
      <c r="O1225" s="2">
        <v>208.79</v>
      </c>
      <c r="P1225" s="1">
        <v>148</v>
      </c>
      <c r="Q1225" s="2">
        <v>192.31</v>
      </c>
      <c r="R1225" s="2">
        <v>16.48</v>
      </c>
      <c r="S1225" s="1" t="s">
        <v>1011</v>
      </c>
      <c r="T1225" s="1" t="s">
        <v>1004</v>
      </c>
      <c r="U1225" s="1" t="s">
        <v>1007</v>
      </c>
    </row>
    <row r="1226" spans="1:21" x14ac:dyDescent="0.3">
      <c r="A1226" s="1" t="s">
        <v>2240</v>
      </c>
      <c r="B1226" s="1" t="s">
        <v>176</v>
      </c>
      <c r="C1226" s="1" t="s">
        <v>177</v>
      </c>
      <c r="D1226" s="1" t="s">
        <v>39</v>
      </c>
      <c r="E1226" s="1" t="s">
        <v>3376</v>
      </c>
      <c r="F1226" s="1" t="s">
        <v>1015</v>
      </c>
      <c r="G1226" s="1" t="s">
        <v>1010</v>
      </c>
      <c r="H1226" s="1">
        <v>15</v>
      </c>
      <c r="I1226" s="1">
        <v>5</v>
      </c>
      <c r="J1226" s="1" t="s">
        <v>2791</v>
      </c>
      <c r="K1226" s="2">
        <v>263.02</v>
      </c>
      <c r="L1226" s="1">
        <v>12</v>
      </c>
      <c r="M1226" s="2">
        <v>3945.3</v>
      </c>
      <c r="N1226" s="2">
        <v>473.44</v>
      </c>
      <c r="O1226" s="2">
        <v>3471.86</v>
      </c>
      <c r="P1226" s="1">
        <v>167</v>
      </c>
      <c r="Q1226" s="2">
        <v>184.11</v>
      </c>
      <c r="R1226" s="2">
        <v>710.21</v>
      </c>
      <c r="S1226" s="1" t="s">
        <v>1016</v>
      </c>
      <c r="T1226" s="1" t="s">
        <v>1007</v>
      </c>
      <c r="U1226" s="1" t="s">
        <v>1007</v>
      </c>
    </row>
    <row r="1227" spans="1:21" x14ac:dyDescent="0.3">
      <c r="A1227" s="1" t="s">
        <v>2241</v>
      </c>
      <c r="B1227" s="1" t="s">
        <v>107</v>
      </c>
      <c r="C1227" s="1" t="s">
        <v>108</v>
      </c>
      <c r="D1227" s="1" t="s">
        <v>39</v>
      </c>
      <c r="E1227" s="1" t="s">
        <v>3377</v>
      </c>
      <c r="F1227" s="1" t="s">
        <v>1001</v>
      </c>
      <c r="G1227" s="1" t="s">
        <v>1002</v>
      </c>
      <c r="H1227" s="1">
        <v>4</v>
      </c>
      <c r="I1227" s="1">
        <v>2</v>
      </c>
      <c r="J1227" s="1" t="s">
        <v>2638</v>
      </c>
      <c r="K1227" s="2">
        <v>171.51</v>
      </c>
      <c r="L1227" s="1">
        <v>2</v>
      </c>
      <c r="M1227" s="2">
        <v>686.04</v>
      </c>
      <c r="N1227" s="2">
        <v>13.72</v>
      </c>
      <c r="O1227" s="2">
        <v>672.32</v>
      </c>
      <c r="P1227" s="1">
        <v>144</v>
      </c>
      <c r="Q1227" s="2">
        <v>120.06</v>
      </c>
      <c r="R1227" s="2">
        <v>192.08</v>
      </c>
      <c r="S1227" s="1" t="s">
        <v>1011</v>
      </c>
      <c r="T1227" s="1" t="s">
        <v>1007</v>
      </c>
      <c r="U1227" s="1" t="s">
        <v>1004</v>
      </c>
    </row>
    <row r="1228" spans="1:21" x14ac:dyDescent="0.3">
      <c r="A1228" s="1" t="s">
        <v>2242</v>
      </c>
      <c r="B1228" s="1" t="s">
        <v>111</v>
      </c>
      <c r="C1228" s="1" t="s">
        <v>112</v>
      </c>
      <c r="D1228" s="1" t="s">
        <v>97</v>
      </c>
      <c r="E1228" s="1" t="s">
        <v>3378</v>
      </c>
      <c r="F1228" s="1" t="s">
        <v>1001</v>
      </c>
      <c r="G1228" s="1" t="s">
        <v>1010</v>
      </c>
      <c r="H1228" s="1">
        <v>15</v>
      </c>
      <c r="I1228" s="1">
        <v>7</v>
      </c>
      <c r="J1228" s="1" t="s">
        <v>2768</v>
      </c>
      <c r="K1228" s="2">
        <v>379.11</v>
      </c>
      <c r="L1228" s="1">
        <v>13</v>
      </c>
      <c r="M1228" s="2">
        <v>5686.65</v>
      </c>
      <c r="N1228" s="2">
        <v>739.26</v>
      </c>
      <c r="O1228" s="2">
        <v>4947.3900000000003</v>
      </c>
      <c r="P1228" s="1">
        <v>69</v>
      </c>
      <c r="Q1228" s="2">
        <v>265.38</v>
      </c>
      <c r="R1228" s="2">
        <v>966.69</v>
      </c>
      <c r="S1228" s="1" t="s">
        <v>1016</v>
      </c>
      <c r="T1228" s="1" t="s">
        <v>1004</v>
      </c>
      <c r="U1228" s="1" t="s">
        <v>1004</v>
      </c>
    </row>
    <row r="1229" spans="1:21" x14ac:dyDescent="0.3">
      <c r="A1229" s="1" t="s">
        <v>2243</v>
      </c>
      <c r="B1229" s="1" t="s">
        <v>111</v>
      </c>
      <c r="C1229" s="1" t="s">
        <v>112</v>
      </c>
      <c r="D1229" s="1" t="s">
        <v>97</v>
      </c>
      <c r="E1229" s="1" t="s">
        <v>3379</v>
      </c>
      <c r="F1229" s="1" t="s">
        <v>1020</v>
      </c>
      <c r="G1229" s="1" t="s">
        <v>1010</v>
      </c>
      <c r="H1229" s="1">
        <v>1</v>
      </c>
      <c r="I1229" s="1">
        <v>1</v>
      </c>
      <c r="J1229" s="1" t="s">
        <v>2517</v>
      </c>
      <c r="K1229" s="2">
        <v>499.77</v>
      </c>
      <c r="L1229" s="1">
        <v>22</v>
      </c>
      <c r="M1229" s="2">
        <v>499.77</v>
      </c>
      <c r="N1229" s="2">
        <v>109.95</v>
      </c>
      <c r="O1229" s="2">
        <v>389.82</v>
      </c>
      <c r="P1229" s="1">
        <v>256</v>
      </c>
      <c r="Q1229" s="2">
        <v>349.84</v>
      </c>
      <c r="R1229" s="2">
        <v>39.979999999999997</v>
      </c>
      <c r="S1229" s="1" t="s">
        <v>1011</v>
      </c>
      <c r="T1229" s="1" t="s">
        <v>1007</v>
      </c>
      <c r="U1229" s="1" t="s">
        <v>1007</v>
      </c>
    </row>
    <row r="1230" spans="1:21" x14ac:dyDescent="0.3">
      <c r="A1230" s="1" t="s">
        <v>2244</v>
      </c>
      <c r="B1230" s="1" t="s">
        <v>237</v>
      </c>
      <c r="C1230" s="1" t="s">
        <v>238</v>
      </c>
      <c r="D1230" s="1" t="s">
        <v>85</v>
      </c>
      <c r="E1230" s="1" t="s">
        <v>3380</v>
      </c>
      <c r="F1230" s="1" t="s">
        <v>1009</v>
      </c>
      <c r="G1230" s="1" t="s">
        <v>1010</v>
      </c>
      <c r="H1230" s="1">
        <v>10</v>
      </c>
      <c r="I1230" s="1">
        <v>2</v>
      </c>
      <c r="J1230" s="1" t="s">
        <v>2671</v>
      </c>
      <c r="K1230" s="2">
        <v>331.7</v>
      </c>
      <c r="L1230" s="1">
        <v>8</v>
      </c>
      <c r="M1230" s="2">
        <v>3317</v>
      </c>
      <c r="N1230" s="2">
        <v>265.36</v>
      </c>
      <c r="O1230" s="2">
        <v>3051.64</v>
      </c>
      <c r="P1230" s="1">
        <v>179</v>
      </c>
      <c r="Q1230" s="2">
        <v>232.19</v>
      </c>
      <c r="R1230" s="2">
        <v>729.74</v>
      </c>
      <c r="S1230" s="1" t="s">
        <v>1016</v>
      </c>
      <c r="T1230" s="1" t="s">
        <v>1004</v>
      </c>
      <c r="U1230" s="1" t="s">
        <v>1004</v>
      </c>
    </row>
    <row r="1231" spans="1:21" x14ac:dyDescent="0.3">
      <c r="A1231" s="1" t="s">
        <v>2245</v>
      </c>
      <c r="B1231" s="1" t="s">
        <v>63</v>
      </c>
      <c r="C1231" s="1" t="s">
        <v>64</v>
      </c>
      <c r="D1231" s="1" t="s">
        <v>28</v>
      </c>
      <c r="E1231" s="1" t="s">
        <v>3381</v>
      </c>
      <c r="F1231" s="1" t="s">
        <v>1020</v>
      </c>
      <c r="G1231" s="1" t="s">
        <v>1002</v>
      </c>
      <c r="H1231" s="1">
        <v>11</v>
      </c>
      <c r="I1231" s="1">
        <v>2</v>
      </c>
      <c r="J1231" s="1" t="s">
        <v>2732</v>
      </c>
      <c r="K1231" s="2">
        <v>265.26</v>
      </c>
      <c r="L1231" s="1">
        <v>3</v>
      </c>
      <c r="M1231" s="2">
        <v>2917.86</v>
      </c>
      <c r="N1231" s="2">
        <v>87.54</v>
      </c>
      <c r="O1231" s="2">
        <v>2830.32</v>
      </c>
      <c r="P1231" s="1">
        <v>155</v>
      </c>
      <c r="Q1231" s="2">
        <v>185.68</v>
      </c>
      <c r="R1231" s="2">
        <v>787.84</v>
      </c>
      <c r="S1231" s="1" t="s">
        <v>1011</v>
      </c>
      <c r="T1231" s="1" t="s">
        <v>1007</v>
      </c>
      <c r="U1231" s="1" t="s">
        <v>1004</v>
      </c>
    </row>
    <row r="1232" spans="1:21" x14ac:dyDescent="0.3">
      <c r="A1232" s="1" t="s">
        <v>2246</v>
      </c>
      <c r="B1232" s="1" t="s">
        <v>102</v>
      </c>
      <c r="C1232" s="1" t="s">
        <v>103</v>
      </c>
      <c r="D1232" s="1" t="s">
        <v>104</v>
      </c>
      <c r="E1232" s="1" t="s">
        <v>3382</v>
      </c>
      <c r="F1232" s="1" t="s">
        <v>1027</v>
      </c>
      <c r="G1232" s="1" t="s">
        <v>1023</v>
      </c>
      <c r="H1232" s="1">
        <v>11</v>
      </c>
      <c r="I1232" s="1">
        <v>7</v>
      </c>
      <c r="J1232" s="1" t="s">
        <v>2916</v>
      </c>
      <c r="K1232" s="2">
        <v>474.33</v>
      </c>
      <c r="L1232" s="1">
        <v>22</v>
      </c>
      <c r="M1232" s="2">
        <v>5217.63</v>
      </c>
      <c r="N1232" s="2">
        <v>1147.8800000000001</v>
      </c>
      <c r="O1232" s="2">
        <v>4069.75</v>
      </c>
      <c r="P1232" s="1">
        <v>76</v>
      </c>
      <c r="Q1232" s="2">
        <v>332.03</v>
      </c>
      <c r="R1232" s="2">
        <v>417.42</v>
      </c>
      <c r="S1232" s="1" t="s">
        <v>1003</v>
      </c>
      <c r="T1232" s="1" t="s">
        <v>1004</v>
      </c>
      <c r="U1232" s="1" t="s">
        <v>1004</v>
      </c>
    </row>
    <row r="1233" spans="1:21" x14ac:dyDescent="0.3">
      <c r="A1233" s="1" t="s">
        <v>2247</v>
      </c>
      <c r="B1233" s="1" t="s">
        <v>45</v>
      </c>
      <c r="C1233" s="1" t="s">
        <v>46</v>
      </c>
      <c r="D1233" s="1" t="s">
        <v>47</v>
      </c>
      <c r="E1233" s="1" t="s">
        <v>3383</v>
      </c>
      <c r="F1233" s="1" t="s">
        <v>1009</v>
      </c>
      <c r="G1233" s="1" t="s">
        <v>1002</v>
      </c>
      <c r="H1233" s="1">
        <v>11</v>
      </c>
      <c r="I1233" s="1">
        <v>4</v>
      </c>
      <c r="J1233" s="1" t="s">
        <v>2564</v>
      </c>
      <c r="K1233" s="2">
        <v>354.11</v>
      </c>
      <c r="L1233" s="1">
        <v>7</v>
      </c>
      <c r="M1233" s="2">
        <v>3895.21</v>
      </c>
      <c r="N1233" s="2">
        <v>272.66000000000003</v>
      </c>
      <c r="O1233" s="2">
        <v>3622.55</v>
      </c>
      <c r="P1233" s="1">
        <v>70</v>
      </c>
      <c r="Q1233" s="2">
        <v>247.88</v>
      </c>
      <c r="R1233" s="2">
        <v>895.87</v>
      </c>
      <c r="S1233" s="1" t="s">
        <v>1003</v>
      </c>
      <c r="T1233" s="1" t="s">
        <v>1004</v>
      </c>
      <c r="U1233" s="1" t="s">
        <v>1007</v>
      </c>
    </row>
    <row r="1234" spans="1:21" x14ac:dyDescent="0.3">
      <c r="A1234" s="1" t="s">
        <v>2248</v>
      </c>
      <c r="B1234" s="1" t="s">
        <v>77</v>
      </c>
      <c r="C1234" s="1" t="s">
        <v>78</v>
      </c>
      <c r="D1234" s="1" t="s">
        <v>47</v>
      </c>
      <c r="E1234" s="1" t="s">
        <v>3384</v>
      </c>
      <c r="F1234" s="1" t="s">
        <v>1015</v>
      </c>
      <c r="G1234" s="1" t="s">
        <v>1010</v>
      </c>
      <c r="H1234" s="1">
        <v>9</v>
      </c>
      <c r="I1234" s="1">
        <v>6</v>
      </c>
      <c r="J1234" s="1" t="s">
        <v>2844</v>
      </c>
      <c r="K1234" s="2">
        <v>425.76</v>
      </c>
      <c r="L1234" s="1">
        <v>20</v>
      </c>
      <c r="M1234" s="2">
        <v>3831.84</v>
      </c>
      <c r="N1234" s="2">
        <v>766.37</v>
      </c>
      <c r="O1234" s="2">
        <v>3065.47</v>
      </c>
      <c r="P1234" s="1">
        <v>246</v>
      </c>
      <c r="Q1234" s="2">
        <v>298.02999999999997</v>
      </c>
      <c r="R1234" s="2">
        <v>383.2</v>
      </c>
      <c r="S1234" s="1" t="s">
        <v>1016</v>
      </c>
      <c r="T1234" s="1" t="s">
        <v>1004</v>
      </c>
      <c r="U1234" s="1" t="s">
        <v>1007</v>
      </c>
    </row>
    <row r="1235" spans="1:21" x14ac:dyDescent="0.3">
      <c r="A1235" s="1" t="s">
        <v>2249</v>
      </c>
      <c r="B1235" s="1" t="s">
        <v>102</v>
      </c>
      <c r="C1235" s="1" t="s">
        <v>103</v>
      </c>
      <c r="D1235" s="1" t="s">
        <v>104</v>
      </c>
      <c r="E1235" s="1" t="s">
        <v>3385</v>
      </c>
      <c r="F1235" s="1" t="s">
        <v>1013</v>
      </c>
      <c r="G1235" s="1" t="s">
        <v>1010</v>
      </c>
      <c r="H1235" s="1">
        <v>8</v>
      </c>
      <c r="I1235" s="1">
        <v>5</v>
      </c>
      <c r="J1235" s="1" t="s">
        <v>2882</v>
      </c>
      <c r="K1235" s="2">
        <v>128.82</v>
      </c>
      <c r="L1235" s="1">
        <v>12</v>
      </c>
      <c r="M1235" s="2">
        <v>1030.56</v>
      </c>
      <c r="N1235" s="2">
        <v>123.67</v>
      </c>
      <c r="O1235" s="2">
        <v>906.89</v>
      </c>
      <c r="P1235" s="1">
        <v>60</v>
      </c>
      <c r="Q1235" s="2">
        <v>90.17</v>
      </c>
      <c r="R1235" s="2">
        <v>185.53</v>
      </c>
      <c r="S1235" s="1" t="s">
        <v>1011</v>
      </c>
      <c r="T1235" s="1" t="s">
        <v>1007</v>
      </c>
      <c r="U1235" s="1" t="s">
        <v>1007</v>
      </c>
    </row>
    <row r="1236" spans="1:21" x14ac:dyDescent="0.3">
      <c r="A1236" s="1" t="s">
        <v>2250</v>
      </c>
      <c r="B1236" s="1" t="s">
        <v>176</v>
      </c>
      <c r="C1236" s="1" t="s">
        <v>177</v>
      </c>
      <c r="D1236" s="1" t="s">
        <v>39</v>
      </c>
      <c r="E1236" s="1" t="s">
        <v>3386</v>
      </c>
      <c r="F1236" s="1" t="s">
        <v>1027</v>
      </c>
      <c r="G1236" s="1" t="s">
        <v>1002</v>
      </c>
      <c r="H1236" s="1">
        <v>15</v>
      </c>
      <c r="I1236" s="1">
        <v>1</v>
      </c>
      <c r="J1236" s="1" t="s">
        <v>2679</v>
      </c>
      <c r="K1236" s="2">
        <v>218.13</v>
      </c>
      <c r="L1236" s="1">
        <v>21</v>
      </c>
      <c r="M1236" s="2">
        <v>3271.95</v>
      </c>
      <c r="N1236" s="2">
        <v>687.11</v>
      </c>
      <c r="O1236" s="2">
        <v>2584.84</v>
      </c>
      <c r="P1236" s="1">
        <v>115</v>
      </c>
      <c r="Q1236" s="2">
        <v>152.69</v>
      </c>
      <c r="R1236" s="2">
        <v>294.49</v>
      </c>
      <c r="S1236" s="1" t="s">
        <v>1011</v>
      </c>
      <c r="T1236" s="1" t="s">
        <v>1007</v>
      </c>
      <c r="U1236" s="1" t="s">
        <v>1004</v>
      </c>
    </row>
    <row r="1237" spans="1:21" x14ac:dyDescent="0.3">
      <c r="A1237" s="1" t="s">
        <v>2251</v>
      </c>
      <c r="B1237" s="1" t="s">
        <v>52</v>
      </c>
      <c r="C1237" s="1" t="s">
        <v>53</v>
      </c>
      <c r="D1237" s="1" t="s">
        <v>47</v>
      </c>
      <c r="E1237" s="1" t="s">
        <v>3387</v>
      </c>
      <c r="F1237" s="1" t="s">
        <v>1013</v>
      </c>
      <c r="G1237" s="1" t="s">
        <v>1010</v>
      </c>
      <c r="H1237" s="1">
        <v>13</v>
      </c>
      <c r="I1237" s="1">
        <v>5</v>
      </c>
      <c r="J1237" s="1" t="s">
        <v>2943</v>
      </c>
      <c r="K1237" s="2">
        <v>236.04</v>
      </c>
      <c r="L1237" s="1">
        <v>23</v>
      </c>
      <c r="M1237" s="2">
        <v>3068.52</v>
      </c>
      <c r="N1237" s="2">
        <v>705.76</v>
      </c>
      <c r="O1237" s="2">
        <v>2362.7600000000002</v>
      </c>
      <c r="P1237" s="1">
        <v>271</v>
      </c>
      <c r="Q1237" s="2">
        <v>165.23</v>
      </c>
      <c r="R1237" s="2">
        <v>214.77</v>
      </c>
      <c r="S1237" s="1" t="s">
        <v>1003</v>
      </c>
      <c r="T1237" s="1" t="s">
        <v>1004</v>
      </c>
      <c r="U1237" s="1" t="s">
        <v>1004</v>
      </c>
    </row>
    <row r="1238" spans="1:21" x14ac:dyDescent="0.3">
      <c r="A1238" s="1" t="s">
        <v>2252</v>
      </c>
      <c r="B1238" s="1" t="s">
        <v>72</v>
      </c>
      <c r="C1238" s="1" t="s">
        <v>73</v>
      </c>
      <c r="D1238" s="1" t="s">
        <v>47</v>
      </c>
      <c r="E1238" s="1" t="s">
        <v>3388</v>
      </c>
      <c r="F1238" s="1" t="s">
        <v>1013</v>
      </c>
      <c r="G1238" s="1" t="s">
        <v>1010</v>
      </c>
      <c r="H1238" s="1">
        <v>15</v>
      </c>
      <c r="I1238" s="1">
        <v>4</v>
      </c>
      <c r="J1238" s="1" t="s">
        <v>2609</v>
      </c>
      <c r="K1238" s="2">
        <v>435.12</v>
      </c>
      <c r="L1238" s="1">
        <v>15</v>
      </c>
      <c r="M1238" s="2">
        <v>6526.8</v>
      </c>
      <c r="N1238" s="2">
        <v>979.02</v>
      </c>
      <c r="O1238" s="2">
        <v>5547.78</v>
      </c>
      <c r="P1238" s="1">
        <v>263</v>
      </c>
      <c r="Q1238" s="2">
        <v>304.58</v>
      </c>
      <c r="R1238" s="2">
        <v>979.08</v>
      </c>
      <c r="S1238" s="1" t="s">
        <v>1016</v>
      </c>
      <c r="T1238" s="1" t="s">
        <v>1007</v>
      </c>
      <c r="U1238" s="1" t="s">
        <v>1007</v>
      </c>
    </row>
    <row r="1239" spans="1:21" x14ac:dyDescent="0.3">
      <c r="A1239" s="1" t="s">
        <v>2253</v>
      </c>
      <c r="B1239" s="1" t="s">
        <v>176</v>
      </c>
      <c r="C1239" s="1" t="s">
        <v>177</v>
      </c>
      <c r="D1239" s="1" t="s">
        <v>39</v>
      </c>
      <c r="E1239" s="1" t="s">
        <v>3389</v>
      </c>
      <c r="F1239" s="1" t="s">
        <v>1020</v>
      </c>
      <c r="G1239" s="1" t="s">
        <v>1010</v>
      </c>
      <c r="H1239" s="1">
        <v>14</v>
      </c>
      <c r="I1239" s="1">
        <v>7</v>
      </c>
      <c r="J1239" s="1" t="s">
        <v>2770</v>
      </c>
      <c r="K1239" s="2">
        <v>98.09</v>
      </c>
      <c r="L1239" s="1">
        <v>14</v>
      </c>
      <c r="M1239" s="2">
        <v>1373.26</v>
      </c>
      <c r="N1239" s="2">
        <v>192.26</v>
      </c>
      <c r="O1239" s="2">
        <v>1181</v>
      </c>
      <c r="P1239" s="1">
        <v>158</v>
      </c>
      <c r="Q1239" s="2">
        <v>68.66</v>
      </c>
      <c r="R1239" s="2">
        <v>219.76</v>
      </c>
      <c r="S1239" s="1" t="s">
        <v>1003</v>
      </c>
      <c r="T1239" s="1" t="s">
        <v>1007</v>
      </c>
      <c r="U1239" s="1" t="s">
        <v>1004</v>
      </c>
    </row>
    <row r="1240" spans="1:21" x14ac:dyDescent="0.3">
      <c r="A1240" s="1" t="s">
        <v>2254</v>
      </c>
      <c r="B1240" s="1" t="s">
        <v>95</v>
      </c>
      <c r="C1240" s="1" t="s">
        <v>96</v>
      </c>
      <c r="D1240" s="1" t="s">
        <v>97</v>
      </c>
      <c r="E1240" s="1" t="s">
        <v>3390</v>
      </c>
      <c r="F1240" s="1" t="s">
        <v>1001</v>
      </c>
      <c r="G1240" s="1" t="s">
        <v>1002</v>
      </c>
      <c r="H1240" s="1">
        <v>1</v>
      </c>
      <c r="I1240" s="1">
        <v>1</v>
      </c>
      <c r="J1240" s="1" t="s">
        <v>2546</v>
      </c>
      <c r="K1240" s="2">
        <v>93.85</v>
      </c>
      <c r="L1240" s="1">
        <v>2</v>
      </c>
      <c r="M1240" s="2">
        <v>93.85</v>
      </c>
      <c r="N1240" s="2">
        <v>1.88</v>
      </c>
      <c r="O1240" s="2">
        <v>91.97</v>
      </c>
      <c r="P1240" s="1">
        <v>259</v>
      </c>
      <c r="Q1240" s="2">
        <v>65.69</v>
      </c>
      <c r="R1240" s="2">
        <v>26.28</v>
      </c>
      <c r="S1240" s="1" t="s">
        <v>1003</v>
      </c>
      <c r="T1240" s="1" t="s">
        <v>1004</v>
      </c>
      <c r="U1240" s="1" t="s">
        <v>1004</v>
      </c>
    </row>
    <row r="1241" spans="1:21" x14ac:dyDescent="0.3">
      <c r="A1241" s="1" t="s">
        <v>2255</v>
      </c>
      <c r="B1241" s="1" t="s">
        <v>237</v>
      </c>
      <c r="C1241" s="1" t="s">
        <v>238</v>
      </c>
      <c r="D1241" s="1" t="s">
        <v>85</v>
      </c>
      <c r="E1241" s="1" t="s">
        <v>3391</v>
      </c>
      <c r="F1241" s="1" t="s">
        <v>1001</v>
      </c>
      <c r="G1241" s="1" t="s">
        <v>1002</v>
      </c>
      <c r="H1241" s="1">
        <v>2</v>
      </c>
      <c r="I1241" s="1">
        <v>3</v>
      </c>
      <c r="J1241" s="1" t="s">
        <v>2649</v>
      </c>
      <c r="K1241" s="2">
        <v>69.22</v>
      </c>
      <c r="L1241" s="1">
        <v>15</v>
      </c>
      <c r="M1241" s="2">
        <v>138.44</v>
      </c>
      <c r="N1241" s="2">
        <v>20.77</v>
      </c>
      <c r="O1241" s="2">
        <v>117.67</v>
      </c>
      <c r="P1241" s="1">
        <v>193</v>
      </c>
      <c r="Q1241" s="2">
        <v>48.45</v>
      </c>
      <c r="R1241" s="2">
        <v>20.77</v>
      </c>
      <c r="S1241" s="1" t="s">
        <v>1011</v>
      </c>
      <c r="T1241" s="1" t="s">
        <v>1004</v>
      </c>
      <c r="U1241" s="1" t="s">
        <v>1007</v>
      </c>
    </row>
    <row r="1242" spans="1:21" x14ac:dyDescent="0.3">
      <c r="A1242" s="1" t="s">
        <v>2256</v>
      </c>
      <c r="B1242" s="1" t="s">
        <v>77</v>
      </c>
      <c r="C1242" s="1" t="s">
        <v>78</v>
      </c>
      <c r="D1242" s="1" t="s">
        <v>47</v>
      </c>
      <c r="E1242" s="1" t="s">
        <v>3392</v>
      </c>
      <c r="F1242" s="1" t="s">
        <v>1009</v>
      </c>
      <c r="G1242" s="1" t="s">
        <v>1010</v>
      </c>
      <c r="H1242" s="1">
        <v>6</v>
      </c>
      <c r="I1242" s="1">
        <v>4</v>
      </c>
      <c r="J1242" s="1" t="s">
        <v>2546</v>
      </c>
      <c r="K1242" s="2">
        <v>484.59</v>
      </c>
      <c r="L1242" s="1">
        <v>16</v>
      </c>
      <c r="M1242" s="2">
        <v>2907.54</v>
      </c>
      <c r="N1242" s="2">
        <v>465.21</v>
      </c>
      <c r="O1242" s="2">
        <v>2442.33</v>
      </c>
      <c r="P1242" s="1">
        <v>145</v>
      </c>
      <c r="Q1242" s="2">
        <v>339.21</v>
      </c>
      <c r="R1242" s="2">
        <v>407.07</v>
      </c>
      <c r="S1242" s="1" t="s">
        <v>1016</v>
      </c>
      <c r="T1242" s="1" t="s">
        <v>1007</v>
      </c>
      <c r="U1242" s="1" t="s">
        <v>1007</v>
      </c>
    </row>
    <row r="1243" spans="1:21" x14ac:dyDescent="0.3">
      <c r="A1243" s="1" t="s">
        <v>2257</v>
      </c>
      <c r="B1243" s="1" t="s">
        <v>69</v>
      </c>
      <c r="C1243" s="1" t="s">
        <v>70</v>
      </c>
      <c r="D1243" s="1" t="s">
        <v>59</v>
      </c>
      <c r="E1243" s="1" t="s">
        <v>3393</v>
      </c>
      <c r="F1243" s="1" t="s">
        <v>1015</v>
      </c>
      <c r="G1243" s="1" t="s">
        <v>1002</v>
      </c>
      <c r="H1243" s="1">
        <v>12</v>
      </c>
      <c r="I1243" s="1">
        <v>1</v>
      </c>
      <c r="J1243" s="1" t="s">
        <v>2778</v>
      </c>
      <c r="K1243" s="2">
        <v>171.71</v>
      </c>
      <c r="L1243" s="1">
        <v>13</v>
      </c>
      <c r="M1243" s="2">
        <v>2060.52</v>
      </c>
      <c r="N1243" s="2">
        <v>267.87</v>
      </c>
      <c r="O1243" s="2">
        <v>1792.65</v>
      </c>
      <c r="P1243" s="1">
        <v>279</v>
      </c>
      <c r="Q1243" s="2">
        <v>120.2</v>
      </c>
      <c r="R1243" s="2">
        <v>350.25</v>
      </c>
      <c r="S1243" s="1" t="s">
        <v>1003</v>
      </c>
      <c r="T1243" s="1" t="s">
        <v>1004</v>
      </c>
      <c r="U1243" s="1" t="s">
        <v>1007</v>
      </c>
    </row>
    <row r="1244" spans="1:21" x14ac:dyDescent="0.3">
      <c r="A1244" s="1" t="s">
        <v>2258</v>
      </c>
      <c r="B1244" s="1" t="s">
        <v>111</v>
      </c>
      <c r="C1244" s="1" t="s">
        <v>112</v>
      </c>
      <c r="D1244" s="1" t="s">
        <v>97</v>
      </c>
      <c r="E1244" s="1" t="s">
        <v>3394</v>
      </c>
      <c r="F1244" s="1" t="s">
        <v>1006</v>
      </c>
      <c r="G1244" s="1" t="s">
        <v>1010</v>
      </c>
      <c r="H1244" s="1">
        <v>3</v>
      </c>
      <c r="I1244" s="1">
        <v>4</v>
      </c>
      <c r="J1244" s="1" t="s">
        <v>2608</v>
      </c>
      <c r="K1244" s="2">
        <v>219.79</v>
      </c>
      <c r="L1244" s="1">
        <v>21</v>
      </c>
      <c r="M1244" s="2">
        <v>659.37</v>
      </c>
      <c r="N1244" s="2">
        <v>138.47</v>
      </c>
      <c r="O1244" s="2">
        <v>520.9</v>
      </c>
      <c r="P1244" s="1">
        <v>256</v>
      </c>
      <c r="Q1244" s="2">
        <v>153.85</v>
      </c>
      <c r="R1244" s="2">
        <v>59.35</v>
      </c>
      <c r="S1244" s="1" t="s">
        <v>1011</v>
      </c>
      <c r="T1244" s="1" t="s">
        <v>1004</v>
      </c>
      <c r="U1244" s="1" t="s">
        <v>1007</v>
      </c>
    </row>
    <row r="1245" spans="1:21" x14ac:dyDescent="0.3">
      <c r="A1245" s="1" t="s">
        <v>2259</v>
      </c>
      <c r="B1245" s="1" t="s">
        <v>123</v>
      </c>
      <c r="C1245" s="1" t="s">
        <v>124</v>
      </c>
      <c r="D1245" s="1" t="s">
        <v>47</v>
      </c>
      <c r="E1245" s="1" t="s">
        <v>3395</v>
      </c>
      <c r="F1245" s="1" t="s">
        <v>1015</v>
      </c>
      <c r="G1245" s="1" t="s">
        <v>1010</v>
      </c>
      <c r="H1245" s="1">
        <v>1</v>
      </c>
      <c r="I1245" s="1">
        <v>5</v>
      </c>
      <c r="J1245" s="1" t="s">
        <v>3396</v>
      </c>
      <c r="K1245" s="2">
        <v>238.24</v>
      </c>
      <c r="L1245" s="1">
        <v>7</v>
      </c>
      <c r="M1245" s="2">
        <v>238.24</v>
      </c>
      <c r="N1245" s="2">
        <v>16.68</v>
      </c>
      <c r="O1245" s="2">
        <v>221.56</v>
      </c>
      <c r="P1245" s="1">
        <v>246</v>
      </c>
      <c r="Q1245" s="2">
        <v>166.77</v>
      </c>
      <c r="R1245" s="2">
        <v>54.79</v>
      </c>
      <c r="S1245" s="1" t="s">
        <v>1011</v>
      </c>
      <c r="T1245" s="1" t="s">
        <v>1004</v>
      </c>
      <c r="U1245" s="1" t="s">
        <v>1007</v>
      </c>
    </row>
    <row r="1246" spans="1:21" x14ac:dyDescent="0.3">
      <c r="A1246" s="1" t="s">
        <v>2260</v>
      </c>
      <c r="B1246" s="1" t="s">
        <v>69</v>
      </c>
      <c r="C1246" s="1" t="s">
        <v>70</v>
      </c>
      <c r="D1246" s="1" t="s">
        <v>59</v>
      </c>
      <c r="E1246" s="1" t="s">
        <v>3397</v>
      </c>
      <c r="F1246" s="1" t="s">
        <v>1020</v>
      </c>
      <c r="G1246" s="1" t="s">
        <v>1010</v>
      </c>
      <c r="H1246" s="1">
        <v>11</v>
      </c>
      <c r="I1246" s="1">
        <v>7</v>
      </c>
      <c r="J1246" s="1" t="s">
        <v>2643</v>
      </c>
      <c r="K1246" s="2">
        <v>180.13</v>
      </c>
      <c r="L1246" s="1">
        <v>10</v>
      </c>
      <c r="M1246" s="2">
        <v>1981.43</v>
      </c>
      <c r="N1246" s="2">
        <v>198.14</v>
      </c>
      <c r="O1246" s="2">
        <v>1783.29</v>
      </c>
      <c r="P1246" s="1">
        <v>180</v>
      </c>
      <c r="Q1246" s="2">
        <v>126.09</v>
      </c>
      <c r="R1246" s="2">
        <v>396.3</v>
      </c>
      <c r="S1246" s="1" t="s">
        <v>1011</v>
      </c>
      <c r="T1246" s="1" t="s">
        <v>1004</v>
      </c>
      <c r="U1246" s="1" t="s">
        <v>1007</v>
      </c>
    </row>
    <row r="1247" spans="1:21" x14ac:dyDescent="0.3">
      <c r="A1247" s="1" t="s">
        <v>2261</v>
      </c>
      <c r="B1247" s="1" t="s">
        <v>176</v>
      </c>
      <c r="C1247" s="1" t="s">
        <v>177</v>
      </c>
      <c r="D1247" s="1" t="s">
        <v>39</v>
      </c>
      <c r="E1247" s="1" t="s">
        <v>3398</v>
      </c>
      <c r="F1247" s="1" t="s">
        <v>1027</v>
      </c>
      <c r="G1247" s="1" t="s">
        <v>1023</v>
      </c>
      <c r="H1247" s="1">
        <v>5</v>
      </c>
      <c r="I1247" s="1">
        <v>2</v>
      </c>
      <c r="J1247" s="1" t="s">
        <v>2699</v>
      </c>
      <c r="K1247" s="2">
        <v>490.04</v>
      </c>
      <c r="L1247" s="1">
        <v>9</v>
      </c>
      <c r="M1247" s="2">
        <v>2450.1999999999998</v>
      </c>
      <c r="N1247" s="2">
        <v>220.52</v>
      </c>
      <c r="O1247" s="2">
        <v>2229.6799999999998</v>
      </c>
      <c r="P1247" s="1">
        <v>105</v>
      </c>
      <c r="Q1247" s="2">
        <v>343.03</v>
      </c>
      <c r="R1247" s="2">
        <v>514.53</v>
      </c>
      <c r="S1247" s="1" t="s">
        <v>1016</v>
      </c>
      <c r="T1247" s="1" t="s">
        <v>1004</v>
      </c>
      <c r="U1247" s="1" t="s">
        <v>1004</v>
      </c>
    </row>
    <row r="1248" spans="1:21" x14ac:dyDescent="0.3">
      <c r="A1248" s="1" t="s">
        <v>2262</v>
      </c>
      <c r="B1248" s="1" t="s">
        <v>63</v>
      </c>
      <c r="C1248" s="1" t="s">
        <v>64</v>
      </c>
      <c r="D1248" s="1" t="s">
        <v>28</v>
      </c>
      <c r="E1248" s="1" t="s">
        <v>3399</v>
      </c>
      <c r="F1248" s="1" t="s">
        <v>1013</v>
      </c>
      <c r="G1248" s="1" t="s">
        <v>1023</v>
      </c>
      <c r="H1248" s="1">
        <v>8</v>
      </c>
      <c r="I1248" s="1">
        <v>2</v>
      </c>
      <c r="J1248" s="1" t="s">
        <v>2757</v>
      </c>
      <c r="K1248" s="2">
        <v>238.61</v>
      </c>
      <c r="L1248" s="1">
        <v>0</v>
      </c>
      <c r="M1248" s="2">
        <v>1908.88</v>
      </c>
      <c r="N1248" s="2">
        <v>0</v>
      </c>
      <c r="O1248" s="2">
        <v>1908.88</v>
      </c>
      <c r="P1248" s="1">
        <v>170</v>
      </c>
      <c r="Q1248" s="2">
        <v>167.03</v>
      </c>
      <c r="R1248" s="2">
        <v>572.64</v>
      </c>
      <c r="S1248" s="1" t="s">
        <v>1003</v>
      </c>
      <c r="T1248" s="1" t="s">
        <v>1004</v>
      </c>
      <c r="U1248" s="1" t="s">
        <v>1004</v>
      </c>
    </row>
    <row r="1249" spans="1:21" x14ac:dyDescent="0.3">
      <c r="A1249" s="1" t="s">
        <v>2263</v>
      </c>
      <c r="B1249" s="1" t="s">
        <v>45</v>
      </c>
      <c r="C1249" s="1" t="s">
        <v>46</v>
      </c>
      <c r="D1249" s="1" t="s">
        <v>47</v>
      </c>
      <c r="E1249" s="1" t="s">
        <v>3400</v>
      </c>
      <c r="F1249" s="1" t="s">
        <v>1009</v>
      </c>
      <c r="G1249" s="1" t="s">
        <v>1010</v>
      </c>
      <c r="H1249" s="1">
        <v>7</v>
      </c>
      <c r="I1249" s="1">
        <v>3</v>
      </c>
      <c r="J1249" s="1" t="s">
        <v>3282</v>
      </c>
      <c r="K1249" s="2">
        <v>354.93</v>
      </c>
      <c r="L1249" s="1">
        <v>22</v>
      </c>
      <c r="M1249" s="2">
        <v>2484.5100000000002</v>
      </c>
      <c r="N1249" s="2">
        <v>546.59</v>
      </c>
      <c r="O1249" s="2">
        <v>1937.92</v>
      </c>
      <c r="P1249" s="1">
        <v>71</v>
      </c>
      <c r="Q1249" s="2">
        <v>248.45</v>
      </c>
      <c r="R1249" s="2">
        <v>198.77</v>
      </c>
      <c r="S1249" s="1" t="s">
        <v>1016</v>
      </c>
      <c r="T1249" s="1" t="s">
        <v>1004</v>
      </c>
      <c r="U1249" s="1" t="s">
        <v>1007</v>
      </c>
    </row>
    <row r="1250" spans="1:21" x14ac:dyDescent="0.3">
      <c r="A1250" s="1" t="s">
        <v>2264</v>
      </c>
      <c r="B1250" s="1" t="s">
        <v>107</v>
      </c>
      <c r="C1250" s="1" t="s">
        <v>108</v>
      </c>
      <c r="D1250" s="1" t="s">
        <v>39</v>
      </c>
      <c r="E1250" s="1" t="s">
        <v>3401</v>
      </c>
      <c r="F1250" s="1" t="s">
        <v>1006</v>
      </c>
      <c r="G1250" s="1" t="s">
        <v>1023</v>
      </c>
      <c r="H1250" s="1">
        <v>3</v>
      </c>
      <c r="I1250" s="1">
        <v>3</v>
      </c>
      <c r="J1250" s="1" t="s">
        <v>2834</v>
      </c>
      <c r="K1250" s="2">
        <v>471.91</v>
      </c>
      <c r="L1250" s="1">
        <v>17</v>
      </c>
      <c r="M1250" s="2">
        <v>1415.73</v>
      </c>
      <c r="N1250" s="2">
        <v>240.67</v>
      </c>
      <c r="O1250" s="2">
        <v>1175.06</v>
      </c>
      <c r="P1250" s="1">
        <v>143</v>
      </c>
      <c r="Q1250" s="2">
        <v>330.34</v>
      </c>
      <c r="R1250" s="2">
        <v>184.04</v>
      </c>
      <c r="S1250" s="1" t="s">
        <v>1011</v>
      </c>
      <c r="T1250" s="1" t="s">
        <v>1007</v>
      </c>
      <c r="U1250" s="1" t="s">
        <v>1004</v>
      </c>
    </row>
    <row r="1251" spans="1:21" x14ac:dyDescent="0.3">
      <c r="A1251" s="1" t="s">
        <v>2265</v>
      </c>
      <c r="B1251" s="1" t="s">
        <v>130</v>
      </c>
      <c r="C1251" s="1" t="s">
        <v>131</v>
      </c>
      <c r="D1251" s="1" t="s">
        <v>132</v>
      </c>
      <c r="E1251" s="1" t="s">
        <v>3402</v>
      </c>
      <c r="F1251" s="1" t="s">
        <v>1001</v>
      </c>
      <c r="G1251" s="1" t="s">
        <v>1023</v>
      </c>
      <c r="H1251" s="1">
        <v>12</v>
      </c>
      <c r="I1251" s="1">
        <v>4</v>
      </c>
      <c r="J1251" s="1" t="s">
        <v>2683</v>
      </c>
      <c r="K1251" s="2">
        <v>459.75</v>
      </c>
      <c r="L1251" s="1">
        <v>7</v>
      </c>
      <c r="M1251" s="2">
        <v>5517</v>
      </c>
      <c r="N1251" s="2">
        <v>386.19</v>
      </c>
      <c r="O1251" s="2">
        <v>5130.8100000000004</v>
      </c>
      <c r="P1251" s="1">
        <v>154</v>
      </c>
      <c r="Q1251" s="2">
        <v>321.82</v>
      </c>
      <c r="R1251" s="2">
        <v>1268.97</v>
      </c>
      <c r="S1251" s="1" t="s">
        <v>1003</v>
      </c>
      <c r="T1251" s="1" t="s">
        <v>1007</v>
      </c>
      <c r="U1251" s="1" t="s">
        <v>1004</v>
      </c>
    </row>
    <row r="1252" spans="1:21" x14ac:dyDescent="0.3">
      <c r="A1252" s="1" t="s">
        <v>2266</v>
      </c>
      <c r="B1252" s="1" t="s">
        <v>69</v>
      </c>
      <c r="C1252" s="1" t="s">
        <v>70</v>
      </c>
      <c r="D1252" s="1" t="s">
        <v>59</v>
      </c>
      <c r="E1252" s="1" t="s">
        <v>3403</v>
      </c>
      <c r="F1252" s="1" t="s">
        <v>1009</v>
      </c>
      <c r="G1252" s="1" t="s">
        <v>1002</v>
      </c>
      <c r="H1252" s="1">
        <v>12</v>
      </c>
      <c r="I1252" s="1">
        <v>5</v>
      </c>
      <c r="J1252" s="1" t="s">
        <v>2649</v>
      </c>
      <c r="K1252" s="2">
        <v>75.08</v>
      </c>
      <c r="L1252" s="1">
        <v>13</v>
      </c>
      <c r="M1252" s="2">
        <v>900.96</v>
      </c>
      <c r="N1252" s="2">
        <v>117.12</v>
      </c>
      <c r="O1252" s="2">
        <v>783.84</v>
      </c>
      <c r="P1252" s="1">
        <v>112</v>
      </c>
      <c r="Q1252" s="2">
        <v>52.56</v>
      </c>
      <c r="R1252" s="2">
        <v>153.12</v>
      </c>
      <c r="S1252" s="1" t="s">
        <v>1011</v>
      </c>
      <c r="T1252" s="1" t="s">
        <v>1004</v>
      </c>
      <c r="U1252" s="1" t="s">
        <v>1007</v>
      </c>
    </row>
    <row r="1253" spans="1:21" x14ac:dyDescent="0.3">
      <c r="A1253" s="1" t="s">
        <v>2267</v>
      </c>
      <c r="B1253" s="1" t="s">
        <v>130</v>
      </c>
      <c r="C1253" s="1" t="s">
        <v>131</v>
      </c>
      <c r="D1253" s="1" t="s">
        <v>132</v>
      </c>
      <c r="E1253" s="1" t="s">
        <v>3404</v>
      </c>
      <c r="F1253" s="1" t="s">
        <v>1027</v>
      </c>
      <c r="G1253" s="1" t="s">
        <v>1010</v>
      </c>
      <c r="H1253" s="1">
        <v>5</v>
      </c>
      <c r="I1253" s="1">
        <v>7</v>
      </c>
      <c r="J1253" s="1" t="s">
        <v>2868</v>
      </c>
      <c r="K1253" s="2">
        <v>468</v>
      </c>
      <c r="L1253" s="1">
        <v>19</v>
      </c>
      <c r="M1253" s="2">
        <v>2340</v>
      </c>
      <c r="N1253" s="2">
        <v>444.6</v>
      </c>
      <c r="O1253" s="2">
        <v>1895.4</v>
      </c>
      <c r="P1253" s="1">
        <v>81</v>
      </c>
      <c r="Q1253" s="2">
        <v>327.60000000000002</v>
      </c>
      <c r="R1253" s="2">
        <v>257.39999999999998</v>
      </c>
      <c r="S1253" s="1" t="s">
        <v>1016</v>
      </c>
      <c r="T1253" s="1" t="s">
        <v>1007</v>
      </c>
      <c r="U1253" s="1" t="s">
        <v>1004</v>
      </c>
    </row>
    <row r="1254" spans="1:21" x14ac:dyDescent="0.3">
      <c r="A1254" s="1" t="s">
        <v>2268</v>
      </c>
      <c r="B1254" s="1" t="s">
        <v>83</v>
      </c>
      <c r="C1254" s="1" t="s">
        <v>84</v>
      </c>
      <c r="D1254" s="1" t="s">
        <v>85</v>
      </c>
      <c r="E1254" s="1" t="s">
        <v>3405</v>
      </c>
      <c r="F1254" s="1" t="s">
        <v>1001</v>
      </c>
      <c r="G1254" s="1" t="s">
        <v>1023</v>
      </c>
      <c r="H1254" s="1">
        <v>1</v>
      </c>
      <c r="I1254" s="1">
        <v>6</v>
      </c>
      <c r="J1254" s="1" t="s">
        <v>2643</v>
      </c>
      <c r="K1254" s="2">
        <v>61.96</v>
      </c>
      <c r="L1254" s="1">
        <v>21</v>
      </c>
      <c r="M1254" s="2">
        <v>61.96</v>
      </c>
      <c r="N1254" s="2">
        <v>13.01</v>
      </c>
      <c r="O1254" s="2">
        <v>48.95</v>
      </c>
      <c r="P1254" s="1">
        <v>141</v>
      </c>
      <c r="Q1254" s="2">
        <v>43.37</v>
      </c>
      <c r="R1254" s="2">
        <v>5.58</v>
      </c>
      <c r="S1254" s="1" t="s">
        <v>1016</v>
      </c>
      <c r="T1254" s="1" t="s">
        <v>1004</v>
      </c>
      <c r="U1254" s="1" t="s">
        <v>1004</v>
      </c>
    </row>
    <row r="1255" spans="1:21" x14ac:dyDescent="0.3">
      <c r="A1255" s="1" t="s">
        <v>2269</v>
      </c>
      <c r="B1255" s="1" t="s">
        <v>69</v>
      </c>
      <c r="C1255" s="1" t="s">
        <v>70</v>
      </c>
      <c r="D1255" s="1" t="s">
        <v>59</v>
      </c>
      <c r="E1255" s="1" t="s">
        <v>3406</v>
      </c>
      <c r="F1255" s="1" t="s">
        <v>1013</v>
      </c>
      <c r="G1255" s="1" t="s">
        <v>1002</v>
      </c>
      <c r="H1255" s="1">
        <v>15</v>
      </c>
      <c r="I1255" s="1">
        <v>2</v>
      </c>
      <c r="J1255" s="1" t="s">
        <v>2830</v>
      </c>
      <c r="K1255" s="2">
        <v>435.22</v>
      </c>
      <c r="L1255" s="1">
        <v>21</v>
      </c>
      <c r="M1255" s="2">
        <v>6528.3</v>
      </c>
      <c r="N1255" s="2">
        <v>1370.94</v>
      </c>
      <c r="O1255" s="2">
        <v>5157.3599999999997</v>
      </c>
      <c r="P1255" s="1">
        <v>201</v>
      </c>
      <c r="Q1255" s="2">
        <v>304.64999999999998</v>
      </c>
      <c r="R1255" s="2">
        <v>587.61</v>
      </c>
      <c r="S1255" s="1" t="s">
        <v>1016</v>
      </c>
      <c r="T1255" s="1" t="s">
        <v>1004</v>
      </c>
      <c r="U1255" s="1" t="s">
        <v>1004</v>
      </c>
    </row>
    <row r="1256" spans="1:21" x14ac:dyDescent="0.3">
      <c r="A1256" s="1" t="s">
        <v>2270</v>
      </c>
      <c r="B1256" s="1" t="s">
        <v>52</v>
      </c>
      <c r="C1256" s="1" t="s">
        <v>53</v>
      </c>
      <c r="D1256" s="1" t="s">
        <v>47</v>
      </c>
      <c r="E1256" s="1" t="s">
        <v>3407</v>
      </c>
      <c r="F1256" s="1" t="s">
        <v>1006</v>
      </c>
      <c r="G1256" s="1" t="s">
        <v>1002</v>
      </c>
      <c r="H1256" s="1">
        <v>3</v>
      </c>
      <c r="I1256" s="1">
        <v>4</v>
      </c>
      <c r="J1256" s="1" t="s">
        <v>2629</v>
      </c>
      <c r="K1256" s="2">
        <v>430.84</v>
      </c>
      <c r="L1256" s="1">
        <v>15</v>
      </c>
      <c r="M1256" s="2">
        <v>1292.52</v>
      </c>
      <c r="N1256" s="2">
        <v>193.88</v>
      </c>
      <c r="O1256" s="2">
        <v>1098.6400000000001</v>
      </c>
      <c r="P1256" s="1">
        <v>109</v>
      </c>
      <c r="Q1256" s="2">
        <v>301.58999999999997</v>
      </c>
      <c r="R1256" s="2">
        <v>193.87</v>
      </c>
      <c r="S1256" s="1" t="s">
        <v>1016</v>
      </c>
      <c r="T1256" s="1" t="s">
        <v>1004</v>
      </c>
      <c r="U1256" s="1" t="s">
        <v>1007</v>
      </c>
    </row>
    <row r="1257" spans="1:21" x14ac:dyDescent="0.3">
      <c r="A1257" s="1" t="s">
        <v>2271</v>
      </c>
      <c r="B1257" s="1" t="s">
        <v>111</v>
      </c>
      <c r="C1257" s="1" t="s">
        <v>112</v>
      </c>
      <c r="D1257" s="1" t="s">
        <v>97</v>
      </c>
      <c r="E1257" s="1" t="s">
        <v>3408</v>
      </c>
      <c r="F1257" s="1" t="s">
        <v>1020</v>
      </c>
      <c r="G1257" s="1" t="s">
        <v>1010</v>
      </c>
      <c r="H1257" s="1">
        <v>6</v>
      </c>
      <c r="I1257" s="1">
        <v>2</v>
      </c>
      <c r="J1257" s="1" t="s">
        <v>2857</v>
      </c>
      <c r="K1257" s="2">
        <v>380.61</v>
      </c>
      <c r="L1257" s="1">
        <v>18</v>
      </c>
      <c r="M1257" s="2">
        <v>2283.66</v>
      </c>
      <c r="N1257" s="2">
        <v>411.06</v>
      </c>
      <c r="O1257" s="2">
        <v>1872.6</v>
      </c>
      <c r="P1257" s="1">
        <v>270</v>
      </c>
      <c r="Q1257" s="2">
        <v>266.43</v>
      </c>
      <c r="R1257" s="2">
        <v>274.02</v>
      </c>
      <c r="S1257" s="1" t="s">
        <v>1003</v>
      </c>
      <c r="T1257" s="1" t="s">
        <v>1007</v>
      </c>
      <c r="U1257" s="1" t="s">
        <v>1004</v>
      </c>
    </row>
    <row r="1258" spans="1:21" x14ac:dyDescent="0.3">
      <c r="A1258" s="1" t="s">
        <v>2272</v>
      </c>
      <c r="B1258" s="1" t="s">
        <v>107</v>
      </c>
      <c r="C1258" s="1" t="s">
        <v>108</v>
      </c>
      <c r="D1258" s="1" t="s">
        <v>39</v>
      </c>
      <c r="E1258" s="1" t="s">
        <v>3409</v>
      </c>
      <c r="F1258" s="1" t="s">
        <v>1015</v>
      </c>
      <c r="G1258" s="1" t="s">
        <v>1002</v>
      </c>
      <c r="H1258" s="1">
        <v>11</v>
      </c>
      <c r="I1258" s="1">
        <v>7</v>
      </c>
      <c r="J1258" s="1" t="s">
        <v>2845</v>
      </c>
      <c r="K1258" s="2">
        <v>455.16</v>
      </c>
      <c r="L1258" s="1">
        <v>3</v>
      </c>
      <c r="M1258" s="2">
        <v>5006.76</v>
      </c>
      <c r="N1258" s="2">
        <v>150.19999999999999</v>
      </c>
      <c r="O1258" s="2">
        <v>4856.5600000000004</v>
      </c>
      <c r="P1258" s="1">
        <v>295</v>
      </c>
      <c r="Q1258" s="2">
        <v>318.61</v>
      </c>
      <c r="R1258" s="2">
        <v>1351.85</v>
      </c>
      <c r="S1258" s="1" t="s">
        <v>1011</v>
      </c>
      <c r="T1258" s="1" t="s">
        <v>1007</v>
      </c>
      <c r="U1258" s="1" t="s">
        <v>1004</v>
      </c>
    </row>
    <row r="1259" spans="1:21" x14ac:dyDescent="0.3">
      <c r="A1259" s="1" t="s">
        <v>2273</v>
      </c>
      <c r="B1259" s="1" t="s">
        <v>237</v>
      </c>
      <c r="C1259" s="1" t="s">
        <v>238</v>
      </c>
      <c r="D1259" s="1" t="s">
        <v>85</v>
      </c>
      <c r="E1259" s="1" t="s">
        <v>3410</v>
      </c>
      <c r="F1259" s="1" t="s">
        <v>1009</v>
      </c>
      <c r="G1259" s="1" t="s">
        <v>1023</v>
      </c>
      <c r="H1259" s="1">
        <v>3</v>
      </c>
      <c r="I1259" s="1">
        <v>3</v>
      </c>
      <c r="J1259" s="1" t="s">
        <v>2610</v>
      </c>
      <c r="K1259" s="2">
        <v>487.44</v>
      </c>
      <c r="L1259" s="1">
        <v>12</v>
      </c>
      <c r="M1259" s="2">
        <v>1462.32</v>
      </c>
      <c r="N1259" s="2">
        <v>175.48</v>
      </c>
      <c r="O1259" s="2">
        <v>1286.8399999999999</v>
      </c>
      <c r="P1259" s="1">
        <v>170</v>
      </c>
      <c r="Q1259" s="2">
        <v>341.21</v>
      </c>
      <c r="R1259" s="2">
        <v>263.20999999999998</v>
      </c>
      <c r="S1259" s="1" t="s">
        <v>1003</v>
      </c>
      <c r="T1259" s="1" t="s">
        <v>1004</v>
      </c>
      <c r="U1259" s="1" t="s">
        <v>1007</v>
      </c>
    </row>
    <row r="1260" spans="1:21" x14ac:dyDescent="0.3">
      <c r="A1260" s="1" t="s">
        <v>2274</v>
      </c>
      <c r="B1260" s="1" t="s">
        <v>237</v>
      </c>
      <c r="C1260" s="1" t="s">
        <v>238</v>
      </c>
      <c r="D1260" s="1" t="s">
        <v>85</v>
      </c>
      <c r="E1260" s="1" t="s">
        <v>3411</v>
      </c>
      <c r="F1260" s="1" t="s">
        <v>1027</v>
      </c>
      <c r="G1260" s="1" t="s">
        <v>1023</v>
      </c>
      <c r="H1260" s="1">
        <v>14</v>
      </c>
      <c r="I1260" s="1">
        <v>7</v>
      </c>
      <c r="J1260" s="1" t="s">
        <v>2650</v>
      </c>
      <c r="K1260" s="2">
        <v>132.47999999999999</v>
      </c>
      <c r="L1260" s="1">
        <v>0</v>
      </c>
      <c r="M1260" s="2">
        <v>1854.72</v>
      </c>
      <c r="N1260" s="2">
        <v>0</v>
      </c>
      <c r="O1260" s="2">
        <v>1854.72</v>
      </c>
      <c r="P1260" s="1">
        <v>244</v>
      </c>
      <c r="Q1260" s="2">
        <v>92.74</v>
      </c>
      <c r="R1260" s="2">
        <v>556.36</v>
      </c>
      <c r="S1260" s="1" t="s">
        <v>1016</v>
      </c>
      <c r="T1260" s="1" t="s">
        <v>1004</v>
      </c>
      <c r="U1260" s="1" t="s">
        <v>1007</v>
      </c>
    </row>
    <row r="1261" spans="1:21" x14ac:dyDescent="0.3">
      <c r="A1261" s="1" t="s">
        <v>2275</v>
      </c>
      <c r="B1261" s="1" t="s">
        <v>189</v>
      </c>
      <c r="C1261" s="1" t="s">
        <v>190</v>
      </c>
      <c r="D1261" s="1" t="s">
        <v>59</v>
      </c>
      <c r="E1261" s="1" t="s">
        <v>3412</v>
      </c>
      <c r="F1261" s="1" t="s">
        <v>1006</v>
      </c>
      <c r="G1261" s="1" t="s">
        <v>1010</v>
      </c>
      <c r="H1261" s="1">
        <v>4</v>
      </c>
      <c r="I1261" s="1">
        <v>4</v>
      </c>
      <c r="J1261" s="1" t="s">
        <v>2585</v>
      </c>
      <c r="K1261" s="2">
        <v>465.7</v>
      </c>
      <c r="L1261" s="1">
        <v>10</v>
      </c>
      <c r="M1261" s="2">
        <v>1862.8</v>
      </c>
      <c r="N1261" s="2">
        <v>186.28</v>
      </c>
      <c r="O1261" s="2">
        <v>1676.52</v>
      </c>
      <c r="P1261" s="1">
        <v>263</v>
      </c>
      <c r="Q1261" s="2">
        <v>325.99</v>
      </c>
      <c r="R1261" s="2">
        <v>372.56</v>
      </c>
      <c r="S1261" s="1" t="s">
        <v>1016</v>
      </c>
      <c r="T1261" s="1" t="s">
        <v>1007</v>
      </c>
      <c r="U1261" s="1" t="s">
        <v>1007</v>
      </c>
    </row>
    <row r="1262" spans="1:21" x14ac:dyDescent="0.3">
      <c r="A1262" s="1" t="s">
        <v>2276</v>
      </c>
      <c r="B1262" s="1" t="s">
        <v>192</v>
      </c>
      <c r="C1262" s="1" t="s">
        <v>193</v>
      </c>
      <c r="D1262" s="1" t="s">
        <v>85</v>
      </c>
      <c r="E1262" s="1" t="s">
        <v>3413</v>
      </c>
      <c r="F1262" s="1" t="s">
        <v>1009</v>
      </c>
      <c r="G1262" s="1" t="s">
        <v>1002</v>
      </c>
      <c r="H1262" s="1">
        <v>7</v>
      </c>
      <c r="I1262" s="1">
        <v>5</v>
      </c>
      <c r="J1262" s="1" t="s">
        <v>2992</v>
      </c>
      <c r="K1262" s="2">
        <v>156.69999999999999</v>
      </c>
      <c r="L1262" s="1">
        <v>1</v>
      </c>
      <c r="M1262" s="2">
        <v>1096.9000000000001</v>
      </c>
      <c r="N1262" s="2">
        <v>10.97</v>
      </c>
      <c r="O1262" s="2">
        <v>1085.93</v>
      </c>
      <c r="P1262" s="1">
        <v>230</v>
      </c>
      <c r="Q1262" s="2">
        <v>109.69</v>
      </c>
      <c r="R1262" s="2">
        <v>318.10000000000002</v>
      </c>
      <c r="S1262" s="1" t="s">
        <v>1016</v>
      </c>
      <c r="T1262" s="1" t="s">
        <v>1004</v>
      </c>
      <c r="U1262" s="1" t="s">
        <v>1004</v>
      </c>
    </row>
    <row r="1263" spans="1:21" x14ac:dyDescent="0.3">
      <c r="A1263" s="1" t="s">
        <v>2277</v>
      </c>
      <c r="B1263" s="1" t="s">
        <v>63</v>
      </c>
      <c r="C1263" s="1" t="s">
        <v>64</v>
      </c>
      <c r="D1263" s="1" t="s">
        <v>28</v>
      </c>
      <c r="E1263" s="1" t="s">
        <v>3414</v>
      </c>
      <c r="F1263" s="1" t="s">
        <v>1015</v>
      </c>
      <c r="G1263" s="1" t="s">
        <v>1023</v>
      </c>
      <c r="H1263" s="1">
        <v>7</v>
      </c>
      <c r="I1263" s="1">
        <v>3</v>
      </c>
      <c r="J1263" s="1" t="s">
        <v>2868</v>
      </c>
      <c r="K1263" s="2">
        <v>97.48</v>
      </c>
      <c r="L1263" s="1">
        <v>18</v>
      </c>
      <c r="M1263" s="2">
        <v>682.36</v>
      </c>
      <c r="N1263" s="2">
        <v>122.82</v>
      </c>
      <c r="O1263" s="2">
        <v>559.54</v>
      </c>
      <c r="P1263" s="1">
        <v>231</v>
      </c>
      <c r="Q1263" s="2">
        <v>68.239999999999995</v>
      </c>
      <c r="R1263" s="2">
        <v>81.86</v>
      </c>
      <c r="S1263" s="1" t="s">
        <v>1016</v>
      </c>
      <c r="T1263" s="1" t="s">
        <v>1007</v>
      </c>
      <c r="U1263" s="1" t="s">
        <v>1004</v>
      </c>
    </row>
    <row r="1264" spans="1:21" x14ac:dyDescent="0.3">
      <c r="A1264" s="1" t="s">
        <v>2278</v>
      </c>
      <c r="B1264" s="1" t="s">
        <v>107</v>
      </c>
      <c r="C1264" s="1" t="s">
        <v>108</v>
      </c>
      <c r="D1264" s="1" t="s">
        <v>39</v>
      </c>
      <c r="E1264" s="1" t="s">
        <v>3415</v>
      </c>
      <c r="F1264" s="1" t="s">
        <v>1027</v>
      </c>
      <c r="G1264" s="1" t="s">
        <v>1002</v>
      </c>
      <c r="H1264" s="1">
        <v>10</v>
      </c>
      <c r="I1264" s="1">
        <v>7</v>
      </c>
      <c r="J1264" s="1" t="s">
        <v>2814</v>
      </c>
      <c r="K1264" s="2">
        <v>466.76</v>
      </c>
      <c r="L1264" s="1">
        <v>18</v>
      </c>
      <c r="M1264" s="2">
        <v>4667.6000000000004</v>
      </c>
      <c r="N1264" s="2">
        <v>840.17</v>
      </c>
      <c r="O1264" s="2">
        <v>3827.43</v>
      </c>
      <c r="P1264" s="1">
        <v>203</v>
      </c>
      <c r="Q1264" s="2">
        <v>326.73</v>
      </c>
      <c r="R1264" s="2">
        <v>560.13</v>
      </c>
      <c r="S1264" s="1" t="s">
        <v>1016</v>
      </c>
      <c r="T1264" s="1" t="s">
        <v>1007</v>
      </c>
      <c r="U1264" s="1" t="s">
        <v>1007</v>
      </c>
    </row>
    <row r="1265" spans="1:21" x14ac:dyDescent="0.3">
      <c r="A1265" s="1" t="s">
        <v>2279</v>
      </c>
      <c r="B1265" s="1" t="s">
        <v>192</v>
      </c>
      <c r="C1265" s="1" t="s">
        <v>193</v>
      </c>
      <c r="D1265" s="1" t="s">
        <v>85</v>
      </c>
      <c r="E1265" s="1" t="s">
        <v>3416</v>
      </c>
      <c r="F1265" s="1" t="s">
        <v>1020</v>
      </c>
      <c r="G1265" s="1" t="s">
        <v>1023</v>
      </c>
      <c r="H1265" s="1">
        <v>7</v>
      </c>
      <c r="I1265" s="1">
        <v>7</v>
      </c>
      <c r="J1265" s="1" t="s">
        <v>2902</v>
      </c>
      <c r="K1265" s="2">
        <v>94.44</v>
      </c>
      <c r="L1265" s="1">
        <v>13</v>
      </c>
      <c r="M1265" s="2">
        <v>661.08</v>
      </c>
      <c r="N1265" s="2">
        <v>85.94</v>
      </c>
      <c r="O1265" s="2">
        <v>575.14</v>
      </c>
      <c r="P1265" s="1">
        <v>94</v>
      </c>
      <c r="Q1265" s="2">
        <v>66.11</v>
      </c>
      <c r="R1265" s="2">
        <v>112.37</v>
      </c>
      <c r="S1265" s="1" t="s">
        <v>1016</v>
      </c>
      <c r="T1265" s="1" t="s">
        <v>1007</v>
      </c>
      <c r="U1265" s="1" t="s">
        <v>1004</v>
      </c>
    </row>
    <row r="1266" spans="1:21" x14ac:dyDescent="0.3">
      <c r="A1266" s="1" t="s">
        <v>2280</v>
      </c>
      <c r="B1266" s="1" t="s">
        <v>95</v>
      </c>
      <c r="C1266" s="1" t="s">
        <v>96</v>
      </c>
      <c r="D1266" s="1" t="s">
        <v>97</v>
      </c>
      <c r="E1266" s="1" t="s">
        <v>3417</v>
      </c>
      <c r="F1266" s="1" t="s">
        <v>1020</v>
      </c>
      <c r="G1266" s="1" t="s">
        <v>1002</v>
      </c>
      <c r="H1266" s="1">
        <v>2</v>
      </c>
      <c r="I1266" s="1">
        <v>3</v>
      </c>
      <c r="J1266" s="1" t="s">
        <v>3418</v>
      </c>
      <c r="K1266" s="2">
        <v>114.33</v>
      </c>
      <c r="L1266" s="1">
        <v>18</v>
      </c>
      <c r="M1266" s="2">
        <v>228.66</v>
      </c>
      <c r="N1266" s="2">
        <v>41.16</v>
      </c>
      <c r="O1266" s="2">
        <v>187.5</v>
      </c>
      <c r="P1266" s="1">
        <v>165</v>
      </c>
      <c r="Q1266" s="2">
        <v>80.03</v>
      </c>
      <c r="R1266" s="2">
        <v>27.44</v>
      </c>
      <c r="S1266" s="1" t="s">
        <v>1011</v>
      </c>
      <c r="T1266" s="1" t="s">
        <v>1007</v>
      </c>
      <c r="U1266" s="1" t="s">
        <v>1004</v>
      </c>
    </row>
    <row r="1267" spans="1:21" x14ac:dyDescent="0.3">
      <c r="A1267" s="1" t="s">
        <v>2281</v>
      </c>
      <c r="B1267" s="1" t="s">
        <v>83</v>
      </c>
      <c r="C1267" s="1" t="s">
        <v>84</v>
      </c>
      <c r="D1267" s="1" t="s">
        <v>85</v>
      </c>
      <c r="E1267" s="1" t="s">
        <v>3419</v>
      </c>
      <c r="F1267" s="1" t="s">
        <v>1009</v>
      </c>
      <c r="G1267" s="1" t="s">
        <v>1002</v>
      </c>
      <c r="H1267" s="1">
        <v>7</v>
      </c>
      <c r="I1267" s="1">
        <v>2</v>
      </c>
      <c r="J1267" s="1" t="s">
        <v>2612</v>
      </c>
      <c r="K1267" s="2">
        <v>485.9</v>
      </c>
      <c r="L1267" s="1">
        <v>14</v>
      </c>
      <c r="M1267" s="2">
        <v>3401.3</v>
      </c>
      <c r="N1267" s="2">
        <v>476.18</v>
      </c>
      <c r="O1267" s="2">
        <v>2925.12</v>
      </c>
      <c r="P1267" s="1">
        <v>242</v>
      </c>
      <c r="Q1267" s="2">
        <v>340.13</v>
      </c>
      <c r="R1267" s="2">
        <v>544.21</v>
      </c>
      <c r="S1267" s="1" t="s">
        <v>1011</v>
      </c>
      <c r="T1267" s="1" t="s">
        <v>1007</v>
      </c>
      <c r="U1267" s="1" t="s">
        <v>1004</v>
      </c>
    </row>
    <row r="1268" spans="1:21" x14ac:dyDescent="0.3">
      <c r="A1268" s="1" t="s">
        <v>2282</v>
      </c>
      <c r="B1268" s="1" t="s">
        <v>45</v>
      </c>
      <c r="C1268" s="1" t="s">
        <v>46</v>
      </c>
      <c r="D1268" s="1" t="s">
        <v>47</v>
      </c>
      <c r="E1268" s="1" t="s">
        <v>3420</v>
      </c>
      <c r="F1268" s="1" t="s">
        <v>1006</v>
      </c>
      <c r="G1268" s="1" t="s">
        <v>1002</v>
      </c>
      <c r="H1268" s="1">
        <v>14</v>
      </c>
      <c r="I1268" s="1">
        <v>2</v>
      </c>
      <c r="J1268" s="1" t="s">
        <v>2557</v>
      </c>
      <c r="K1268" s="2">
        <v>393.99</v>
      </c>
      <c r="L1268" s="1">
        <v>10</v>
      </c>
      <c r="M1268" s="2">
        <v>5515.86</v>
      </c>
      <c r="N1268" s="2">
        <v>551.59</v>
      </c>
      <c r="O1268" s="2">
        <v>4964.2700000000004</v>
      </c>
      <c r="P1268" s="1">
        <v>199</v>
      </c>
      <c r="Q1268" s="2">
        <v>275.79000000000002</v>
      </c>
      <c r="R1268" s="2">
        <v>1103.21</v>
      </c>
      <c r="S1268" s="1" t="s">
        <v>1011</v>
      </c>
      <c r="T1268" s="1" t="s">
        <v>1004</v>
      </c>
      <c r="U1268" s="1" t="s">
        <v>1004</v>
      </c>
    </row>
    <row r="1269" spans="1:21" x14ac:dyDescent="0.3">
      <c r="A1269" s="1" t="s">
        <v>2283</v>
      </c>
      <c r="B1269" s="1" t="s">
        <v>111</v>
      </c>
      <c r="C1269" s="1" t="s">
        <v>112</v>
      </c>
      <c r="D1269" s="1" t="s">
        <v>97</v>
      </c>
      <c r="E1269" s="1" t="s">
        <v>3421</v>
      </c>
      <c r="F1269" s="1" t="s">
        <v>1015</v>
      </c>
      <c r="G1269" s="1" t="s">
        <v>1010</v>
      </c>
      <c r="H1269" s="1">
        <v>12</v>
      </c>
      <c r="I1269" s="1">
        <v>5</v>
      </c>
      <c r="J1269" s="1" t="s">
        <v>2530</v>
      </c>
      <c r="K1269" s="2">
        <v>383.82</v>
      </c>
      <c r="L1269" s="1">
        <v>16</v>
      </c>
      <c r="M1269" s="2">
        <v>4605.84</v>
      </c>
      <c r="N1269" s="2">
        <v>736.93</v>
      </c>
      <c r="O1269" s="2">
        <v>3868.91</v>
      </c>
      <c r="P1269" s="1">
        <v>110</v>
      </c>
      <c r="Q1269" s="2">
        <v>268.67</v>
      </c>
      <c r="R1269" s="2">
        <v>644.87</v>
      </c>
      <c r="S1269" s="1" t="s">
        <v>1011</v>
      </c>
      <c r="T1269" s="1" t="s">
        <v>1007</v>
      </c>
      <c r="U1269" s="1" t="s">
        <v>1004</v>
      </c>
    </row>
    <row r="1270" spans="1:21" x14ac:dyDescent="0.3">
      <c r="A1270" s="1" t="s">
        <v>2284</v>
      </c>
      <c r="B1270" s="1" t="s">
        <v>111</v>
      </c>
      <c r="C1270" s="1" t="s">
        <v>112</v>
      </c>
      <c r="D1270" s="1" t="s">
        <v>97</v>
      </c>
      <c r="E1270" s="1" t="s">
        <v>3422</v>
      </c>
      <c r="F1270" s="1" t="s">
        <v>1015</v>
      </c>
      <c r="G1270" s="1" t="s">
        <v>1002</v>
      </c>
      <c r="H1270" s="1">
        <v>5</v>
      </c>
      <c r="I1270" s="1">
        <v>1</v>
      </c>
      <c r="J1270" s="1" t="s">
        <v>3040</v>
      </c>
      <c r="K1270" s="2">
        <v>104.56</v>
      </c>
      <c r="L1270" s="1">
        <v>10</v>
      </c>
      <c r="M1270" s="2">
        <v>522.79999999999995</v>
      </c>
      <c r="N1270" s="2">
        <v>52.28</v>
      </c>
      <c r="O1270" s="2">
        <v>470.52</v>
      </c>
      <c r="P1270" s="1">
        <v>87</v>
      </c>
      <c r="Q1270" s="2">
        <v>73.19</v>
      </c>
      <c r="R1270" s="2">
        <v>104.57</v>
      </c>
      <c r="S1270" s="1" t="s">
        <v>1016</v>
      </c>
      <c r="T1270" s="1" t="s">
        <v>1007</v>
      </c>
      <c r="U1270" s="1" t="s">
        <v>1004</v>
      </c>
    </row>
    <row r="1271" spans="1:21" x14ac:dyDescent="0.3">
      <c r="A1271" s="1" t="s">
        <v>2285</v>
      </c>
      <c r="B1271" s="1" t="s">
        <v>37</v>
      </c>
      <c r="C1271" s="1" t="s">
        <v>38</v>
      </c>
      <c r="D1271" s="1" t="s">
        <v>39</v>
      </c>
      <c r="E1271" s="1" t="s">
        <v>3423</v>
      </c>
      <c r="F1271" s="1" t="s">
        <v>1015</v>
      </c>
      <c r="G1271" s="1" t="s">
        <v>1010</v>
      </c>
      <c r="H1271" s="1">
        <v>8</v>
      </c>
      <c r="I1271" s="1">
        <v>3</v>
      </c>
      <c r="J1271" s="1" t="s">
        <v>2549</v>
      </c>
      <c r="K1271" s="2">
        <v>289.63</v>
      </c>
      <c r="L1271" s="1">
        <v>24</v>
      </c>
      <c r="M1271" s="2">
        <v>2317.04</v>
      </c>
      <c r="N1271" s="2">
        <v>556.09</v>
      </c>
      <c r="O1271" s="2">
        <v>1760.95</v>
      </c>
      <c r="P1271" s="1">
        <v>141</v>
      </c>
      <c r="Q1271" s="2">
        <v>202.74</v>
      </c>
      <c r="R1271" s="2">
        <v>139.03</v>
      </c>
      <c r="S1271" s="1" t="s">
        <v>1003</v>
      </c>
      <c r="T1271" s="1" t="s">
        <v>1007</v>
      </c>
      <c r="U1271" s="1" t="s">
        <v>1007</v>
      </c>
    </row>
    <row r="1272" spans="1:21" x14ac:dyDescent="0.3">
      <c r="A1272" s="1" t="s">
        <v>2286</v>
      </c>
      <c r="B1272" s="1" t="s">
        <v>107</v>
      </c>
      <c r="C1272" s="1" t="s">
        <v>108</v>
      </c>
      <c r="D1272" s="1" t="s">
        <v>39</v>
      </c>
      <c r="E1272" s="1" t="s">
        <v>3424</v>
      </c>
      <c r="F1272" s="1" t="s">
        <v>1013</v>
      </c>
      <c r="G1272" s="1" t="s">
        <v>1023</v>
      </c>
      <c r="H1272" s="1">
        <v>2</v>
      </c>
      <c r="I1272" s="1">
        <v>7</v>
      </c>
      <c r="J1272" s="1" t="s">
        <v>2523</v>
      </c>
      <c r="K1272" s="2">
        <v>276.44</v>
      </c>
      <c r="L1272" s="1">
        <v>12</v>
      </c>
      <c r="M1272" s="2">
        <v>552.88</v>
      </c>
      <c r="N1272" s="2">
        <v>66.349999999999994</v>
      </c>
      <c r="O1272" s="2">
        <v>486.53</v>
      </c>
      <c r="P1272" s="1">
        <v>65</v>
      </c>
      <c r="Q1272" s="2">
        <v>193.51</v>
      </c>
      <c r="R1272" s="2">
        <v>99.51</v>
      </c>
      <c r="S1272" s="1" t="s">
        <v>1016</v>
      </c>
      <c r="T1272" s="1" t="s">
        <v>1007</v>
      </c>
      <c r="U1272" s="1" t="s">
        <v>1004</v>
      </c>
    </row>
    <row r="1273" spans="1:21" x14ac:dyDescent="0.3">
      <c r="A1273" s="1" t="s">
        <v>2287</v>
      </c>
      <c r="B1273" s="1" t="s">
        <v>102</v>
      </c>
      <c r="C1273" s="1" t="s">
        <v>103</v>
      </c>
      <c r="D1273" s="1" t="s">
        <v>104</v>
      </c>
      <c r="E1273" s="1" t="s">
        <v>3425</v>
      </c>
      <c r="F1273" s="1" t="s">
        <v>1015</v>
      </c>
      <c r="G1273" s="1" t="s">
        <v>1010</v>
      </c>
      <c r="H1273" s="1">
        <v>14</v>
      </c>
      <c r="I1273" s="1">
        <v>3</v>
      </c>
      <c r="J1273" s="1" t="s">
        <v>2660</v>
      </c>
      <c r="K1273" s="2">
        <v>414.26</v>
      </c>
      <c r="L1273" s="1">
        <v>10</v>
      </c>
      <c r="M1273" s="2">
        <v>5799.64</v>
      </c>
      <c r="N1273" s="2">
        <v>579.96</v>
      </c>
      <c r="O1273" s="2">
        <v>5219.68</v>
      </c>
      <c r="P1273" s="1">
        <v>90</v>
      </c>
      <c r="Q1273" s="2">
        <v>289.98</v>
      </c>
      <c r="R1273" s="2">
        <v>1159.96</v>
      </c>
      <c r="S1273" s="1" t="s">
        <v>1003</v>
      </c>
      <c r="T1273" s="1" t="s">
        <v>1004</v>
      </c>
      <c r="U1273" s="1" t="s">
        <v>1007</v>
      </c>
    </row>
    <row r="1274" spans="1:21" x14ac:dyDescent="0.3">
      <c r="A1274" s="1" t="s">
        <v>2288</v>
      </c>
      <c r="B1274" s="1" t="s">
        <v>130</v>
      </c>
      <c r="C1274" s="1" t="s">
        <v>131</v>
      </c>
      <c r="D1274" s="1" t="s">
        <v>132</v>
      </c>
      <c r="E1274" s="1" t="s">
        <v>3426</v>
      </c>
      <c r="F1274" s="1" t="s">
        <v>1013</v>
      </c>
      <c r="G1274" s="1" t="s">
        <v>1023</v>
      </c>
      <c r="H1274" s="1">
        <v>4</v>
      </c>
      <c r="I1274" s="1">
        <v>2</v>
      </c>
      <c r="J1274" s="1" t="s">
        <v>2538</v>
      </c>
      <c r="K1274" s="2">
        <v>118.77</v>
      </c>
      <c r="L1274" s="1">
        <v>18</v>
      </c>
      <c r="M1274" s="2">
        <v>475.08</v>
      </c>
      <c r="N1274" s="2">
        <v>85.51</v>
      </c>
      <c r="O1274" s="2">
        <v>389.57</v>
      </c>
      <c r="P1274" s="1">
        <v>275</v>
      </c>
      <c r="Q1274" s="2">
        <v>83.14</v>
      </c>
      <c r="R1274" s="2">
        <v>57.01</v>
      </c>
      <c r="S1274" s="1" t="s">
        <v>1011</v>
      </c>
      <c r="T1274" s="1" t="s">
        <v>1004</v>
      </c>
      <c r="U1274" s="1" t="s">
        <v>1007</v>
      </c>
    </row>
    <row r="1275" spans="1:21" x14ac:dyDescent="0.3">
      <c r="A1275" s="1" t="s">
        <v>2289</v>
      </c>
      <c r="B1275" s="1" t="s">
        <v>111</v>
      </c>
      <c r="C1275" s="1" t="s">
        <v>112</v>
      </c>
      <c r="D1275" s="1" t="s">
        <v>97</v>
      </c>
      <c r="E1275" s="1" t="s">
        <v>3427</v>
      </c>
      <c r="F1275" s="1" t="s">
        <v>1027</v>
      </c>
      <c r="G1275" s="1" t="s">
        <v>1002</v>
      </c>
      <c r="H1275" s="1">
        <v>1</v>
      </c>
      <c r="I1275" s="1">
        <v>6</v>
      </c>
      <c r="J1275" s="1" t="s">
        <v>2618</v>
      </c>
      <c r="K1275" s="2">
        <v>391.85</v>
      </c>
      <c r="L1275" s="1">
        <v>24</v>
      </c>
      <c r="M1275" s="2">
        <v>391.85</v>
      </c>
      <c r="N1275" s="2">
        <v>94.04</v>
      </c>
      <c r="O1275" s="2">
        <v>297.81</v>
      </c>
      <c r="P1275" s="1">
        <v>125</v>
      </c>
      <c r="Q1275" s="2">
        <v>274.3</v>
      </c>
      <c r="R1275" s="2">
        <v>23.51</v>
      </c>
      <c r="S1275" s="1" t="s">
        <v>1011</v>
      </c>
      <c r="T1275" s="1" t="s">
        <v>1007</v>
      </c>
      <c r="U1275" s="1" t="s">
        <v>1004</v>
      </c>
    </row>
    <row r="1276" spans="1:21" x14ac:dyDescent="0.3">
      <c r="A1276" s="1" t="s">
        <v>2290</v>
      </c>
      <c r="B1276" s="1" t="s">
        <v>95</v>
      </c>
      <c r="C1276" s="1" t="s">
        <v>96</v>
      </c>
      <c r="D1276" s="1" t="s">
        <v>97</v>
      </c>
      <c r="E1276" s="1" t="s">
        <v>3428</v>
      </c>
      <c r="F1276" s="1" t="s">
        <v>1006</v>
      </c>
      <c r="G1276" s="1" t="s">
        <v>1023</v>
      </c>
      <c r="H1276" s="1">
        <v>15</v>
      </c>
      <c r="I1276" s="1">
        <v>7</v>
      </c>
      <c r="J1276" s="1" t="s">
        <v>2893</v>
      </c>
      <c r="K1276" s="2">
        <v>227.38</v>
      </c>
      <c r="L1276" s="1">
        <v>2</v>
      </c>
      <c r="M1276" s="2">
        <v>3410.7</v>
      </c>
      <c r="N1276" s="2">
        <v>68.209999999999994</v>
      </c>
      <c r="O1276" s="2">
        <v>3342.49</v>
      </c>
      <c r="P1276" s="1">
        <v>191</v>
      </c>
      <c r="Q1276" s="2">
        <v>159.16999999999999</v>
      </c>
      <c r="R1276" s="2">
        <v>954.94</v>
      </c>
      <c r="S1276" s="1" t="s">
        <v>1003</v>
      </c>
      <c r="T1276" s="1" t="s">
        <v>1007</v>
      </c>
      <c r="U1276" s="1" t="s">
        <v>1007</v>
      </c>
    </row>
    <row r="1277" spans="1:21" x14ac:dyDescent="0.3">
      <c r="A1277" s="1" t="s">
        <v>2291</v>
      </c>
      <c r="B1277" s="1" t="s">
        <v>237</v>
      </c>
      <c r="C1277" s="1" t="s">
        <v>238</v>
      </c>
      <c r="D1277" s="1" t="s">
        <v>85</v>
      </c>
      <c r="E1277" s="1" t="s">
        <v>3429</v>
      </c>
      <c r="F1277" s="1" t="s">
        <v>1009</v>
      </c>
      <c r="G1277" s="1" t="s">
        <v>1010</v>
      </c>
      <c r="H1277" s="1">
        <v>12</v>
      </c>
      <c r="I1277" s="1">
        <v>2</v>
      </c>
      <c r="J1277" s="1" t="s">
        <v>3364</v>
      </c>
      <c r="K1277" s="2">
        <v>383.14</v>
      </c>
      <c r="L1277" s="1">
        <v>10</v>
      </c>
      <c r="M1277" s="2">
        <v>4597.68</v>
      </c>
      <c r="N1277" s="2">
        <v>459.77</v>
      </c>
      <c r="O1277" s="2">
        <v>4137.91</v>
      </c>
      <c r="P1277" s="1">
        <v>163</v>
      </c>
      <c r="Q1277" s="2">
        <v>268.2</v>
      </c>
      <c r="R1277" s="2">
        <v>919.51</v>
      </c>
      <c r="S1277" s="1" t="s">
        <v>1003</v>
      </c>
      <c r="T1277" s="1" t="s">
        <v>1004</v>
      </c>
      <c r="U1277" s="1" t="s">
        <v>1004</v>
      </c>
    </row>
    <row r="1278" spans="1:21" x14ac:dyDescent="0.3">
      <c r="A1278" s="1" t="s">
        <v>2292</v>
      </c>
      <c r="B1278" s="1" t="s">
        <v>189</v>
      </c>
      <c r="C1278" s="1" t="s">
        <v>190</v>
      </c>
      <c r="D1278" s="1" t="s">
        <v>59</v>
      </c>
      <c r="E1278" s="1" t="s">
        <v>3430</v>
      </c>
      <c r="F1278" s="1" t="s">
        <v>1027</v>
      </c>
      <c r="G1278" s="1" t="s">
        <v>1010</v>
      </c>
      <c r="H1278" s="1">
        <v>15</v>
      </c>
      <c r="I1278" s="1">
        <v>5</v>
      </c>
      <c r="J1278" s="1" t="s">
        <v>2550</v>
      </c>
      <c r="K1278" s="2">
        <v>121.19</v>
      </c>
      <c r="L1278" s="1">
        <v>14</v>
      </c>
      <c r="M1278" s="2">
        <v>1817.85</v>
      </c>
      <c r="N1278" s="2">
        <v>254.5</v>
      </c>
      <c r="O1278" s="2">
        <v>1563.35</v>
      </c>
      <c r="P1278" s="1">
        <v>164</v>
      </c>
      <c r="Q1278" s="2">
        <v>84.83</v>
      </c>
      <c r="R1278" s="2">
        <v>290.89999999999998</v>
      </c>
      <c r="S1278" s="1" t="s">
        <v>1016</v>
      </c>
      <c r="T1278" s="1" t="s">
        <v>1007</v>
      </c>
      <c r="U1278" s="1" t="s">
        <v>1004</v>
      </c>
    </row>
    <row r="1279" spans="1:21" x14ac:dyDescent="0.3">
      <c r="A1279" s="1" t="s">
        <v>2293</v>
      </c>
      <c r="B1279" s="1" t="s">
        <v>26</v>
      </c>
      <c r="C1279" s="1" t="s">
        <v>27</v>
      </c>
      <c r="D1279" s="1" t="s">
        <v>28</v>
      </c>
      <c r="E1279" s="1" t="s">
        <v>3431</v>
      </c>
      <c r="F1279" s="1" t="s">
        <v>1015</v>
      </c>
      <c r="G1279" s="1" t="s">
        <v>1010</v>
      </c>
      <c r="H1279" s="1">
        <v>6</v>
      </c>
      <c r="I1279" s="1">
        <v>7</v>
      </c>
      <c r="J1279" s="1" t="s">
        <v>2542</v>
      </c>
      <c r="K1279" s="2">
        <v>62</v>
      </c>
      <c r="L1279" s="1">
        <v>15</v>
      </c>
      <c r="M1279" s="2">
        <v>372</v>
      </c>
      <c r="N1279" s="2">
        <v>55.8</v>
      </c>
      <c r="O1279" s="2">
        <v>316.2</v>
      </c>
      <c r="P1279" s="1">
        <v>209</v>
      </c>
      <c r="Q1279" s="2">
        <v>43.4</v>
      </c>
      <c r="R1279" s="2">
        <v>55.8</v>
      </c>
      <c r="S1279" s="1" t="s">
        <v>1016</v>
      </c>
      <c r="T1279" s="1" t="s">
        <v>1007</v>
      </c>
      <c r="U1279" s="1" t="s">
        <v>1007</v>
      </c>
    </row>
    <row r="1280" spans="1:21" x14ac:dyDescent="0.3">
      <c r="A1280" s="1" t="s">
        <v>2294</v>
      </c>
      <c r="B1280" s="1" t="s">
        <v>237</v>
      </c>
      <c r="C1280" s="1" t="s">
        <v>238</v>
      </c>
      <c r="D1280" s="1" t="s">
        <v>85</v>
      </c>
      <c r="E1280" s="1" t="s">
        <v>3432</v>
      </c>
      <c r="F1280" s="1" t="s">
        <v>1015</v>
      </c>
      <c r="G1280" s="1" t="s">
        <v>1023</v>
      </c>
      <c r="H1280" s="1">
        <v>3</v>
      </c>
      <c r="I1280" s="1">
        <v>7</v>
      </c>
      <c r="J1280" s="1" t="s">
        <v>2866</v>
      </c>
      <c r="K1280" s="2">
        <v>90.39</v>
      </c>
      <c r="L1280" s="1">
        <v>6</v>
      </c>
      <c r="M1280" s="2">
        <v>271.17</v>
      </c>
      <c r="N1280" s="2">
        <v>16.27</v>
      </c>
      <c r="O1280" s="2">
        <v>254.9</v>
      </c>
      <c r="P1280" s="1">
        <v>234</v>
      </c>
      <c r="Q1280" s="2">
        <v>63.27</v>
      </c>
      <c r="R1280" s="2">
        <v>65.09</v>
      </c>
      <c r="S1280" s="1" t="s">
        <v>1003</v>
      </c>
      <c r="T1280" s="1" t="s">
        <v>1007</v>
      </c>
      <c r="U1280" s="1" t="s">
        <v>1007</v>
      </c>
    </row>
    <row r="1281" spans="1:21" x14ac:dyDescent="0.3">
      <c r="A1281" s="1" t="s">
        <v>2295</v>
      </c>
      <c r="B1281" s="1" t="s">
        <v>69</v>
      </c>
      <c r="C1281" s="1" t="s">
        <v>70</v>
      </c>
      <c r="D1281" s="1" t="s">
        <v>59</v>
      </c>
      <c r="E1281" s="1" t="s">
        <v>3433</v>
      </c>
      <c r="F1281" s="1" t="s">
        <v>1009</v>
      </c>
      <c r="G1281" s="1" t="s">
        <v>1023</v>
      </c>
      <c r="H1281" s="1">
        <v>6</v>
      </c>
      <c r="I1281" s="1">
        <v>6</v>
      </c>
      <c r="J1281" s="1" t="s">
        <v>2858</v>
      </c>
      <c r="K1281" s="2">
        <v>192.93</v>
      </c>
      <c r="L1281" s="1">
        <v>4</v>
      </c>
      <c r="M1281" s="2">
        <v>1157.58</v>
      </c>
      <c r="N1281" s="2">
        <v>46.3</v>
      </c>
      <c r="O1281" s="2">
        <v>1111.28</v>
      </c>
      <c r="P1281" s="1">
        <v>85</v>
      </c>
      <c r="Q1281" s="2">
        <v>135.05000000000001</v>
      </c>
      <c r="R1281" s="2">
        <v>300.98</v>
      </c>
      <c r="S1281" s="1" t="s">
        <v>1003</v>
      </c>
      <c r="T1281" s="1" t="s">
        <v>1004</v>
      </c>
      <c r="U1281" s="1" t="s">
        <v>1004</v>
      </c>
    </row>
    <row r="1282" spans="1:21" x14ac:dyDescent="0.3">
      <c r="A1282" s="1" t="s">
        <v>2296</v>
      </c>
      <c r="B1282" s="1" t="s">
        <v>83</v>
      </c>
      <c r="C1282" s="1" t="s">
        <v>84</v>
      </c>
      <c r="D1282" s="1" t="s">
        <v>85</v>
      </c>
      <c r="E1282" s="1" t="s">
        <v>3434</v>
      </c>
      <c r="F1282" s="1" t="s">
        <v>1006</v>
      </c>
      <c r="G1282" s="1" t="s">
        <v>1023</v>
      </c>
      <c r="H1282" s="1">
        <v>10</v>
      </c>
      <c r="I1282" s="1">
        <v>2</v>
      </c>
      <c r="J1282" s="1" t="s">
        <v>2789</v>
      </c>
      <c r="K1282" s="2">
        <v>54.7</v>
      </c>
      <c r="L1282" s="1">
        <v>2</v>
      </c>
      <c r="M1282" s="2">
        <v>547</v>
      </c>
      <c r="N1282" s="2">
        <v>10.94</v>
      </c>
      <c r="O1282" s="2">
        <v>536.05999999999995</v>
      </c>
      <c r="P1282" s="1">
        <v>158</v>
      </c>
      <c r="Q1282" s="2">
        <v>38.29</v>
      </c>
      <c r="R1282" s="2">
        <v>153.16</v>
      </c>
      <c r="S1282" s="1" t="s">
        <v>1011</v>
      </c>
      <c r="T1282" s="1" t="s">
        <v>1007</v>
      </c>
      <c r="U1282" s="1" t="s">
        <v>1007</v>
      </c>
    </row>
    <row r="1283" spans="1:21" x14ac:dyDescent="0.3">
      <c r="A1283" s="1" t="s">
        <v>2297</v>
      </c>
      <c r="B1283" s="1" t="s">
        <v>72</v>
      </c>
      <c r="C1283" s="1" t="s">
        <v>73</v>
      </c>
      <c r="D1283" s="1" t="s">
        <v>47</v>
      </c>
      <c r="E1283" s="1" t="s">
        <v>3435</v>
      </c>
      <c r="F1283" s="1" t="s">
        <v>1009</v>
      </c>
      <c r="G1283" s="1" t="s">
        <v>1023</v>
      </c>
      <c r="H1283" s="1">
        <v>13</v>
      </c>
      <c r="I1283" s="1">
        <v>7</v>
      </c>
      <c r="J1283" s="1" t="s">
        <v>2842</v>
      </c>
      <c r="K1283" s="2">
        <v>454.41</v>
      </c>
      <c r="L1283" s="1">
        <v>7</v>
      </c>
      <c r="M1283" s="2">
        <v>5907.33</v>
      </c>
      <c r="N1283" s="2">
        <v>413.51</v>
      </c>
      <c r="O1283" s="2">
        <v>5493.82</v>
      </c>
      <c r="P1283" s="1">
        <v>64</v>
      </c>
      <c r="Q1283" s="2">
        <v>318.08999999999997</v>
      </c>
      <c r="R1283" s="2">
        <v>1358.65</v>
      </c>
      <c r="S1283" s="1" t="s">
        <v>1003</v>
      </c>
      <c r="T1283" s="1" t="s">
        <v>1007</v>
      </c>
      <c r="U1283" s="1" t="s">
        <v>1007</v>
      </c>
    </row>
    <row r="1284" spans="1:21" x14ac:dyDescent="0.3">
      <c r="A1284" s="1" t="s">
        <v>2298</v>
      </c>
      <c r="B1284" s="1" t="s">
        <v>26</v>
      </c>
      <c r="C1284" s="1" t="s">
        <v>27</v>
      </c>
      <c r="D1284" s="1" t="s">
        <v>28</v>
      </c>
      <c r="E1284" s="1" t="s">
        <v>3436</v>
      </c>
      <c r="F1284" s="1" t="s">
        <v>1027</v>
      </c>
      <c r="G1284" s="1" t="s">
        <v>1002</v>
      </c>
      <c r="H1284" s="1">
        <v>7</v>
      </c>
      <c r="I1284" s="1">
        <v>5</v>
      </c>
      <c r="J1284" s="1" t="s">
        <v>2785</v>
      </c>
      <c r="K1284" s="2">
        <v>343.74</v>
      </c>
      <c r="L1284" s="1">
        <v>19</v>
      </c>
      <c r="M1284" s="2">
        <v>2406.1799999999998</v>
      </c>
      <c r="N1284" s="2">
        <v>457.17</v>
      </c>
      <c r="O1284" s="2">
        <v>1949.01</v>
      </c>
      <c r="P1284" s="1">
        <v>161</v>
      </c>
      <c r="Q1284" s="2">
        <v>240.62</v>
      </c>
      <c r="R1284" s="2">
        <v>264.67</v>
      </c>
      <c r="S1284" s="1" t="s">
        <v>1011</v>
      </c>
      <c r="T1284" s="1" t="s">
        <v>1004</v>
      </c>
      <c r="U1284" s="1" t="s">
        <v>1004</v>
      </c>
    </row>
    <row r="1285" spans="1:21" x14ac:dyDescent="0.3">
      <c r="A1285" s="1" t="s">
        <v>2299</v>
      </c>
      <c r="B1285" s="1" t="s">
        <v>52</v>
      </c>
      <c r="C1285" s="1" t="s">
        <v>53</v>
      </c>
      <c r="D1285" s="1" t="s">
        <v>47</v>
      </c>
      <c r="E1285" s="1" t="s">
        <v>3437</v>
      </c>
      <c r="F1285" s="1" t="s">
        <v>1009</v>
      </c>
      <c r="G1285" s="1" t="s">
        <v>1023</v>
      </c>
      <c r="H1285" s="1">
        <v>1</v>
      </c>
      <c r="I1285" s="1">
        <v>4</v>
      </c>
      <c r="J1285" s="1" t="s">
        <v>2672</v>
      </c>
      <c r="K1285" s="2">
        <v>466.28</v>
      </c>
      <c r="L1285" s="1">
        <v>2</v>
      </c>
      <c r="M1285" s="2">
        <v>466.28</v>
      </c>
      <c r="N1285" s="2">
        <v>9.33</v>
      </c>
      <c r="O1285" s="2">
        <v>456.95</v>
      </c>
      <c r="P1285" s="1">
        <v>207</v>
      </c>
      <c r="Q1285" s="2">
        <v>326.39999999999998</v>
      </c>
      <c r="R1285" s="2">
        <v>130.55000000000001</v>
      </c>
      <c r="S1285" s="1" t="s">
        <v>1011</v>
      </c>
      <c r="T1285" s="1" t="s">
        <v>1007</v>
      </c>
      <c r="U1285" s="1" t="s">
        <v>1004</v>
      </c>
    </row>
    <row r="1286" spans="1:21" x14ac:dyDescent="0.3">
      <c r="A1286" s="1" t="s">
        <v>2300</v>
      </c>
      <c r="B1286" s="1" t="s">
        <v>166</v>
      </c>
      <c r="C1286" s="1" t="s">
        <v>167</v>
      </c>
      <c r="D1286" s="1" t="s">
        <v>59</v>
      </c>
      <c r="E1286" s="1" t="s">
        <v>3438</v>
      </c>
      <c r="F1286" s="1" t="s">
        <v>1027</v>
      </c>
      <c r="G1286" s="1" t="s">
        <v>1002</v>
      </c>
      <c r="H1286" s="1">
        <v>9</v>
      </c>
      <c r="I1286" s="1">
        <v>1</v>
      </c>
      <c r="J1286" s="1" t="s">
        <v>2628</v>
      </c>
      <c r="K1286" s="2">
        <v>165.63</v>
      </c>
      <c r="L1286" s="1">
        <v>2</v>
      </c>
      <c r="M1286" s="2">
        <v>1490.67</v>
      </c>
      <c r="N1286" s="2">
        <v>29.81</v>
      </c>
      <c r="O1286" s="2">
        <v>1460.86</v>
      </c>
      <c r="P1286" s="1">
        <v>99</v>
      </c>
      <c r="Q1286" s="2">
        <v>115.94</v>
      </c>
      <c r="R1286" s="2">
        <v>417.4</v>
      </c>
      <c r="S1286" s="1" t="s">
        <v>1011</v>
      </c>
      <c r="T1286" s="1" t="s">
        <v>1007</v>
      </c>
      <c r="U1286" s="1" t="s">
        <v>1007</v>
      </c>
    </row>
    <row r="1287" spans="1:21" x14ac:dyDescent="0.3">
      <c r="A1287" s="1" t="s">
        <v>2301</v>
      </c>
      <c r="B1287" s="1" t="s">
        <v>37</v>
      </c>
      <c r="C1287" s="1" t="s">
        <v>38</v>
      </c>
      <c r="D1287" s="1" t="s">
        <v>39</v>
      </c>
      <c r="E1287" s="1" t="s">
        <v>3439</v>
      </c>
      <c r="F1287" s="1" t="s">
        <v>1009</v>
      </c>
      <c r="G1287" s="1" t="s">
        <v>1002</v>
      </c>
      <c r="H1287" s="1">
        <v>10</v>
      </c>
      <c r="I1287" s="1">
        <v>2</v>
      </c>
      <c r="J1287" s="1" t="s">
        <v>2571</v>
      </c>
      <c r="K1287" s="2">
        <v>303.75</v>
      </c>
      <c r="L1287" s="1">
        <v>12</v>
      </c>
      <c r="M1287" s="2">
        <v>3037.5</v>
      </c>
      <c r="N1287" s="2">
        <v>364.5</v>
      </c>
      <c r="O1287" s="2">
        <v>2673</v>
      </c>
      <c r="P1287" s="1">
        <v>188</v>
      </c>
      <c r="Q1287" s="2">
        <v>212.62</v>
      </c>
      <c r="R1287" s="2">
        <v>546.79999999999995</v>
      </c>
      <c r="S1287" s="1" t="s">
        <v>1011</v>
      </c>
      <c r="T1287" s="1" t="s">
        <v>1004</v>
      </c>
      <c r="U1287" s="1" t="s">
        <v>1007</v>
      </c>
    </row>
    <row r="1288" spans="1:21" x14ac:dyDescent="0.3">
      <c r="A1288" s="1" t="s">
        <v>2302</v>
      </c>
      <c r="B1288" s="1" t="s">
        <v>107</v>
      </c>
      <c r="C1288" s="1" t="s">
        <v>108</v>
      </c>
      <c r="D1288" s="1" t="s">
        <v>39</v>
      </c>
      <c r="E1288" s="1" t="s">
        <v>3440</v>
      </c>
      <c r="F1288" s="1" t="s">
        <v>1020</v>
      </c>
      <c r="G1288" s="1" t="s">
        <v>1002</v>
      </c>
      <c r="H1288" s="1">
        <v>15</v>
      </c>
      <c r="I1288" s="1">
        <v>6</v>
      </c>
      <c r="J1288" s="1" t="s">
        <v>2545</v>
      </c>
      <c r="K1288" s="2">
        <v>437.1</v>
      </c>
      <c r="L1288" s="1">
        <v>18</v>
      </c>
      <c r="M1288" s="2">
        <v>6556.5</v>
      </c>
      <c r="N1288" s="2">
        <v>1180.17</v>
      </c>
      <c r="O1288" s="2">
        <v>5376.33</v>
      </c>
      <c r="P1288" s="1">
        <v>139</v>
      </c>
      <c r="Q1288" s="2">
        <v>305.97000000000003</v>
      </c>
      <c r="R1288" s="2">
        <v>786.78</v>
      </c>
      <c r="S1288" s="1" t="s">
        <v>1016</v>
      </c>
      <c r="T1288" s="1" t="s">
        <v>1004</v>
      </c>
      <c r="U1288" s="1" t="s">
        <v>1007</v>
      </c>
    </row>
    <row r="1289" spans="1:21" x14ac:dyDescent="0.3">
      <c r="A1289" s="1" t="s">
        <v>2303</v>
      </c>
      <c r="B1289" s="1" t="s">
        <v>102</v>
      </c>
      <c r="C1289" s="1" t="s">
        <v>103</v>
      </c>
      <c r="D1289" s="1" t="s">
        <v>104</v>
      </c>
      <c r="E1289" s="1" t="s">
        <v>3441</v>
      </c>
      <c r="F1289" s="1" t="s">
        <v>1020</v>
      </c>
      <c r="G1289" s="1" t="s">
        <v>1002</v>
      </c>
      <c r="H1289" s="1">
        <v>10</v>
      </c>
      <c r="I1289" s="1">
        <v>6</v>
      </c>
      <c r="J1289" s="1" t="s">
        <v>3122</v>
      </c>
      <c r="K1289" s="2">
        <v>332.71</v>
      </c>
      <c r="L1289" s="1">
        <v>7</v>
      </c>
      <c r="M1289" s="2">
        <v>3327.1</v>
      </c>
      <c r="N1289" s="2">
        <v>232.9</v>
      </c>
      <c r="O1289" s="2">
        <v>3094.2</v>
      </c>
      <c r="P1289" s="1">
        <v>195</v>
      </c>
      <c r="Q1289" s="2">
        <v>232.9</v>
      </c>
      <c r="R1289" s="2">
        <v>765.2</v>
      </c>
      <c r="S1289" s="1" t="s">
        <v>1011</v>
      </c>
      <c r="T1289" s="1" t="s">
        <v>1004</v>
      </c>
      <c r="U1289" s="1" t="s">
        <v>1004</v>
      </c>
    </row>
    <row r="1290" spans="1:21" x14ac:dyDescent="0.3">
      <c r="A1290" s="1" t="s">
        <v>2304</v>
      </c>
      <c r="B1290" s="1" t="s">
        <v>118</v>
      </c>
      <c r="C1290" s="1" t="s">
        <v>119</v>
      </c>
      <c r="D1290" s="1" t="s">
        <v>97</v>
      </c>
      <c r="E1290" s="1" t="s">
        <v>3442</v>
      </c>
      <c r="F1290" s="1" t="s">
        <v>1006</v>
      </c>
      <c r="G1290" s="1" t="s">
        <v>1010</v>
      </c>
      <c r="H1290" s="1">
        <v>5</v>
      </c>
      <c r="I1290" s="1">
        <v>3</v>
      </c>
      <c r="J1290" s="1" t="s">
        <v>2871</v>
      </c>
      <c r="K1290" s="2">
        <v>402.44</v>
      </c>
      <c r="L1290" s="1">
        <v>17</v>
      </c>
      <c r="M1290" s="2">
        <v>2012.2</v>
      </c>
      <c r="N1290" s="2">
        <v>342.07</v>
      </c>
      <c r="O1290" s="2">
        <v>1670.13</v>
      </c>
      <c r="P1290" s="1">
        <v>176</v>
      </c>
      <c r="Q1290" s="2">
        <v>281.70999999999998</v>
      </c>
      <c r="R1290" s="2">
        <v>261.58</v>
      </c>
      <c r="S1290" s="1" t="s">
        <v>1011</v>
      </c>
      <c r="T1290" s="1" t="s">
        <v>1007</v>
      </c>
      <c r="U1290" s="1" t="s">
        <v>1004</v>
      </c>
    </row>
    <row r="1291" spans="1:21" x14ac:dyDescent="0.3">
      <c r="A1291" s="1" t="s">
        <v>2305</v>
      </c>
      <c r="B1291" s="1" t="s">
        <v>189</v>
      </c>
      <c r="C1291" s="1" t="s">
        <v>190</v>
      </c>
      <c r="D1291" s="1" t="s">
        <v>59</v>
      </c>
      <c r="E1291" s="1" t="s">
        <v>3443</v>
      </c>
      <c r="F1291" s="1" t="s">
        <v>1015</v>
      </c>
      <c r="G1291" s="1" t="s">
        <v>1002</v>
      </c>
      <c r="H1291" s="1">
        <v>5</v>
      </c>
      <c r="I1291" s="1">
        <v>1</v>
      </c>
      <c r="J1291" s="1" t="s">
        <v>2875</v>
      </c>
      <c r="K1291" s="2">
        <v>404.7</v>
      </c>
      <c r="L1291" s="1">
        <v>14</v>
      </c>
      <c r="M1291" s="2">
        <v>2023.5</v>
      </c>
      <c r="N1291" s="2">
        <v>283.29000000000002</v>
      </c>
      <c r="O1291" s="2">
        <v>1740.21</v>
      </c>
      <c r="P1291" s="1">
        <v>108</v>
      </c>
      <c r="Q1291" s="2">
        <v>283.29000000000002</v>
      </c>
      <c r="R1291" s="2">
        <v>323.76</v>
      </c>
      <c r="S1291" s="1" t="s">
        <v>1003</v>
      </c>
      <c r="T1291" s="1" t="s">
        <v>1007</v>
      </c>
      <c r="U1291" s="1" t="s">
        <v>1004</v>
      </c>
    </row>
    <row r="1292" spans="1:21" x14ac:dyDescent="0.3">
      <c r="A1292" s="1" t="s">
        <v>2306</v>
      </c>
      <c r="B1292" s="1" t="s">
        <v>111</v>
      </c>
      <c r="C1292" s="1" t="s">
        <v>112</v>
      </c>
      <c r="D1292" s="1" t="s">
        <v>97</v>
      </c>
      <c r="E1292" s="1" t="s">
        <v>3444</v>
      </c>
      <c r="F1292" s="1" t="s">
        <v>1013</v>
      </c>
      <c r="G1292" s="1" t="s">
        <v>1002</v>
      </c>
      <c r="H1292" s="1">
        <v>8</v>
      </c>
      <c r="I1292" s="1">
        <v>3</v>
      </c>
      <c r="J1292" s="1" t="s">
        <v>2525</v>
      </c>
      <c r="K1292" s="2">
        <v>320.52999999999997</v>
      </c>
      <c r="L1292" s="1">
        <v>11</v>
      </c>
      <c r="M1292" s="2">
        <v>2564.2399999999998</v>
      </c>
      <c r="N1292" s="2">
        <v>282.07</v>
      </c>
      <c r="O1292" s="2">
        <v>2282.17</v>
      </c>
      <c r="P1292" s="1">
        <v>174</v>
      </c>
      <c r="Q1292" s="2">
        <v>224.37</v>
      </c>
      <c r="R1292" s="2">
        <v>487.21</v>
      </c>
      <c r="S1292" s="1" t="s">
        <v>1003</v>
      </c>
      <c r="T1292" s="1" t="s">
        <v>1004</v>
      </c>
      <c r="U1292" s="1" t="s">
        <v>1007</v>
      </c>
    </row>
    <row r="1293" spans="1:21" x14ac:dyDescent="0.3">
      <c r="A1293" s="1" t="s">
        <v>2307</v>
      </c>
      <c r="B1293" s="1" t="s">
        <v>37</v>
      </c>
      <c r="C1293" s="1" t="s">
        <v>38</v>
      </c>
      <c r="D1293" s="1" t="s">
        <v>39</v>
      </c>
      <c r="E1293" s="1" t="s">
        <v>3445</v>
      </c>
      <c r="F1293" s="1" t="s">
        <v>1020</v>
      </c>
      <c r="G1293" s="1" t="s">
        <v>1010</v>
      </c>
      <c r="H1293" s="1">
        <v>4</v>
      </c>
      <c r="I1293" s="1">
        <v>2</v>
      </c>
      <c r="J1293" s="1" t="s">
        <v>2742</v>
      </c>
      <c r="K1293" s="2">
        <v>480.94</v>
      </c>
      <c r="L1293" s="1">
        <v>19</v>
      </c>
      <c r="M1293" s="2">
        <v>1923.76</v>
      </c>
      <c r="N1293" s="2">
        <v>365.51</v>
      </c>
      <c r="O1293" s="2">
        <v>1558.25</v>
      </c>
      <c r="P1293" s="1">
        <v>239</v>
      </c>
      <c r="Q1293" s="2">
        <v>336.66</v>
      </c>
      <c r="R1293" s="2">
        <v>211.61</v>
      </c>
      <c r="S1293" s="1" t="s">
        <v>1011</v>
      </c>
      <c r="T1293" s="1" t="s">
        <v>1007</v>
      </c>
      <c r="U1293" s="1" t="s">
        <v>1007</v>
      </c>
    </row>
    <row r="1294" spans="1:21" x14ac:dyDescent="0.3">
      <c r="A1294" s="1" t="s">
        <v>2308</v>
      </c>
      <c r="B1294" s="1" t="s">
        <v>83</v>
      </c>
      <c r="C1294" s="1" t="s">
        <v>84</v>
      </c>
      <c r="D1294" s="1" t="s">
        <v>85</v>
      </c>
      <c r="E1294" s="1" t="s">
        <v>3446</v>
      </c>
      <c r="F1294" s="1" t="s">
        <v>1020</v>
      </c>
      <c r="G1294" s="1" t="s">
        <v>1023</v>
      </c>
      <c r="H1294" s="1">
        <v>4</v>
      </c>
      <c r="I1294" s="1">
        <v>7</v>
      </c>
      <c r="J1294" s="1" t="s">
        <v>2725</v>
      </c>
      <c r="K1294" s="2">
        <v>207.48</v>
      </c>
      <c r="L1294" s="1">
        <v>4</v>
      </c>
      <c r="M1294" s="2">
        <v>829.92</v>
      </c>
      <c r="N1294" s="2">
        <v>33.200000000000003</v>
      </c>
      <c r="O1294" s="2">
        <v>796.72</v>
      </c>
      <c r="P1294" s="1">
        <v>221</v>
      </c>
      <c r="Q1294" s="2">
        <v>145.24</v>
      </c>
      <c r="R1294" s="2">
        <v>215.76</v>
      </c>
      <c r="S1294" s="1" t="s">
        <v>1011</v>
      </c>
      <c r="T1294" s="1" t="s">
        <v>1004</v>
      </c>
      <c r="U1294" s="1" t="s">
        <v>1007</v>
      </c>
    </row>
    <row r="1295" spans="1:21" x14ac:dyDescent="0.3">
      <c r="A1295" s="1" t="s">
        <v>2309</v>
      </c>
      <c r="B1295" s="1" t="s">
        <v>123</v>
      </c>
      <c r="C1295" s="1" t="s">
        <v>124</v>
      </c>
      <c r="D1295" s="1" t="s">
        <v>47</v>
      </c>
      <c r="E1295" s="1" t="s">
        <v>3447</v>
      </c>
      <c r="F1295" s="1" t="s">
        <v>1009</v>
      </c>
      <c r="G1295" s="1" t="s">
        <v>1010</v>
      </c>
      <c r="H1295" s="1">
        <v>5</v>
      </c>
      <c r="I1295" s="1">
        <v>7</v>
      </c>
      <c r="J1295" s="1" t="s">
        <v>2862</v>
      </c>
      <c r="K1295" s="2">
        <v>441.93</v>
      </c>
      <c r="L1295" s="1">
        <v>25</v>
      </c>
      <c r="M1295" s="2">
        <v>2209.65</v>
      </c>
      <c r="N1295" s="2">
        <v>552.41</v>
      </c>
      <c r="O1295" s="2">
        <v>1657.24</v>
      </c>
      <c r="P1295" s="1">
        <v>155</v>
      </c>
      <c r="Q1295" s="2">
        <v>309.35000000000002</v>
      </c>
      <c r="R1295" s="2">
        <v>110.49</v>
      </c>
      <c r="S1295" s="1" t="s">
        <v>1016</v>
      </c>
      <c r="T1295" s="1" t="s">
        <v>1007</v>
      </c>
      <c r="U1295" s="1" t="s">
        <v>1004</v>
      </c>
    </row>
    <row r="1296" spans="1:21" x14ac:dyDescent="0.3">
      <c r="A1296" s="1" t="s">
        <v>2310</v>
      </c>
      <c r="B1296" s="1" t="s">
        <v>166</v>
      </c>
      <c r="C1296" s="1" t="s">
        <v>167</v>
      </c>
      <c r="D1296" s="1" t="s">
        <v>59</v>
      </c>
      <c r="E1296" s="1" t="s">
        <v>3448</v>
      </c>
      <c r="F1296" s="1" t="s">
        <v>1013</v>
      </c>
      <c r="G1296" s="1" t="s">
        <v>1002</v>
      </c>
      <c r="H1296" s="1">
        <v>8</v>
      </c>
      <c r="I1296" s="1">
        <v>4</v>
      </c>
      <c r="J1296" s="1" t="s">
        <v>2905</v>
      </c>
      <c r="K1296" s="2">
        <v>390.39</v>
      </c>
      <c r="L1296" s="1">
        <v>1</v>
      </c>
      <c r="M1296" s="2">
        <v>3123.12</v>
      </c>
      <c r="N1296" s="2">
        <v>31.23</v>
      </c>
      <c r="O1296" s="2">
        <v>3091.89</v>
      </c>
      <c r="P1296" s="1">
        <v>142</v>
      </c>
      <c r="Q1296" s="2">
        <v>273.27</v>
      </c>
      <c r="R1296" s="2">
        <v>905.73</v>
      </c>
      <c r="S1296" s="1" t="s">
        <v>1016</v>
      </c>
      <c r="T1296" s="1" t="s">
        <v>1004</v>
      </c>
      <c r="U1296" s="1" t="s">
        <v>1007</v>
      </c>
    </row>
    <row r="1297" spans="1:21" x14ac:dyDescent="0.3">
      <c r="A1297" s="1" t="s">
        <v>2311</v>
      </c>
      <c r="B1297" s="1" t="s">
        <v>63</v>
      </c>
      <c r="C1297" s="1" t="s">
        <v>64</v>
      </c>
      <c r="D1297" s="1" t="s">
        <v>28</v>
      </c>
      <c r="E1297" s="1" t="s">
        <v>3449</v>
      </c>
      <c r="F1297" s="1" t="s">
        <v>1013</v>
      </c>
      <c r="G1297" s="1" t="s">
        <v>1023</v>
      </c>
      <c r="H1297" s="1">
        <v>11</v>
      </c>
      <c r="I1297" s="1">
        <v>4</v>
      </c>
      <c r="J1297" s="1" t="s">
        <v>2608</v>
      </c>
      <c r="K1297" s="2">
        <v>236.69</v>
      </c>
      <c r="L1297" s="1">
        <v>8</v>
      </c>
      <c r="M1297" s="2">
        <v>2603.59</v>
      </c>
      <c r="N1297" s="2">
        <v>208.29</v>
      </c>
      <c r="O1297" s="2">
        <v>2395.3000000000002</v>
      </c>
      <c r="P1297" s="1">
        <v>286</v>
      </c>
      <c r="Q1297" s="2">
        <v>165.68</v>
      </c>
      <c r="R1297" s="2">
        <v>572.82000000000005</v>
      </c>
      <c r="S1297" s="1" t="s">
        <v>1016</v>
      </c>
      <c r="T1297" s="1" t="s">
        <v>1004</v>
      </c>
      <c r="U1297" s="1" t="s">
        <v>1007</v>
      </c>
    </row>
    <row r="1298" spans="1:21" x14ac:dyDescent="0.3">
      <c r="A1298" s="1" t="s">
        <v>2312</v>
      </c>
      <c r="B1298" s="1" t="s">
        <v>102</v>
      </c>
      <c r="C1298" s="1" t="s">
        <v>103</v>
      </c>
      <c r="D1298" s="1" t="s">
        <v>104</v>
      </c>
      <c r="E1298" s="1" t="s">
        <v>3450</v>
      </c>
      <c r="F1298" s="1" t="s">
        <v>1013</v>
      </c>
      <c r="G1298" s="1" t="s">
        <v>1002</v>
      </c>
      <c r="H1298" s="1">
        <v>6</v>
      </c>
      <c r="I1298" s="1">
        <v>4</v>
      </c>
      <c r="J1298" s="1" t="s">
        <v>2684</v>
      </c>
      <c r="K1298" s="2">
        <v>453.56</v>
      </c>
      <c r="L1298" s="1">
        <v>17</v>
      </c>
      <c r="M1298" s="2">
        <v>2721.36</v>
      </c>
      <c r="N1298" s="2">
        <v>462.63</v>
      </c>
      <c r="O1298" s="2">
        <v>2258.73</v>
      </c>
      <c r="P1298" s="1">
        <v>195</v>
      </c>
      <c r="Q1298" s="2">
        <v>317.49</v>
      </c>
      <c r="R1298" s="2">
        <v>353.79</v>
      </c>
      <c r="S1298" s="1" t="s">
        <v>1016</v>
      </c>
      <c r="T1298" s="1" t="s">
        <v>1004</v>
      </c>
      <c r="U1298" s="1" t="s">
        <v>1004</v>
      </c>
    </row>
    <row r="1299" spans="1:21" x14ac:dyDescent="0.3">
      <c r="A1299" s="1" t="s">
        <v>2313</v>
      </c>
      <c r="B1299" s="1" t="s">
        <v>192</v>
      </c>
      <c r="C1299" s="1" t="s">
        <v>193</v>
      </c>
      <c r="D1299" s="1" t="s">
        <v>85</v>
      </c>
      <c r="E1299" s="1" t="s">
        <v>3451</v>
      </c>
      <c r="F1299" s="1" t="s">
        <v>1027</v>
      </c>
      <c r="G1299" s="1" t="s">
        <v>1002</v>
      </c>
      <c r="H1299" s="1">
        <v>6</v>
      </c>
      <c r="I1299" s="1">
        <v>2</v>
      </c>
      <c r="J1299" s="1" t="s">
        <v>2867</v>
      </c>
      <c r="K1299" s="2">
        <v>431.46</v>
      </c>
      <c r="L1299" s="1">
        <v>13</v>
      </c>
      <c r="M1299" s="2">
        <v>2588.7600000000002</v>
      </c>
      <c r="N1299" s="2">
        <v>336.54</v>
      </c>
      <c r="O1299" s="2">
        <v>2252.2199999999998</v>
      </c>
      <c r="P1299" s="1">
        <v>131</v>
      </c>
      <c r="Q1299" s="2">
        <v>302.02</v>
      </c>
      <c r="R1299" s="2">
        <v>440.1</v>
      </c>
      <c r="S1299" s="1" t="s">
        <v>1003</v>
      </c>
      <c r="T1299" s="1" t="s">
        <v>1004</v>
      </c>
      <c r="U1299" s="1" t="s">
        <v>1004</v>
      </c>
    </row>
    <row r="1300" spans="1:21" x14ac:dyDescent="0.3">
      <c r="A1300" s="1" t="s">
        <v>2314</v>
      </c>
      <c r="B1300" s="1" t="s">
        <v>166</v>
      </c>
      <c r="C1300" s="1" t="s">
        <v>167</v>
      </c>
      <c r="D1300" s="1" t="s">
        <v>59</v>
      </c>
      <c r="E1300" s="1" t="s">
        <v>3452</v>
      </c>
      <c r="F1300" s="1" t="s">
        <v>1027</v>
      </c>
      <c r="G1300" s="1" t="s">
        <v>1010</v>
      </c>
      <c r="H1300" s="1">
        <v>4</v>
      </c>
      <c r="I1300" s="1">
        <v>2</v>
      </c>
      <c r="J1300" s="1" t="s">
        <v>2644</v>
      </c>
      <c r="K1300" s="2">
        <v>103.99</v>
      </c>
      <c r="L1300" s="1">
        <v>16</v>
      </c>
      <c r="M1300" s="2">
        <v>415.96</v>
      </c>
      <c r="N1300" s="2">
        <v>66.55</v>
      </c>
      <c r="O1300" s="2">
        <v>349.41</v>
      </c>
      <c r="P1300" s="1">
        <v>67</v>
      </c>
      <c r="Q1300" s="2">
        <v>72.790000000000006</v>
      </c>
      <c r="R1300" s="2">
        <v>58.25</v>
      </c>
      <c r="S1300" s="1" t="s">
        <v>1016</v>
      </c>
      <c r="T1300" s="1" t="s">
        <v>1004</v>
      </c>
      <c r="U1300" s="1" t="s">
        <v>1007</v>
      </c>
    </row>
    <row r="1301" spans="1:21" x14ac:dyDescent="0.3">
      <c r="A1301" s="1" t="s">
        <v>2315</v>
      </c>
      <c r="B1301" s="1" t="s">
        <v>95</v>
      </c>
      <c r="C1301" s="1" t="s">
        <v>96</v>
      </c>
      <c r="D1301" s="1" t="s">
        <v>97</v>
      </c>
      <c r="E1301" s="1" t="s">
        <v>3453</v>
      </c>
      <c r="F1301" s="1" t="s">
        <v>1020</v>
      </c>
      <c r="G1301" s="1" t="s">
        <v>1023</v>
      </c>
      <c r="H1301" s="1">
        <v>7</v>
      </c>
      <c r="I1301" s="1">
        <v>6</v>
      </c>
      <c r="J1301" s="1" t="s">
        <v>2804</v>
      </c>
      <c r="K1301" s="2">
        <v>114.02</v>
      </c>
      <c r="L1301" s="1">
        <v>14</v>
      </c>
      <c r="M1301" s="2">
        <v>798.14</v>
      </c>
      <c r="N1301" s="2">
        <v>111.74</v>
      </c>
      <c r="O1301" s="2">
        <v>686.4</v>
      </c>
      <c r="P1301" s="1">
        <v>278</v>
      </c>
      <c r="Q1301" s="2">
        <v>79.81</v>
      </c>
      <c r="R1301" s="2">
        <v>127.73</v>
      </c>
      <c r="S1301" s="1" t="s">
        <v>1003</v>
      </c>
      <c r="T1301" s="1" t="s">
        <v>1004</v>
      </c>
      <c r="U1301" s="1" t="s">
        <v>1004</v>
      </c>
    </row>
    <row r="1302" spans="1:21" x14ac:dyDescent="0.3">
      <c r="A1302" s="1" t="s">
        <v>2316</v>
      </c>
      <c r="B1302" s="1" t="s">
        <v>192</v>
      </c>
      <c r="C1302" s="1" t="s">
        <v>193</v>
      </c>
      <c r="D1302" s="1" t="s">
        <v>85</v>
      </c>
      <c r="E1302" s="1" t="s">
        <v>3454</v>
      </c>
      <c r="F1302" s="1" t="s">
        <v>1027</v>
      </c>
      <c r="G1302" s="1" t="s">
        <v>1010</v>
      </c>
      <c r="H1302" s="1">
        <v>4</v>
      </c>
      <c r="I1302" s="1">
        <v>3</v>
      </c>
      <c r="J1302" s="1" t="s">
        <v>2813</v>
      </c>
      <c r="K1302" s="2">
        <v>471.09</v>
      </c>
      <c r="L1302" s="1">
        <v>19</v>
      </c>
      <c r="M1302" s="2">
        <v>1884.36</v>
      </c>
      <c r="N1302" s="2">
        <v>358.03</v>
      </c>
      <c r="O1302" s="2">
        <v>1526.33</v>
      </c>
      <c r="P1302" s="1">
        <v>54</v>
      </c>
      <c r="Q1302" s="2">
        <v>329.76</v>
      </c>
      <c r="R1302" s="2">
        <v>207.29</v>
      </c>
      <c r="S1302" s="1" t="s">
        <v>1011</v>
      </c>
      <c r="T1302" s="1" t="s">
        <v>1004</v>
      </c>
      <c r="U1302" s="1" t="s">
        <v>1004</v>
      </c>
    </row>
    <row r="1303" spans="1:21" x14ac:dyDescent="0.3">
      <c r="A1303" s="1" t="s">
        <v>2317</v>
      </c>
      <c r="B1303" s="1" t="s">
        <v>176</v>
      </c>
      <c r="C1303" s="1" t="s">
        <v>177</v>
      </c>
      <c r="D1303" s="1" t="s">
        <v>39</v>
      </c>
      <c r="E1303" s="1" t="s">
        <v>3455</v>
      </c>
      <c r="F1303" s="1" t="s">
        <v>1006</v>
      </c>
      <c r="G1303" s="1" t="s">
        <v>1010</v>
      </c>
      <c r="H1303" s="1">
        <v>2</v>
      </c>
      <c r="I1303" s="1">
        <v>5</v>
      </c>
      <c r="J1303" s="1" t="s">
        <v>2684</v>
      </c>
      <c r="K1303" s="2">
        <v>366.16</v>
      </c>
      <c r="L1303" s="1">
        <v>14</v>
      </c>
      <c r="M1303" s="2">
        <v>732.32</v>
      </c>
      <c r="N1303" s="2">
        <v>102.52</v>
      </c>
      <c r="O1303" s="2">
        <v>629.79999999999995</v>
      </c>
      <c r="P1303" s="1">
        <v>126</v>
      </c>
      <c r="Q1303" s="2">
        <v>256.31</v>
      </c>
      <c r="R1303" s="2">
        <v>117.18</v>
      </c>
      <c r="S1303" s="1" t="s">
        <v>1011</v>
      </c>
      <c r="T1303" s="1" t="s">
        <v>1004</v>
      </c>
      <c r="U1303" s="1" t="s">
        <v>1007</v>
      </c>
    </row>
    <row r="1304" spans="1:21" x14ac:dyDescent="0.3">
      <c r="A1304" s="1" t="s">
        <v>2318</v>
      </c>
      <c r="B1304" s="1" t="s">
        <v>37</v>
      </c>
      <c r="C1304" s="1" t="s">
        <v>38</v>
      </c>
      <c r="D1304" s="1" t="s">
        <v>39</v>
      </c>
      <c r="E1304" s="1" t="s">
        <v>3456</v>
      </c>
      <c r="F1304" s="1" t="s">
        <v>1001</v>
      </c>
      <c r="G1304" s="1" t="s">
        <v>1023</v>
      </c>
      <c r="H1304" s="1">
        <v>8</v>
      </c>
      <c r="I1304" s="1">
        <v>6</v>
      </c>
      <c r="J1304" s="1" t="s">
        <v>2535</v>
      </c>
      <c r="K1304" s="2">
        <v>300.58</v>
      </c>
      <c r="L1304" s="1">
        <v>21</v>
      </c>
      <c r="M1304" s="2">
        <v>2404.64</v>
      </c>
      <c r="N1304" s="2">
        <v>504.97</v>
      </c>
      <c r="O1304" s="2">
        <v>1899.67</v>
      </c>
      <c r="P1304" s="1">
        <v>130</v>
      </c>
      <c r="Q1304" s="2">
        <v>210.41</v>
      </c>
      <c r="R1304" s="2">
        <v>216.39</v>
      </c>
      <c r="S1304" s="1" t="s">
        <v>1011</v>
      </c>
      <c r="T1304" s="1" t="s">
        <v>1004</v>
      </c>
      <c r="U1304" s="1" t="s">
        <v>1004</v>
      </c>
    </row>
    <row r="1305" spans="1:21" x14ac:dyDescent="0.3">
      <c r="A1305" s="1" t="s">
        <v>2319</v>
      </c>
      <c r="B1305" s="1" t="s">
        <v>192</v>
      </c>
      <c r="C1305" s="1" t="s">
        <v>193</v>
      </c>
      <c r="D1305" s="1" t="s">
        <v>85</v>
      </c>
      <c r="E1305" s="1" t="s">
        <v>3457</v>
      </c>
      <c r="F1305" s="1" t="s">
        <v>1020</v>
      </c>
      <c r="G1305" s="1" t="s">
        <v>1023</v>
      </c>
      <c r="H1305" s="1">
        <v>13</v>
      </c>
      <c r="I1305" s="1">
        <v>4</v>
      </c>
      <c r="J1305" s="1" t="s">
        <v>2881</v>
      </c>
      <c r="K1305" s="2">
        <v>243.18</v>
      </c>
      <c r="L1305" s="1">
        <v>17</v>
      </c>
      <c r="M1305" s="2">
        <v>3161.34</v>
      </c>
      <c r="N1305" s="2">
        <v>537.42999999999995</v>
      </c>
      <c r="O1305" s="2">
        <v>2623.91</v>
      </c>
      <c r="P1305" s="1">
        <v>250</v>
      </c>
      <c r="Q1305" s="2">
        <v>170.23</v>
      </c>
      <c r="R1305" s="2">
        <v>410.92</v>
      </c>
      <c r="S1305" s="1" t="s">
        <v>1011</v>
      </c>
      <c r="T1305" s="1" t="s">
        <v>1004</v>
      </c>
      <c r="U1305" s="1" t="s">
        <v>1007</v>
      </c>
    </row>
    <row r="1306" spans="1:21" x14ac:dyDescent="0.3">
      <c r="A1306" s="1" t="s">
        <v>2320</v>
      </c>
      <c r="B1306" s="1" t="s">
        <v>176</v>
      </c>
      <c r="C1306" s="1" t="s">
        <v>177</v>
      </c>
      <c r="D1306" s="1" t="s">
        <v>39</v>
      </c>
      <c r="E1306" s="1" t="s">
        <v>3458</v>
      </c>
      <c r="F1306" s="1" t="s">
        <v>1009</v>
      </c>
      <c r="G1306" s="1" t="s">
        <v>1023</v>
      </c>
      <c r="H1306" s="1">
        <v>6</v>
      </c>
      <c r="I1306" s="1">
        <v>4</v>
      </c>
      <c r="J1306" s="1" t="s">
        <v>2839</v>
      </c>
      <c r="K1306" s="2">
        <v>160.5</v>
      </c>
      <c r="L1306" s="1">
        <v>14</v>
      </c>
      <c r="M1306" s="2">
        <v>963</v>
      </c>
      <c r="N1306" s="2">
        <v>134.82</v>
      </c>
      <c r="O1306" s="2">
        <v>828.18</v>
      </c>
      <c r="P1306" s="1">
        <v>175</v>
      </c>
      <c r="Q1306" s="2">
        <v>112.35</v>
      </c>
      <c r="R1306" s="2">
        <v>154.08000000000001</v>
      </c>
      <c r="S1306" s="1" t="s">
        <v>1011</v>
      </c>
      <c r="T1306" s="1" t="s">
        <v>1004</v>
      </c>
      <c r="U1306" s="1" t="s">
        <v>1007</v>
      </c>
    </row>
    <row r="1307" spans="1:21" x14ac:dyDescent="0.3">
      <c r="A1307" s="1" t="s">
        <v>2321</v>
      </c>
      <c r="B1307" s="1" t="s">
        <v>192</v>
      </c>
      <c r="C1307" s="1" t="s">
        <v>193</v>
      </c>
      <c r="D1307" s="1" t="s">
        <v>85</v>
      </c>
      <c r="E1307" s="1" t="s">
        <v>3459</v>
      </c>
      <c r="F1307" s="1" t="s">
        <v>1027</v>
      </c>
      <c r="G1307" s="1" t="s">
        <v>1010</v>
      </c>
      <c r="H1307" s="1">
        <v>7</v>
      </c>
      <c r="I1307" s="1">
        <v>3</v>
      </c>
      <c r="J1307" s="1" t="s">
        <v>2662</v>
      </c>
      <c r="K1307" s="2">
        <v>385.83</v>
      </c>
      <c r="L1307" s="1">
        <v>25</v>
      </c>
      <c r="M1307" s="2">
        <v>2700.81</v>
      </c>
      <c r="N1307" s="2">
        <v>675.2</v>
      </c>
      <c r="O1307" s="2">
        <v>2025.61</v>
      </c>
      <c r="P1307" s="1">
        <v>127</v>
      </c>
      <c r="Q1307" s="2">
        <v>270.08</v>
      </c>
      <c r="R1307" s="2">
        <v>135.05000000000001</v>
      </c>
      <c r="S1307" s="1" t="s">
        <v>1003</v>
      </c>
      <c r="T1307" s="1" t="s">
        <v>1007</v>
      </c>
      <c r="U1307" s="1" t="s">
        <v>1004</v>
      </c>
    </row>
    <row r="1308" spans="1:21" x14ac:dyDescent="0.3">
      <c r="A1308" s="1" t="s">
        <v>2322</v>
      </c>
      <c r="B1308" s="1" t="s">
        <v>83</v>
      </c>
      <c r="C1308" s="1" t="s">
        <v>84</v>
      </c>
      <c r="D1308" s="1" t="s">
        <v>85</v>
      </c>
      <c r="E1308" s="1" t="s">
        <v>3460</v>
      </c>
      <c r="F1308" s="1" t="s">
        <v>1013</v>
      </c>
      <c r="G1308" s="1" t="s">
        <v>1023</v>
      </c>
      <c r="H1308" s="1">
        <v>11</v>
      </c>
      <c r="I1308" s="1">
        <v>2</v>
      </c>
      <c r="J1308" s="1" t="s">
        <v>2607</v>
      </c>
      <c r="K1308" s="2">
        <v>108.52</v>
      </c>
      <c r="L1308" s="1">
        <v>1</v>
      </c>
      <c r="M1308" s="2">
        <v>1193.72</v>
      </c>
      <c r="N1308" s="2">
        <v>11.94</v>
      </c>
      <c r="O1308" s="2">
        <v>1181.78</v>
      </c>
      <c r="P1308" s="1">
        <v>53</v>
      </c>
      <c r="Q1308" s="2">
        <v>75.959999999999994</v>
      </c>
      <c r="R1308" s="2">
        <v>346.22</v>
      </c>
      <c r="S1308" s="1" t="s">
        <v>1003</v>
      </c>
      <c r="T1308" s="1" t="s">
        <v>1007</v>
      </c>
      <c r="U1308" s="1" t="s">
        <v>1004</v>
      </c>
    </row>
    <row r="1309" spans="1:21" x14ac:dyDescent="0.3">
      <c r="A1309" s="1" t="s">
        <v>2323</v>
      </c>
      <c r="B1309" s="1" t="s">
        <v>45</v>
      </c>
      <c r="C1309" s="1" t="s">
        <v>46</v>
      </c>
      <c r="D1309" s="1" t="s">
        <v>47</v>
      </c>
      <c r="E1309" s="1" t="s">
        <v>3461</v>
      </c>
      <c r="F1309" s="1" t="s">
        <v>1001</v>
      </c>
      <c r="G1309" s="1" t="s">
        <v>1002</v>
      </c>
      <c r="H1309" s="1">
        <v>1</v>
      </c>
      <c r="I1309" s="1">
        <v>2</v>
      </c>
      <c r="J1309" s="1" t="s">
        <v>2731</v>
      </c>
      <c r="K1309" s="2">
        <v>133.9</v>
      </c>
      <c r="L1309" s="1">
        <v>20</v>
      </c>
      <c r="M1309" s="2">
        <v>133.9</v>
      </c>
      <c r="N1309" s="2">
        <v>26.78</v>
      </c>
      <c r="O1309" s="2">
        <v>107.12</v>
      </c>
      <c r="P1309" s="1">
        <v>69</v>
      </c>
      <c r="Q1309" s="2">
        <v>93.73</v>
      </c>
      <c r="R1309" s="2">
        <v>13.39</v>
      </c>
      <c r="S1309" s="1" t="s">
        <v>1016</v>
      </c>
      <c r="T1309" s="1" t="s">
        <v>1004</v>
      </c>
      <c r="U1309" s="1" t="s">
        <v>1007</v>
      </c>
    </row>
    <row r="1310" spans="1:21" x14ac:dyDescent="0.3">
      <c r="A1310" s="1" t="s">
        <v>2324</v>
      </c>
      <c r="B1310" s="1" t="s">
        <v>237</v>
      </c>
      <c r="C1310" s="1" t="s">
        <v>238</v>
      </c>
      <c r="D1310" s="1" t="s">
        <v>85</v>
      </c>
      <c r="E1310" s="1" t="s">
        <v>3462</v>
      </c>
      <c r="F1310" s="1" t="s">
        <v>1013</v>
      </c>
      <c r="G1310" s="1" t="s">
        <v>1002</v>
      </c>
      <c r="H1310" s="1">
        <v>2</v>
      </c>
      <c r="I1310" s="1">
        <v>2</v>
      </c>
      <c r="J1310" s="1" t="s">
        <v>2693</v>
      </c>
      <c r="K1310" s="2">
        <v>196.26</v>
      </c>
      <c r="L1310" s="1">
        <v>13</v>
      </c>
      <c r="M1310" s="2">
        <v>392.52</v>
      </c>
      <c r="N1310" s="2">
        <v>51.03</v>
      </c>
      <c r="O1310" s="2">
        <v>341.49</v>
      </c>
      <c r="P1310" s="1">
        <v>135</v>
      </c>
      <c r="Q1310" s="2">
        <v>137.38</v>
      </c>
      <c r="R1310" s="2">
        <v>66.73</v>
      </c>
      <c r="S1310" s="1" t="s">
        <v>1016</v>
      </c>
      <c r="T1310" s="1" t="s">
        <v>1004</v>
      </c>
      <c r="U1310" s="1" t="s">
        <v>1004</v>
      </c>
    </row>
    <row r="1311" spans="1:21" x14ac:dyDescent="0.3">
      <c r="A1311" s="1" t="s">
        <v>2325</v>
      </c>
      <c r="B1311" s="1" t="s">
        <v>72</v>
      </c>
      <c r="C1311" s="1" t="s">
        <v>73</v>
      </c>
      <c r="D1311" s="1" t="s">
        <v>47</v>
      </c>
      <c r="E1311" s="1" t="s">
        <v>3463</v>
      </c>
      <c r="F1311" s="1" t="s">
        <v>1015</v>
      </c>
      <c r="G1311" s="1" t="s">
        <v>1023</v>
      </c>
      <c r="H1311" s="1">
        <v>12</v>
      </c>
      <c r="I1311" s="1">
        <v>7</v>
      </c>
      <c r="J1311" s="1" t="s">
        <v>2577</v>
      </c>
      <c r="K1311" s="2">
        <v>103.14</v>
      </c>
      <c r="L1311" s="1">
        <v>24</v>
      </c>
      <c r="M1311" s="2">
        <v>1237.68</v>
      </c>
      <c r="N1311" s="2">
        <v>297.04000000000002</v>
      </c>
      <c r="O1311" s="2">
        <v>940.64</v>
      </c>
      <c r="P1311" s="1">
        <v>116</v>
      </c>
      <c r="Q1311" s="2">
        <v>72.2</v>
      </c>
      <c r="R1311" s="2">
        <v>74.239999999999995</v>
      </c>
      <c r="S1311" s="1" t="s">
        <v>1016</v>
      </c>
      <c r="T1311" s="1" t="s">
        <v>1004</v>
      </c>
      <c r="U1311" s="1" t="s">
        <v>1007</v>
      </c>
    </row>
    <row r="1312" spans="1:21" x14ac:dyDescent="0.3">
      <c r="A1312" s="1" t="s">
        <v>2326</v>
      </c>
      <c r="B1312" s="1" t="s">
        <v>237</v>
      </c>
      <c r="C1312" s="1" t="s">
        <v>238</v>
      </c>
      <c r="D1312" s="1" t="s">
        <v>85</v>
      </c>
      <c r="E1312" s="1" t="s">
        <v>3464</v>
      </c>
      <c r="F1312" s="1" t="s">
        <v>1001</v>
      </c>
      <c r="G1312" s="1" t="s">
        <v>1010</v>
      </c>
      <c r="H1312" s="1">
        <v>8</v>
      </c>
      <c r="I1312" s="1">
        <v>7</v>
      </c>
      <c r="J1312" s="1" t="s">
        <v>2819</v>
      </c>
      <c r="K1312" s="2">
        <v>307.11</v>
      </c>
      <c r="L1312" s="1">
        <v>2</v>
      </c>
      <c r="M1312" s="2">
        <v>2456.88</v>
      </c>
      <c r="N1312" s="2">
        <v>49.14</v>
      </c>
      <c r="O1312" s="2">
        <v>2407.7399999999998</v>
      </c>
      <c r="P1312" s="1">
        <v>171</v>
      </c>
      <c r="Q1312" s="2">
        <v>214.98</v>
      </c>
      <c r="R1312" s="2">
        <v>687.9</v>
      </c>
      <c r="S1312" s="1" t="s">
        <v>1016</v>
      </c>
      <c r="T1312" s="1" t="s">
        <v>1007</v>
      </c>
      <c r="U1312" s="1" t="s">
        <v>1004</v>
      </c>
    </row>
    <row r="1313" spans="1:21" x14ac:dyDescent="0.3">
      <c r="A1313" s="1" t="s">
        <v>2327</v>
      </c>
      <c r="B1313" s="1" t="s">
        <v>111</v>
      </c>
      <c r="C1313" s="1" t="s">
        <v>112</v>
      </c>
      <c r="D1313" s="1" t="s">
        <v>97</v>
      </c>
      <c r="E1313" s="1" t="s">
        <v>3465</v>
      </c>
      <c r="F1313" s="1" t="s">
        <v>1006</v>
      </c>
      <c r="G1313" s="1" t="s">
        <v>1023</v>
      </c>
      <c r="H1313" s="1">
        <v>8</v>
      </c>
      <c r="I1313" s="1">
        <v>3</v>
      </c>
      <c r="J1313" s="1" t="s">
        <v>2646</v>
      </c>
      <c r="K1313" s="2">
        <v>130.96</v>
      </c>
      <c r="L1313" s="1">
        <v>3</v>
      </c>
      <c r="M1313" s="2">
        <v>1047.68</v>
      </c>
      <c r="N1313" s="2">
        <v>31.43</v>
      </c>
      <c r="O1313" s="2">
        <v>1016.25</v>
      </c>
      <c r="P1313" s="1">
        <v>115</v>
      </c>
      <c r="Q1313" s="2">
        <v>91.67</v>
      </c>
      <c r="R1313" s="2">
        <v>282.89</v>
      </c>
      <c r="S1313" s="1" t="s">
        <v>1003</v>
      </c>
      <c r="T1313" s="1" t="s">
        <v>1007</v>
      </c>
      <c r="U1313" s="1" t="s">
        <v>1007</v>
      </c>
    </row>
    <row r="1314" spans="1:21" x14ac:dyDescent="0.3">
      <c r="A1314" s="1" t="s">
        <v>2328</v>
      </c>
      <c r="B1314" s="1" t="s">
        <v>102</v>
      </c>
      <c r="C1314" s="1" t="s">
        <v>103</v>
      </c>
      <c r="D1314" s="1" t="s">
        <v>104</v>
      </c>
      <c r="E1314" s="1" t="s">
        <v>3466</v>
      </c>
      <c r="F1314" s="1" t="s">
        <v>1020</v>
      </c>
      <c r="G1314" s="1" t="s">
        <v>1023</v>
      </c>
      <c r="H1314" s="1">
        <v>14</v>
      </c>
      <c r="I1314" s="1">
        <v>3</v>
      </c>
      <c r="J1314" s="1" t="s">
        <v>2648</v>
      </c>
      <c r="K1314" s="2">
        <v>219.15</v>
      </c>
      <c r="L1314" s="1">
        <v>9</v>
      </c>
      <c r="M1314" s="2">
        <v>3068.1</v>
      </c>
      <c r="N1314" s="2">
        <v>276.13</v>
      </c>
      <c r="O1314" s="2">
        <v>2791.97</v>
      </c>
      <c r="P1314" s="1">
        <v>164</v>
      </c>
      <c r="Q1314" s="2">
        <v>153.41</v>
      </c>
      <c r="R1314" s="2">
        <v>644.23</v>
      </c>
      <c r="S1314" s="1" t="s">
        <v>1003</v>
      </c>
      <c r="T1314" s="1" t="s">
        <v>1004</v>
      </c>
      <c r="U1314" s="1" t="s">
        <v>1004</v>
      </c>
    </row>
    <row r="1315" spans="1:21" x14ac:dyDescent="0.3">
      <c r="A1315" s="1" t="s">
        <v>2329</v>
      </c>
      <c r="B1315" s="1" t="s">
        <v>102</v>
      </c>
      <c r="C1315" s="1" t="s">
        <v>103</v>
      </c>
      <c r="D1315" s="1" t="s">
        <v>104</v>
      </c>
      <c r="E1315" s="1" t="s">
        <v>3467</v>
      </c>
      <c r="F1315" s="1" t="s">
        <v>1015</v>
      </c>
      <c r="G1315" s="1" t="s">
        <v>1023</v>
      </c>
      <c r="H1315" s="1">
        <v>14</v>
      </c>
      <c r="I1315" s="1">
        <v>6</v>
      </c>
      <c r="J1315" s="1" t="s">
        <v>2801</v>
      </c>
      <c r="K1315" s="2">
        <v>50.33</v>
      </c>
      <c r="L1315" s="1">
        <v>13</v>
      </c>
      <c r="M1315" s="2">
        <v>704.62</v>
      </c>
      <c r="N1315" s="2">
        <v>91.6</v>
      </c>
      <c r="O1315" s="2">
        <v>613.02</v>
      </c>
      <c r="P1315" s="1">
        <v>271</v>
      </c>
      <c r="Q1315" s="2">
        <v>35.229999999999997</v>
      </c>
      <c r="R1315" s="2">
        <v>119.8</v>
      </c>
      <c r="S1315" s="1" t="s">
        <v>1016</v>
      </c>
      <c r="T1315" s="1" t="s">
        <v>1004</v>
      </c>
      <c r="U1315" s="1" t="s">
        <v>1004</v>
      </c>
    </row>
    <row r="1316" spans="1:21" x14ac:dyDescent="0.3">
      <c r="A1316" s="1" t="s">
        <v>2330</v>
      </c>
      <c r="B1316" s="1" t="s">
        <v>37</v>
      </c>
      <c r="C1316" s="1" t="s">
        <v>38</v>
      </c>
      <c r="D1316" s="1" t="s">
        <v>39</v>
      </c>
      <c r="E1316" s="1" t="s">
        <v>3468</v>
      </c>
      <c r="F1316" s="1" t="s">
        <v>1020</v>
      </c>
      <c r="G1316" s="1" t="s">
        <v>1023</v>
      </c>
      <c r="H1316" s="1">
        <v>15</v>
      </c>
      <c r="I1316" s="1">
        <v>4</v>
      </c>
      <c r="J1316" s="1" t="s">
        <v>2538</v>
      </c>
      <c r="K1316" s="2">
        <v>62.96</v>
      </c>
      <c r="L1316" s="1">
        <v>14</v>
      </c>
      <c r="M1316" s="2">
        <v>944.4</v>
      </c>
      <c r="N1316" s="2">
        <v>132.22</v>
      </c>
      <c r="O1316" s="2">
        <v>812.18</v>
      </c>
      <c r="P1316" s="1">
        <v>117</v>
      </c>
      <c r="Q1316" s="2">
        <v>44.07</v>
      </c>
      <c r="R1316" s="2">
        <v>151.13</v>
      </c>
      <c r="S1316" s="1" t="s">
        <v>1011</v>
      </c>
      <c r="T1316" s="1" t="s">
        <v>1004</v>
      </c>
      <c r="U1316" s="1" t="s">
        <v>1007</v>
      </c>
    </row>
    <row r="1317" spans="1:21" x14ac:dyDescent="0.3">
      <c r="A1317" s="1" t="s">
        <v>2331</v>
      </c>
      <c r="B1317" s="1" t="s">
        <v>130</v>
      </c>
      <c r="C1317" s="1" t="s">
        <v>131</v>
      </c>
      <c r="D1317" s="1" t="s">
        <v>132</v>
      </c>
      <c r="E1317" s="1" t="s">
        <v>3469</v>
      </c>
      <c r="F1317" s="1" t="s">
        <v>1001</v>
      </c>
      <c r="G1317" s="1" t="s">
        <v>1002</v>
      </c>
      <c r="H1317" s="1">
        <v>11</v>
      </c>
      <c r="I1317" s="1">
        <v>1</v>
      </c>
      <c r="J1317" s="1" t="s">
        <v>2648</v>
      </c>
      <c r="K1317" s="2">
        <v>246.38</v>
      </c>
      <c r="L1317" s="1">
        <v>13</v>
      </c>
      <c r="M1317" s="2">
        <v>2710.18</v>
      </c>
      <c r="N1317" s="2">
        <v>352.32</v>
      </c>
      <c r="O1317" s="2">
        <v>2357.86</v>
      </c>
      <c r="P1317" s="1">
        <v>241</v>
      </c>
      <c r="Q1317" s="2">
        <v>172.47</v>
      </c>
      <c r="R1317" s="2">
        <v>460.69</v>
      </c>
      <c r="S1317" s="1" t="s">
        <v>1011</v>
      </c>
      <c r="T1317" s="1" t="s">
        <v>1007</v>
      </c>
      <c r="U1317" s="1" t="s">
        <v>1007</v>
      </c>
    </row>
    <row r="1318" spans="1:21" x14ac:dyDescent="0.3">
      <c r="A1318" s="1" t="s">
        <v>2332</v>
      </c>
      <c r="B1318" s="1" t="s">
        <v>83</v>
      </c>
      <c r="C1318" s="1" t="s">
        <v>84</v>
      </c>
      <c r="D1318" s="1" t="s">
        <v>85</v>
      </c>
      <c r="E1318" s="1" t="s">
        <v>3470</v>
      </c>
      <c r="F1318" s="1" t="s">
        <v>1001</v>
      </c>
      <c r="G1318" s="1" t="s">
        <v>1010</v>
      </c>
      <c r="H1318" s="1">
        <v>1</v>
      </c>
      <c r="I1318" s="1">
        <v>5</v>
      </c>
      <c r="J1318" s="1" t="s">
        <v>2926</v>
      </c>
      <c r="K1318" s="2">
        <v>440.01</v>
      </c>
      <c r="L1318" s="1">
        <v>8</v>
      </c>
      <c r="M1318" s="2">
        <v>440.01</v>
      </c>
      <c r="N1318" s="2">
        <v>35.200000000000003</v>
      </c>
      <c r="O1318" s="2">
        <v>404.81</v>
      </c>
      <c r="P1318" s="1">
        <v>272</v>
      </c>
      <c r="Q1318" s="2">
        <v>308.01</v>
      </c>
      <c r="R1318" s="2">
        <v>96.8</v>
      </c>
      <c r="S1318" s="1" t="s">
        <v>1003</v>
      </c>
      <c r="T1318" s="1" t="s">
        <v>1004</v>
      </c>
      <c r="U1318" s="1" t="s">
        <v>1007</v>
      </c>
    </row>
    <row r="1319" spans="1:21" x14ac:dyDescent="0.3">
      <c r="A1319" s="1" t="s">
        <v>2333</v>
      </c>
      <c r="B1319" s="1" t="s">
        <v>102</v>
      </c>
      <c r="C1319" s="1" t="s">
        <v>103</v>
      </c>
      <c r="D1319" s="1" t="s">
        <v>104</v>
      </c>
      <c r="E1319" s="1" t="s">
        <v>3471</v>
      </c>
      <c r="F1319" s="1" t="s">
        <v>1027</v>
      </c>
      <c r="G1319" s="1" t="s">
        <v>1010</v>
      </c>
      <c r="H1319" s="1">
        <v>6</v>
      </c>
      <c r="I1319" s="1">
        <v>5</v>
      </c>
      <c r="J1319" s="1" t="s">
        <v>3126</v>
      </c>
      <c r="K1319" s="2">
        <v>141.44999999999999</v>
      </c>
      <c r="L1319" s="1">
        <v>24</v>
      </c>
      <c r="M1319" s="2">
        <v>848.7</v>
      </c>
      <c r="N1319" s="2">
        <v>203.69</v>
      </c>
      <c r="O1319" s="2">
        <v>645.01</v>
      </c>
      <c r="P1319" s="1">
        <v>251</v>
      </c>
      <c r="Q1319" s="2">
        <v>99.01</v>
      </c>
      <c r="R1319" s="2">
        <v>50.95</v>
      </c>
      <c r="S1319" s="1" t="s">
        <v>1011</v>
      </c>
      <c r="T1319" s="1" t="s">
        <v>1004</v>
      </c>
      <c r="U1319" s="1" t="s">
        <v>1004</v>
      </c>
    </row>
    <row r="1320" spans="1:21" x14ac:dyDescent="0.3">
      <c r="A1320" s="1" t="s">
        <v>2334</v>
      </c>
      <c r="B1320" s="1" t="s">
        <v>52</v>
      </c>
      <c r="C1320" s="1" t="s">
        <v>53</v>
      </c>
      <c r="D1320" s="1" t="s">
        <v>47</v>
      </c>
      <c r="E1320" s="1" t="s">
        <v>3472</v>
      </c>
      <c r="F1320" s="1" t="s">
        <v>1020</v>
      </c>
      <c r="G1320" s="1" t="s">
        <v>1002</v>
      </c>
      <c r="H1320" s="1">
        <v>14</v>
      </c>
      <c r="I1320" s="1">
        <v>7</v>
      </c>
      <c r="J1320" s="1" t="s">
        <v>2812</v>
      </c>
      <c r="K1320" s="2">
        <v>290.95999999999998</v>
      </c>
      <c r="L1320" s="1">
        <v>14</v>
      </c>
      <c r="M1320" s="2">
        <v>4073.44</v>
      </c>
      <c r="N1320" s="2">
        <v>570.28</v>
      </c>
      <c r="O1320" s="2">
        <v>3503.16</v>
      </c>
      <c r="P1320" s="1">
        <v>209</v>
      </c>
      <c r="Q1320" s="2">
        <v>203.67</v>
      </c>
      <c r="R1320" s="2">
        <v>651.78</v>
      </c>
      <c r="S1320" s="1" t="s">
        <v>1003</v>
      </c>
      <c r="T1320" s="1" t="s">
        <v>1004</v>
      </c>
      <c r="U1320" s="1" t="s">
        <v>1004</v>
      </c>
    </row>
    <row r="1321" spans="1:21" x14ac:dyDescent="0.3">
      <c r="A1321" s="1" t="s">
        <v>2335</v>
      </c>
      <c r="B1321" s="1" t="s">
        <v>72</v>
      </c>
      <c r="C1321" s="1" t="s">
        <v>73</v>
      </c>
      <c r="D1321" s="1" t="s">
        <v>47</v>
      </c>
      <c r="E1321" s="1" t="s">
        <v>3473</v>
      </c>
      <c r="F1321" s="1" t="s">
        <v>1013</v>
      </c>
      <c r="G1321" s="1" t="s">
        <v>1023</v>
      </c>
      <c r="H1321" s="1">
        <v>8</v>
      </c>
      <c r="I1321" s="1">
        <v>4</v>
      </c>
      <c r="J1321" s="1" t="s">
        <v>2609</v>
      </c>
      <c r="K1321" s="2">
        <v>259.48</v>
      </c>
      <c r="L1321" s="1">
        <v>6</v>
      </c>
      <c r="M1321" s="2">
        <v>2075.84</v>
      </c>
      <c r="N1321" s="2">
        <v>124.55</v>
      </c>
      <c r="O1321" s="2">
        <v>1951.29</v>
      </c>
      <c r="P1321" s="1">
        <v>51</v>
      </c>
      <c r="Q1321" s="2">
        <v>181.64</v>
      </c>
      <c r="R1321" s="2">
        <v>498.17</v>
      </c>
      <c r="S1321" s="1" t="s">
        <v>1011</v>
      </c>
      <c r="T1321" s="1" t="s">
        <v>1007</v>
      </c>
      <c r="U1321" s="1" t="s">
        <v>1004</v>
      </c>
    </row>
    <row r="1322" spans="1:21" x14ac:dyDescent="0.3">
      <c r="A1322" s="1" t="s">
        <v>2336</v>
      </c>
      <c r="B1322" s="1" t="s">
        <v>63</v>
      </c>
      <c r="C1322" s="1" t="s">
        <v>64</v>
      </c>
      <c r="D1322" s="1" t="s">
        <v>28</v>
      </c>
      <c r="E1322" s="1" t="s">
        <v>3474</v>
      </c>
      <c r="F1322" s="1" t="s">
        <v>1015</v>
      </c>
      <c r="G1322" s="1" t="s">
        <v>1023</v>
      </c>
      <c r="H1322" s="1">
        <v>12</v>
      </c>
      <c r="I1322" s="1">
        <v>1</v>
      </c>
      <c r="J1322" s="1" t="s">
        <v>2734</v>
      </c>
      <c r="K1322" s="2">
        <v>199.65</v>
      </c>
      <c r="L1322" s="1">
        <v>12</v>
      </c>
      <c r="M1322" s="2">
        <v>2395.8000000000002</v>
      </c>
      <c r="N1322" s="2">
        <v>287.5</v>
      </c>
      <c r="O1322" s="2">
        <v>2108.3000000000002</v>
      </c>
      <c r="P1322" s="1">
        <v>127</v>
      </c>
      <c r="Q1322" s="2">
        <v>139.75</v>
      </c>
      <c r="R1322" s="2">
        <v>431.3</v>
      </c>
      <c r="S1322" s="1" t="s">
        <v>1016</v>
      </c>
      <c r="T1322" s="1" t="s">
        <v>1004</v>
      </c>
      <c r="U1322" s="1" t="s">
        <v>1007</v>
      </c>
    </row>
    <row r="1323" spans="1:21" x14ac:dyDescent="0.3">
      <c r="A1323" s="1" t="s">
        <v>2337</v>
      </c>
      <c r="B1323" s="1" t="s">
        <v>72</v>
      </c>
      <c r="C1323" s="1" t="s">
        <v>73</v>
      </c>
      <c r="D1323" s="1" t="s">
        <v>47</v>
      </c>
      <c r="E1323" s="1" t="s">
        <v>3475</v>
      </c>
      <c r="F1323" s="1" t="s">
        <v>1006</v>
      </c>
      <c r="G1323" s="1" t="s">
        <v>1023</v>
      </c>
      <c r="H1323" s="1">
        <v>2</v>
      </c>
      <c r="I1323" s="1">
        <v>6</v>
      </c>
      <c r="J1323" s="1" t="s">
        <v>2522</v>
      </c>
      <c r="K1323" s="2">
        <v>109.7</v>
      </c>
      <c r="L1323" s="1">
        <v>5</v>
      </c>
      <c r="M1323" s="2">
        <v>219.4</v>
      </c>
      <c r="N1323" s="2">
        <v>10.97</v>
      </c>
      <c r="O1323" s="2">
        <v>208.43</v>
      </c>
      <c r="P1323" s="1">
        <v>247</v>
      </c>
      <c r="Q1323" s="2">
        <v>76.790000000000006</v>
      </c>
      <c r="R1323" s="2">
        <v>54.85</v>
      </c>
      <c r="S1323" s="1" t="s">
        <v>1016</v>
      </c>
      <c r="T1323" s="1" t="s">
        <v>1004</v>
      </c>
      <c r="U1323" s="1" t="s">
        <v>1007</v>
      </c>
    </row>
    <row r="1324" spans="1:21" x14ac:dyDescent="0.3">
      <c r="A1324" s="1" t="s">
        <v>2338</v>
      </c>
      <c r="B1324" s="1" t="s">
        <v>102</v>
      </c>
      <c r="C1324" s="1" t="s">
        <v>103</v>
      </c>
      <c r="D1324" s="1" t="s">
        <v>104</v>
      </c>
      <c r="E1324" s="1" t="s">
        <v>3476</v>
      </c>
      <c r="F1324" s="1" t="s">
        <v>1009</v>
      </c>
      <c r="G1324" s="1" t="s">
        <v>1010</v>
      </c>
      <c r="H1324" s="1">
        <v>11</v>
      </c>
      <c r="I1324" s="1">
        <v>1</v>
      </c>
      <c r="J1324" s="1" t="s">
        <v>2677</v>
      </c>
      <c r="K1324" s="2">
        <v>336.41</v>
      </c>
      <c r="L1324" s="1">
        <v>2</v>
      </c>
      <c r="M1324" s="2">
        <v>3700.51</v>
      </c>
      <c r="N1324" s="2">
        <v>74.010000000000005</v>
      </c>
      <c r="O1324" s="2">
        <v>3626.5</v>
      </c>
      <c r="P1324" s="1">
        <v>220</v>
      </c>
      <c r="Q1324" s="2">
        <v>235.49</v>
      </c>
      <c r="R1324" s="2">
        <v>1036.1099999999999</v>
      </c>
      <c r="S1324" s="1" t="s">
        <v>1003</v>
      </c>
      <c r="T1324" s="1" t="s">
        <v>1004</v>
      </c>
      <c r="U1324" s="1" t="s">
        <v>1004</v>
      </c>
    </row>
    <row r="1325" spans="1:21" x14ac:dyDescent="0.3">
      <c r="A1325" s="1" t="s">
        <v>2339</v>
      </c>
      <c r="B1325" s="1" t="s">
        <v>237</v>
      </c>
      <c r="C1325" s="1" t="s">
        <v>238</v>
      </c>
      <c r="D1325" s="1" t="s">
        <v>85</v>
      </c>
      <c r="E1325" s="1" t="s">
        <v>3477</v>
      </c>
      <c r="F1325" s="1" t="s">
        <v>1006</v>
      </c>
      <c r="G1325" s="1" t="s">
        <v>1023</v>
      </c>
      <c r="H1325" s="1">
        <v>3</v>
      </c>
      <c r="I1325" s="1">
        <v>7</v>
      </c>
      <c r="J1325" s="1" t="s">
        <v>2650</v>
      </c>
      <c r="K1325" s="2">
        <v>409.25</v>
      </c>
      <c r="L1325" s="1">
        <v>12</v>
      </c>
      <c r="M1325" s="2">
        <v>1227.75</v>
      </c>
      <c r="N1325" s="2">
        <v>147.33000000000001</v>
      </c>
      <c r="O1325" s="2">
        <v>1080.42</v>
      </c>
      <c r="P1325" s="1">
        <v>300</v>
      </c>
      <c r="Q1325" s="2">
        <v>286.47000000000003</v>
      </c>
      <c r="R1325" s="2">
        <v>221.01</v>
      </c>
      <c r="S1325" s="1" t="s">
        <v>1003</v>
      </c>
      <c r="T1325" s="1" t="s">
        <v>1007</v>
      </c>
      <c r="U1325" s="1" t="s">
        <v>1004</v>
      </c>
    </row>
    <row r="1326" spans="1:21" x14ac:dyDescent="0.3">
      <c r="A1326" s="1" t="s">
        <v>2340</v>
      </c>
      <c r="B1326" s="1" t="s">
        <v>45</v>
      </c>
      <c r="C1326" s="1" t="s">
        <v>46</v>
      </c>
      <c r="D1326" s="1" t="s">
        <v>47</v>
      </c>
      <c r="E1326" s="1" t="s">
        <v>3478</v>
      </c>
      <c r="F1326" s="1" t="s">
        <v>1001</v>
      </c>
      <c r="G1326" s="1" t="s">
        <v>1002</v>
      </c>
      <c r="H1326" s="1">
        <v>10</v>
      </c>
      <c r="I1326" s="1">
        <v>3</v>
      </c>
      <c r="J1326" s="1" t="s">
        <v>2553</v>
      </c>
      <c r="K1326" s="2">
        <v>316.29000000000002</v>
      </c>
      <c r="L1326" s="1">
        <v>4</v>
      </c>
      <c r="M1326" s="2">
        <v>3162.9</v>
      </c>
      <c r="N1326" s="2">
        <v>126.52</v>
      </c>
      <c r="O1326" s="2">
        <v>3036.38</v>
      </c>
      <c r="P1326" s="1">
        <v>179</v>
      </c>
      <c r="Q1326" s="2">
        <v>221.4</v>
      </c>
      <c r="R1326" s="2">
        <v>822.38</v>
      </c>
      <c r="S1326" s="1" t="s">
        <v>1016</v>
      </c>
      <c r="T1326" s="1" t="s">
        <v>1007</v>
      </c>
      <c r="U1326" s="1" t="s">
        <v>1007</v>
      </c>
    </row>
    <row r="1327" spans="1:21" x14ac:dyDescent="0.3">
      <c r="A1327" s="1" t="s">
        <v>2341</v>
      </c>
      <c r="B1327" s="1" t="s">
        <v>63</v>
      </c>
      <c r="C1327" s="1" t="s">
        <v>64</v>
      </c>
      <c r="D1327" s="1" t="s">
        <v>28</v>
      </c>
      <c r="E1327" s="1" t="s">
        <v>3479</v>
      </c>
      <c r="F1327" s="1" t="s">
        <v>1020</v>
      </c>
      <c r="G1327" s="1" t="s">
        <v>1002</v>
      </c>
      <c r="H1327" s="1">
        <v>15</v>
      </c>
      <c r="I1327" s="1">
        <v>5</v>
      </c>
      <c r="J1327" s="1" t="s">
        <v>2557</v>
      </c>
      <c r="K1327" s="2">
        <v>126.1</v>
      </c>
      <c r="L1327" s="1">
        <v>11</v>
      </c>
      <c r="M1327" s="2">
        <v>1891.5</v>
      </c>
      <c r="N1327" s="2">
        <v>208.06</v>
      </c>
      <c r="O1327" s="2">
        <v>1683.44</v>
      </c>
      <c r="P1327" s="1">
        <v>70</v>
      </c>
      <c r="Q1327" s="2">
        <v>88.27</v>
      </c>
      <c r="R1327" s="2">
        <v>359.39</v>
      </c>
      <c r="S1327" s="1" t="s">
        <v>1016</v>
      </c>
      <c r="T1327" s="1" t="s">
        <v>1004</v>
      </c>
      <c r="U1327" s="1" t="s">
        <v>1004</v>
      </c>
    </row>
    <row r="1328" spans="1:21" x14ac:dyDescent="0.3">
      <c r="A1328" s="1" t="s">
        <v>2342</v>
      </c>
      <c r="B1328" s="1" t="s">
        <v>166</v>
      </c>
      <c r="C1328" s="1" t="s">
        <v>167</v>
      </c>
      <c r="D1328" s="1" t="s">
        <v>59</v>
      </c>
      <c r="E1328" s="1" t="s">
        <v>3480</v>
      </c>
      <c r="F1328" s="1" t="s">
        <v>1015</v>
      </c>
      <c r="G1328" s="1" t="s">
        <v>1002</v>
      </c>
      <c r="H1328" s="1">
        <v>6</v>
      </c>
      <c r="I1328" s="1">
        <v>7</v>
      </c>
      <c r="J1328" s="1" t="s">
        <v>2573</v>
      </c>
      <c r="K1328" s="2">
        <v>188.83</v>
      </c>
      <c r="L1328" s="1">
        <v>4</v>
      </c>
      <c r="M1328" s="2">
        <v>1132.98</v>
      </c>
      <c r="N1328" s="2">
        <v>45.32</v>
      </c>
      <c r="O1328" s="2">
        <v>1087.6600000000001</v>
      </c>
      <c r="P1328" s="1">
        <v>70</v>
      </c>
      <c r="Q1328" s="2">
        <v>132.18</v>
      </c>
      <c r="R1328" s="2">
        <v>294.58</v>
      </c>
      <c r="S1328" s="1" t="s">
        <v>1003</v>
      </c>
      <c r="T1328" s="1" t="s">
        <v>1004</v>
      </c>
      <c r="U1328" s="1" t="s">
        <v>1004</v>
      </c>
    </row>
    <row r="1329" spans="1:21" x14ac:dyDescent="0.3">
      <c r="A1329" s="1" t="s">
        <v>2343</v>
      </c>
      <c r="B1329" s="1" t="s">
        <v>52</v>
      </c>
      <c r="C1329" s="1" t="s">
        <v>53</v>
      </c>
      <c r="D1329" s="1" t="s">
        <v>47</v>
      </c>
      <c r="E1329" s="1" t="s">
        <v>3481</v>
      </c>
      <c r="F1329" s="1" t="s">
        <v>1013</v>
      </c>
      <c r="G1329" s="1" t="s">
        <v>1010</v>
      </c>
      <c r="H1329" s="1">
        <v>15</v>
      </c>
      <c r="I1329" s="1">
        <v>2</v>
      </c>
      <c r="J1329" s="1" t="s">
        <v>2849</v>
      </c>
      <c r="K1329" s="2">
        <v>201.78</v>
      </c>
      <c r="L1329" s="1">
        <v>8</v>
      </c>
      <c r="M1329" s="2">
        <v>3026.7</v>
      </c>
      <c r="N1329" s="2">
        <v>242.14</v>
      </c>
      <c r="O1329" s="2">
        <v>2784.56</v>
      </c>
      <c r="P1329" s="1">
        <v>181</v>
      </c>
      <c r="Q1329" s="2">
        <v>141.25</v>
      </c>
      <c r="R1329" s="2">
        <v>665.81</v>
      </c>
      <c r="S1329" s="1" t="s">
        <v>1011</v>
      </c>
      <c r="T1329" s="1" t="s">
        <v>1004</v>
      </c>
      <c r="U1329" s="1" t="s">
        <v>1007</v>
      </c>
    </row>
    <row r="1330" spans="1:21" x14ac:dyDescent="0.3">
      <c r="A1330" s="1" t="s">
        <v>2344</v>
      </c>
      <c r="B1330" s="1" t="s">
        <v>237</v>
      </c>
      <c r="C1330" s="1" t="s">
        <v>238</v>
      </c>
      <c r="D1330" s="1" t="s">
        <v>85</v>
      </c>
      <c r="E1330" s="1" t="s">
        <v>3482</v>
      </c>
      <c r="F1330" s="1" t="s">
        <v>1001</v>
      </c>
      <c r="G1330" s="1" t="s">
        <v>1010</v>
      </c>
      <c r="H1330" s="1">
        <v>12</v>
      </c>
      <c r="I1330" s="1">
        <v>6</v>
      </c>
      <c r="J1330" s="1" t="s">
        <v>2630</v>
      </c>
      <c r="K1330" s="2">
        <v>226.66</v>
      </c>
      <c r="L1330" s="1">
        <v>23</v>
      </c>
      <c r="M1330" s="2">
        <v>2719.92</v>
      </c>
      <c r="N1330" s="2">
        <v>625.58000000000004</v>
      </c>
      <c r="O1330" s="2">
        <v>2094.34</v>
      </c>
      <c r="P1330" s="1">
        <v>65</v>
      </c>
      <c r="Q1330" s="2">
        <v>158.66</v>
      </c>
      <c r="R1330" s="2">
        <v>190.42</v>
      </c>
      <c r="S1330" s="1" t="s">
        <v>1016</v>
      </c>
      <c r="T1330" s="1" t="s">
        <v>1007</v>
      </c>
      <c r="U1330" s="1" t="s">
        <v>1007</v>
      </c>
    </row>
    <row r="1331" spans="1:21" x14ac:dyDescent="0.3">
      <c r="A1331" s="1" t="s">
        <v>2345</v>
      </c>
      <c r="B1331" s="1" t="s">
        <v>192</v>
      </c>
      <c r="C1331" s="1" t="s">
        <v>193</v>
      </c>
      <c r="D1331" s="1" t="s">
        <v>85</v>
      </c>
      <c r="E1331" s="1" t="s">
        <v>3483</v>
      </c>
      <c r="F1331" s="1" t="s">
        <v>1013</v>
      </c>
      <c r="G1331" s="1" t="s">
        <v>1010</v>
      </c>
      <c r="H1331" s="1">
        <v>5</v>
      </c>
      <c r="I1331" s="1">
        <v>4</v>
      </c>
      <c r="J1331" s="1" t="s">
        <v>2817</v>
      </c>
      <c r="K1331" s="2">
        <v>473.3</v>
      </c>
      <c r="L1331" s="1">
        <v>1</v>
      </c>
      <c r="M1331" s="2">
        <v>2366.5</v>
      </c>
      <c r="N1331" s="2">
        <v>23.66</v>
      </c>
      <c r="O1331" s="2">
        <v>2342.84</v>
      </c>
      <c r="P1331" s="1">
        <v>51</v>
      </c>
      <c r="Q1331" s="2">
        <v>331.31</v>
      </c>
      <c r="R1331" s="2">
        <v>686.29</v>
      </c>
      <c r="S1331" s="1" t="s">
        <v>1016</v>
      </c>
      <c r="T1331" s="1" t="s">
        <v>1004</v>
      </c>
      <c r="U1331" s="1" t="s">
        <v>1007</v>
      </c>
    </row>
    <row r="1332" spans="1:21" x14ac:dyDescent="0.3">
      <c r="A1332" s="1" t="s">
        <v>2346</v>
      </c>
      <c r="B1332" s="1" t="s">
        <v>192</v>
      </c>
      <c r="C1332" s="1" t="s">
        <v>193</v>
      </c>
      <c r="D1332" s="1" t="s">
        <v>85</v>
      </c>
      <c r="E1332" s="1" t="s">
        <v>3484</v>
      </c>
      <c r="F1332" s="1" t="s">
        <v>1006</v>
      </c>
      <c r="G1332" s="1" t="s">
        <v>1023</v>
      </c>
      <c r="H1332" s="1">
        <v>15</v>
      </c>
      <c r="I1332" s="1">
        <v>2</v>
      </c>
      <c r="J1332" s="1" t="s">
        <v>2648</v>
      </c>
      <c r="K1332" s="2">
        <v>135.06</v>
      </c>
      <c r="L1332" s="1">
        <v>10</v>
      </c>
      <c r="M1332" s="2">
        <v>2025.9</v>
      </c>
      <c r="N1332" s="2">
        <v>202.59</v>
      </c>
      <c r="O1332" s="2">
        <v>1823.31</v>
      </c>
      <c r="P1332" s="1">
        <v>177</v>
      </c>
      <c r="Q1332" s="2">
        <v>94.54</v>
      </c>
      <c r="R1332" s="2">
        <v>405.21</v>
      </c>
      <c r="S1332" s="1" t="s">
        <v>1003</v>
      </c>
      <c r="T1332" s="1" t="s">
        <v>1007</v>
      </c>
      <c r="U1332" s="1" t="s">
        <v>1004</v>
      </c>
    </row>
    <row r="1333" spans="1:21" x14ac:dyDescent="0.3">
      <c r="A1333" s="1" t="s">
        <v>2347</v>
      </c>
      <c r="B1333" s="1" t="s">
        <v>111</v>
      </c>
      <c r="C1333" s="1" t="s">
        <v>112</v>
      </c>
      <c r="D1333" s="1" t="s">
        <v>97</v>
      </c>
      <c r="E1333" s="1" t="s">
        <v>3485</v>
      </c>
      <c r="F1333" s="1" t="s">
        <v>1013</v>
      </c>
      <c r="G1333" s="1" t="s">
        <v>1002</v>
      </c>
      <c r="H1333" s="1">
        <v>8</v>
      </c>
      <c r="I1333" s="1">
        <v>5</v>
      </c>
      <c r="J1333" s="1" t="s">
        <v>2538</v>
      </c>
      <c r="K1333" s="2">
        <v>411.18</v>
      </c>
      <c r="L1333" s="1">
        <v>17</v>
      </c>
      <c r="M1333" s="2">
        <v>3289.44</v>
      </c>
      <c r="N1333" s="2">
        <v>559.20000000000005</v>
      </c>
      <c r="O1333" s="2">
        <v>2730.24</v>
      </c>
      <c r="P1333" s="1">
        <v>220</v>
      </c>
      <c r="Q1333" s="2">
        <v>287.83</v>
      </c>
      <c r="R1333" s="2">
        <v>427.6</v>
      </c>
      <c r="S1333" s="1" t="s">
        <v>1016</v>
      </c>
      <c r="T1333" s="1" t="s">
        <v>1007</v>
      </c>
      <c r="U1333" s="1" t="s">
        <v>1004</v>
      </c>
    </row>
    <row r="1334" spans="1:21" x14ac:dyDescent="0.3">
      <c r="A1334" s="1" t="s">
        <v>2348</v>
      </c>
      <c r="B1334" s="1" t="s">
        <v>83</v>
      </c>
      <c r="C1334" s="1" t="s">
        <v>84</v>
      </c>
      <c r="D1334" s="1" t="s">
        <v>85</v>
      </c>
      <c r="E1334" s="1" t="s">
        <v>3486</v>
      </c>
      <c r="F1334" s="1" t="s">
        <v>1015</v>
      </c>
      <c r="G1334" s="1" t="s">
        <v>1002</v>
      </c>
      <c r="H1334" s="1">
        <v>7</v>
      </c>
      <c r="I1334" s="1">
        <v>2</v>
      </c>
      <c r="J1334" s="1" t="s">
        <v>2686</v>
      </c>
      <c r="K1334" s="2">
        <v>204.78</v>
      </c>
      <c r="L1334" s="1">
        <v>1</v>
      </c>
      <c r="M1334" s="2">
        <v>1433.46</v>
      </c>
      <c r="N1334" s="2">
        <v>14.33</v>
      </c>
      <c r="O1334" s="2">
        <v>1419.13</v>
      </c>
      <c r="P1334" s="1">
        <v>231</v>
      </c>
      <c r="Q1334" s="2">
        <v>143.35</v>
      </c>
      <c r="R1334" s="2">
        <v>415.68</v>
      </c>
      <c r="S1334" s="1" t="s">
        <v>1003</v>
      </c>
      <c r="T1334" s="1" t="s">
        <v>1004</v>
      </c>
      <c r="U1334" s="1" t="s">
        <v>1004</v>
      </c>
    </row>
    <row r="1335" spans="1:21" x14ac:dyDescent="0.3">
      <c r="A1335" s="1" t="s">
        <v>2349</v>
      </c>
      <c r="B1335" s="1" t="s">
        <v>102</v>
      </c>
      <c r="C1335" s="1" t="s">
        <v>103</v>
      </c>
      <c r="D1335" s="1" t="s">
        <v>104</v>
      </c>
      <c r="E1335" s="1" t="s">
        <v>3487</v>
      </c>
      <c r="F1335" s="1" t="s">
        <v>1013</v>
      </c>
      <c r="G1335" s="1" t="s">
        <v>1002</v>
      </c>
      <c r="H1335" s="1">
        <v>8</v>
      </c>
      <c r="I1335" s="1">
        <v>3</v>
      </c>
      <c r="J1335" s="1" t="s">
        <v>2633</v>
      </c>
      <c r="K1335" s="2">
        <v>374.65</v>
      </c>
      <c r="L1335" s="1">
        <v>7</v>
      </c>
      <c r="M1335" s="2">
        <v>2997.2</v>
      </c>
      <c r="N1335" s="2">
        <v>209.8</v>
      </c>
      <c r="O1335" s="2">
        <v>2787.4</v>
      </c>
      <c r="P1335" s="1">
        <v>214</v>
      </c>
      <c r="Q1335" s="2">
        <v>262.25</v>
      </c>
      <c r="R1335" s="2">
        <v>689.4</v>
      </c>
      <c r="S1335" s="1" t="s">
        <v>1016</v>
      </c>
      <c r="T1335" s="1" t="s">
        <v>1007</v>
      </c>
      <c r="U1335" s="1" t="s">
        <v>1004</v>
      </c>
    </row>
    <row r="1336" spans="1:21" x14ac:dyDescent="0.3">
      <c r="A1336" s="1" t="s">
        <v>2350</v>
      </c>
      <c r="B1336" s="1" t="s">
        <v>118</v>
      </c>
      <c r="C1336" s="1" t="s">
        <v>119</v>
      </c>
      <c r="D1336" s="1" t="s">
        <v>97</v>
      </c>
      <c r="E1336" s="1" t="s">
        <v>3488</v>
      </c>
      <c r="F1336" s="1" t="s">
        <v>1013</v>
      </c>
      <c r="G1336" s="1" t="s">
        <v>1023</v>
      </c>
      <c r="H1336" s="1">
        <v>3</v>
      </c>
      <c r="I1336" s="1">
        <v>1</v>
      </c>
      <c r="J1336" s="1" t="s">
        <v>2885</v>
      </c>
      <c r="K1336" s="2">
        <v>157.16999999999999</v>
      </c>
      <c r="L1336" s="1">
        <v>22</v>
      </c>
      <c r="M1336" s="2">
        <v>471.51</v>
      </c>
      <c r="N1336" s="2">
        <v>103.73</v>
      </c>
      <c r="O1336" s="2">
        <v>367.78</v>
      </c>
      <c r="P1336" s="1">
        <v>296</v>
      </c>
      <c r="Q1336" s="2">
        <v>110.02</v>
      </c>
      <c r="R1336" s="2">
        <v>37.72</v>
      </c>
      <c r="S1336" s="1" t="s">
        <v>1003</v>
      </c>
      <c r="T1336" s="1" t="s">
        <v>1004</v>
      </c>
      <c r="U1336" s="1" t="s">
        <v>1004</v>
      </c>
    </row>
    <row r="1337" spans="1:21" x14ac:dyDescent="0.3">
      <c r="A1337" s="1" t="s">
        <v>2351</v>
      </c>
      <c r="B1337" s="1" t="s">
        <v>45</v>
      </c>
      <c r="C1337" s="1" t="s">
        <v>46</v>
      </c>
      <c r="D1337" s="1" t="s">
        <v>47</v>
      </c>
      <c r="E1337" s="1" t="s">
        <v>3489</v>
      </c>
      <c r="F1337" s="1" t="s">
        <v>1009</v>
      </c>
      <c r="G1337" s="1" t="s">
        <v>1023</v>
      </c>
      <c r="H1337" s="1">
        <v>12</v>
      </c>
      <c r="I1337" s="1">
        <v>2</v>
      </c>
      <c r="J1337" s="1" t="s">
        <v>2746</v>
      </c>
      <c r="K1337" s="2">
        <v>252.59</v>
      </c>
      <c r="L1337" s="1">
        <v>5</v>
      </c>
      <c r="M1337" s="2">
        <v>3031.08</v>
      </c>
      <c r="N1337" s="2">
        <v>151.55000000000001</v>
      </c>
      <c r="O1337" s="2">
        <v>2879.53</v>
      </c>
      <c r="P1337" s="1">
        <v>260</v>
      </c>
      <c r="Q1337" s="2">
        <v>176.81</v>
      </c>
      <c r="R1337" s="2">
        <v>757.81</v>
      </c>
      <c r="S1337" s="1" t="s">
        <v>1003</v>
      </c>
      <c r="T1337" s="1" t="s">
        <v>1007</v>
      </c>
      <c r="U1337" s="1" t="s">
        <v>1007</v>
      </c>
    </row>
    <row r="1338" spans="1:21" x14ac:dyDescent="0.3">
      <c r="A1338" s="1" t="s">
        <v>2352</v>
      </c>
      <c r="B1338" s="1" t="s">
        <v>26</v>
      </c>
      <c r="C1338" s="1" t="s">
        <v>27</v>
      </c>
      <c r="D1338" s="1" t="s">
        <v>28</v>
      </c>
      <c r="E1338" s="1" t="s">
        <v>3490</v>
      </c>
      <c r="F1338" s="1" t="s">
        <v>1013</v>
      </c>
      <c r="G1338" s="1" t="s">
        <v>1010</v>
      </c>
      <c r="H1338" s="1">
        <v>14</v>
      </c>
      <c r="I1338" s="1">
        <v>1</v>
      </c>
      <c r="J1338" s="1" t="s">
        <v>3418</v>
      </c>
      <c r="K1338" s="2">
        <v>205.65</v>
      </c>
      <c r="L1338" s="1">
        <v>12</v>
      </c>
      <c r="M1338" s="2">
        <v>2879.1</v>
      </c>
      <c r="N1338" s="2">
        <v>345.49</v>
      </c>
      <c r="O1338" s="2">
        <v>2533.61</v>
      </c>
      <c r="P1338" s="1">
        <v>169</v>
      </c>
      <c r="Q1338" s="2">
        <v>143.94999999999999</v>
      </c>
      <c r="R1338" s="2">
        <v>518.30999999999995</v>
      </c>
      <c r="S1338" s="1" t="s">
        <v>1011</v>
      </c>
      <c r="T1338" s="1" t="s">
        <v>1004</v>
      </c>
      <c r="U1338" s="1" t="s">
        <v>1007</v>
      </c>
    </row>
    <row r="1339" spans="1:21" x14ac:dyDescent="0.3">
      <c r="A1339" s="1" t="s">
        <v>2353</v>
      </c>
      <c r="B1339" s="1" t="s">
        <v>237</v>
      </c>
      <c r="C1339" s="1" t="s">
        <v>238</v>
      </c>
      <c r="D1339" s="1" t="s">
        <v>85</v>
      </c>
      <c r="E1339" s="1" t="s">
        <v>3491</v>
      </c>
      <c r="F1339" s="1" t="s">
        <v>1013</v>
      </c>
      <c r="G1339" s="1" t="s">
        <v>1002</v>
      </c>
      <c r="H1339" s="1">
        <v>15</v>
      </c>
      <c r="I1339" s="1">
        <v>6</v>
      </c>
      <c r="J1339" s="1" t="s">
        <v>2739</v>
      </c>
      <c r="K1339" s="2">
        <v>219.5</v>
      </c>
      <c r="L1339" s="1">
        <v>18</v>
      </c>
      <c r="M1339" s="2">
        <v>3292.5</v>
      </c>
      <c r="N1339" s="2">
        <v>592.65</v>
      </c>
      <c r="O1339" s="2">
        <v>2699.85</v>
      </c>
      <c r="P1339" s="1">
        <v>217</v>
      </c>
      <c r="Q1339" s="2">
        <v>153.65</v>
      </c>
      <c r="R1339" s="2">
        <v>395.1</v>
      </c>
      <c r="S1339" s="1" t="s">
        <v>1011</v>
      </c>
      <c r="T1339" s="1" t="s">
        <v>1007</v>
      </c>
      <c r="U1339" s="1" t="s">
        <v>1007</v>
      </c>
    </row>
    <row r="1340" spans="1:21" x14ac:dyDescent="0.3">
      <c r="A1340" s="1" t="s">
        <v>2354</v>
      </c>
      <c r="B1340" s="1" t="s">
        <v>107</v>
      </c>
      <c r="C1340" s="1" t="s">
        <v>108</v>
      </c>
      <c r="D1340" s="1" t="s">
        <v>39</v>
      </c>
      <c r="E1340" s="1" t="s">
        <v>3492</v>
      </c>
      <c r="F1340" s="1" t="s">
        <v>1009</v>
      </c>
      <c r="G1340" s="1" t="s">
        <v>1010</v>
      </c>
      <c r="H1340" s="1">
        <v>2</v>
      </c>
      <c r="I1340" s="1">
        <v>1</v>
      </c>
      <c r="J1340" s="1" t="s">
        <v>2746</v>
      </c>
      <c r="K1340" s="2">
        <v>223.16</v>
      </c>
      <c r="L1340" s="1">
        <v>1</v>
      </c>
      <c r="M1340" s="2">
        <v>446.32</v>
      </c>
      <c r="N1340" s="2">
        <v>4.46</v>
      </c>
      <c r="O1340" s="2">
        <v>441.86</v>
      </c>
      <c r="P1340" s="1">
        <v>56</v>
      </c>
      <c r="Q1340" s="2">
        <v>156.21</v>
      </c>
      <c r="R1340" s="2">
        <v>129.44</v>
      </c>
      <c r="S1340" s="1" t="s">
        <v>1003</v>
      </c>
      <c r="T1340" s="1" t="s">
        <v>1007</v>
      </c>
      <c r="U1340" s="1" t="s">
        <v>1004</v>
      </c>
    </row>
    <row r="1341" spans="1:21" x14ac:dyDescent="0.3">
      <c r="A1341" s="1" t="s">
        <v>2355</v>
      </c>
      <c r="B1341" s="1" t="s">
        <v>72</v>
      </c>
      <c r="C1341" s="1" t="s">
        <v>73</v>
      </c>
      <c r="D1341" s="1" t="s">
        <v>47</v>
      </c>
      <c r="E1341" s="1" t="s">
        <v>3493</v>
      </c>
      <c r="F1341" s="1" t="s">
        <v>1009</v>
      </c>
      <c r="G1341" s="1" t="s">
        <v>1002</v>
      </c>
      <c r="H1341" s="1">
        <v>7</v>
      </c>
      <c r="I1341" s="1">
        <v>5</v>
      </c>
      <c r="J1341" s="1" t="s">
        <v>2558</v>
      </c>
      <c r="K1341" s="2">
        <v>219.94</v>
      </c>
      <c r="L1341" s="1">
        <v>13</v>
      </c>
      <c r="M1341" s="2">
        <v>1539.58</v>
      </c>
      <c r="N1341" s="2">
        <v>200.15</v>
      </c>
      <c r="O1341" s="2">
        <v>1339.43</v>
      </c>
      <c r="P1341" s="1">
        <v>161</v>
      </c>
      <c r="Q1341" s="2">
        <v>153.96</v>
      </c>
      <c r="R1341" s="2">
        <v>261.70999999999998</v>
      </c>
      <c r="S1341" s="1" t="s">
        <v>1003</v>
      </c>
      <c r="T1341" s="1" t="s">
        <v>1004</v>
      </c>
      <c r="U1341" s="1" t="s">
        <v>1007</v>
      </c>
    </row>
    <row r="1342" spans="1:21" x14ac:dyDescent="0.3">
      <c r="A1342" s="1" t="s">
        <v>2356</v>
      </c>
      <c r="B1342" s="1" t="s">
        <v>102</v>
      </c>
      <c r="C1342" s="1" t="s">
        <v>103</v>
      </c>
      <c r="D1342" s="1" t="s">
        <v>104</v>
      </c>
      <c r="E1342" s="1" t="s">
        <v>3494</v>
      </c>
      <c r="F1342" s="1" t="s">
        <v>1020</v>
      </c>
      <c r="G1342" s="1" t="s">
        <v>1023</v>
      </c>
      <c r="H1342" s="1">
        <v>14</v>
      </c>
      <c r="I1342" s="1">
        <v>1</v>
      </c>
      <c r="J1342" s="1" t="s">
        <v>2924</v>
      </c>
      <c r="K1342" s="2">
        <v>478.55</v>
      </c>
      <c r="L1342" s="1">
        <v>25</v>
      </c>
      <c r="M1342" s="2">
        <v>6699.7</v>
      </c>
      <c r="N1342" s="2">
        <v>1674.92</v>
      </c>
      <c r="O1342" s="2">
        <v>5024.78</v>
      </c>
      <c r="P1342" s="1">
        <v>150</v>
      </c>
      <c r="Q1342" s="2">
        <v>334.99</v>
      </c>
      <c r="R1342" s="2">
        <v>334.92</v>
      </c>
      <c r="S1342" s="1" t="s">
        <v>1016</v>
      </c>
      <c r="T1342" s="1" t="s">
        <v>1004</v>
      </c>
      <c r="U1342" s="1" t="s">
        <v>1007</v>
      </c>
    </row>
    <row r="1343" spans="1:21" x14ac:dyDescent="0.3">
      <c r="A1343" s="1" t="s">
        <v>2357</v>
      </c>
      <c r="B1343" s="1" t="s">
        <v>111</v>
      </c>
      <c r="C1343" s="1" t="s">
        <v>112</v>
      </c>
      <c r="D1343" s="1" t="s">
        <v>97</v>
      </c>
      <c r="E1343" s="1" t="s">
        <v>3495</v>
      </c>
      <c r="F1343" s="1" t="s">
        <v>1027</v>
      </c>
      <c r="G1343" s="1" t="s">
        <v>1010</v>
      </c>
      <c r="H1343" s="1">
        <v>13</v>
      </c>
      <c r="I1343" s="1">
        <v>6</v>
      </c>
      <c r="J1343" s="1" t="s">
        <v>2664</v>
      </c>
      <c r="K1343" s="2">
        <v>386.53</v>
      </c>
      <c r="L1343" s="1">
        <v>4</v>
      </c>
      <c r="M1343" s="2">
        <v>5024.8900000000003</v>
      </c>
      <c r="N1343" s="2">
        <v>201</v>
      </c>
      <c r="O1343" s="2">
        <v>4823.8900000000003</v>
      </c>
      <c r="P1343" s="1">
        <v>250</v>
      </c>
      <c r="Q1343" s="2">
        <v>270.57</v>
      </c>
      <c r="R1343" s="2">
        <v>1306.48</v>
      </c>
      <c r="S1343" s="1" t="s">
        <v>1016</v>
      </c>
      <c r="T1343" s="1" t="s">
        <v>1007</v>
      </c>
      <c r="U1343" s="1" t="s">
        <v>1007</v>
      </c>
    </row>
    <row r="1344" spans="1:21" x14ac:dyDescent="0.3">
      <c r="A1344" s="1" t="s">
        <v>2358</v>
      </c>
      <c r="B1344" s="1" t="s">
        <v>111</v>
      </c>
      <c r="C1344" s="1" t="s">
        <v>112</v>
      </c>
      <c r="D1344" s="1" t="s">
        <v>97</v>
      </c>
      <c r="E1344" s="1" t="s">
        <v>3496</v>
      </c>
      <c r="F1344" s="1" t="s">
        <v>1020</v>
      </c>
      <c r="G1344" s="1" t="s">
        <v>1010</v>
      </c>
      <c r="H1344" s="1">
        <v>11</v>
      </c>
      <c r="I1344" s="1">
        <v>6</v>
      </c>
      <c r="J1344" s="1" t="s">
        <v>3315</v>
      </c>
      <c r="K1344" s="2">
        <v>94.93</v>
      </c>
      <c r="L1344" s="1">
        <v>23</v>
      </c>
      <c r="M1344" s="2">
        <v>1044.23</v>
      </c>
      <c r="N1344" s="2">
        <v>240.17</v>
      </c>
      <c r="O1344" s="2">
        <v>804.06</v>
      </c>
      <c r="P1344" s="1">
        <v>110</v>
      </c>
      <c r="Q1344" s="2">
        <v>66.45</v>
      </c>
      <c r="R1344" s="2">
        <v>73.11</v>
      </c>
      <c r="S1344" s="1" t="s">
        <v>1016</v>
      </c>
      <c r="T1344" s="1" t="s">
        <v>1007</v>
      </c>
      <c r="U1344" s="1" t="s">
        <v>1004</v>
      </c>
    </row>
    <row r="1345" spans="1:21" x14ac:dyDescent="0.3">
      <c r="A1345" s="1" t="s">
        <v>2359</v>
      </c>
      <c r="B1345" s="1" t="s">
        <v>83</v>
      </c>
      <c r="C1345" s="1" t="s">
        <v>84</v>
      </c>
      <c r="D1345" s="1" t="s">
        <v>85</v>
      </c>
      <c r="E1345" s="1" t="s">
        <v>3497</v>
      </c>
      <c r="F1345" s="1" t="s">
        <v>1006</v>
      </c>
      <c r="G1345" s="1" t="s">
        <v>1023</v>
      </c>
      <c r="H1345" s="1">
        <v>15</v>
      </c>
      <c r="I1345" s="1">
        <v>3</v>
      </c>
      <c r="J1345" s="1" t="s">
        <v>2763</v>
      </c>
      <c r="K1345" s="2">
        <v>331.47</v>
      </c>
      <c r="L1345" s="1">
        <v>5</v>
      </c>
      <c r="M1345" s="2">
        <v>4972.05</v>
      </c>
      <c r="N1345" s="2">
        <v>248.6</v>
      </c>
      <c r="O1345" s="2">
        <v>4723.45</v>
      </c>
      <c r="P1345" s="1">
        <v>183</v>
      </c>
      <c r="Q1345" s="2">
        <v>232.03</v>
      </c>
      <c r="R1345" s="2">
        <v>1243</v>
      </c>
      <c r="S1345" s="1" t="s">
        <v>1003</v>
      </c>
      <c r="T1345" s="1" t="s">
        <v>1007</v>
      </c>
      <c r="U1345" s="1" t="s">
        <v>1004</v>
      </c>
    </row>
    <row r="1346" spans="1:21" x14ac:dyDescent="0.3">
      <c r="A1346" s="1" t="s">
        <v>2360</v>
      </c>
      <c r="B1346" s="1" t="s">
        <v>176</v>
      </c>
      <c r="C1346" s="1" t="s">
        <v>177</v>
      </c>
      <c r="D1346" s="1" t="s">
        <v>39</v>
      </c>
      <c r="E1346" s="1" t="s">
        <v>3498</v>
      </c>
      <c r="F1346" s="1" t="s">
        <v>1006</v>
      </c>
      <c r="G1346" s="1" t="s">
        <v>1002</v>
      </c>
      <c r="H1346" s="1">
        <v>10</v>
      </c>
      <c r="I1346" s="1">
        <v>2</v>
      </c>
      <c r="J1346" s="1" t="s">
        <v>2904</v>
      </c>
      <c r="K1346" s="2">
        <v>252.54</v>
      </c>
      <c r="L1346" s="1">
        <v>1</v>
      </c>
      <c r="M1346" s="2">
        <v>2525.4</v>
      </c>
      <c r="N1346" s="2">
        <v>25.25</v>
      </c>
      <c r="O1346" s="2">
        <v>2500.15</v>
      </c>
      <c r="P1346" s="1">
        <v>109</v>
      </c>
      <c r="Q1346" s="2">
        <v>176.78</v>
      </c>
      <c r="R1346" s="2">
        <v>732.35</v>
      </c>
      <c r="S1346" s="1" t="s">
        <v>1016</v>
      </c>
      <c r="T1346" s="1" t="s">
        <v>1004</v>
      </c>
      <c r="U1346" s="1" t="s">
        <v>1004</v>
      </c>
    </row>
    <row r="1347" spans="1:21" x14ac:dyDescent="0.3">
      <c r="A1347" s="1" t="s">
        <v>2361</v>
      </c>
      <c r="B1347" s="1" t="s">
        <v>130</v>
      </c>
      <c r="C1347" s="1" t="s">
        <v>131</v>
      </c>
      <c r="D1347" s="1" t="s">
        <v>132</v>
      </c>
      <c r="E1347" s="1" t="s">
        <v>3499</v>
      </c>
      <c r="F1347" s="1" t="s">
        <v>1027</v>
      </c>
      <c r="G1347" s="1" t="s">
        <v>1023</v>
      </c>
      <c r="H1347" s="1">
        <v>10</v>
      </c>
      <c r="I1347" s="1">
        <v>1</v>
      </c>
      <c r="J1347" s="1" t="s">
        <v>2835</v>
      </c>
      <c r="K1347" s="2">
        <v>344.25</v>
      </c>
      <c r="L1347" s="1">
        <v>12</v>
      </c>
      <c r="M1347" s="2">
        <v>3442.5</v>
      </c>
      <c r="N1347" s="2">
        <v>413.1</v>
      </c>
      <c r="O1347" s="2">
        <v>3029.4</v>
      </c>
      <c r="P1347" s="1">
        <v>207</v>
      </c>
      <c r="Q1347" s="2">
        <v>240.97</v>
      </c>
      <c r="R1347" s="2">
        <v>619.70000000000005</v>
      </c>
      <c r="S1347" s="1" t="s">
        <v>1011</v>
      </c>
      <c r="T1347" s="1" t="s">
        <v>1007</v>
      </c>
      <c r="U1347" s="1" t="s">
        <v>1004</v>
      </c>
    </row>
    <row r="1348" spans="1:21" x14ac:dyDescent="0.3">
      <c r="A1348" s="1" t="s">
        <v>2362</v>
      </c>
      <c r="B1348" s="1" t="s">
        <v>63</v>
      </c>
      <c r="C1348" s="1" t="s">
        <v>64</v>
      </c>
      <c r="D1348" s="1" t="s">
        <v>28</v>
      </c>
      <c r="E1348" s="1" t="s">
        <v>3500</v>
      </c>
      <c r="F1348" s="1" t="s">
        <v>1013</v>
      </c>
      <c r="G1348" s="1" t="s">
        <v>1023</v>
      </c>
      <c r="H1348" s="1">
        <v>6</v>
      </c>
      <c r="I1348" s="1">
        <v>5</v>
      </c>
      <c r="J1348" s="1" t="s">
        <v>2769</v>
      </c>
      <c r="K1348" s="2">
        <v>197.02</v>
      </c>
      <c r="L1348" s="1">
        <v>3</v>
      </c>
      <c r="M1348" s="2">
        <v>1182.1199999999999</v>
      </c>
      <c r="N1348" s="2">
        <v>35.46</v>
      </c>
      <c r="O1348" s="2">
        <v>1146.6600000000001</v>
      </c>
      <c r="P1348" s="1">
        <v>210</v>
      </c>
      <c r="Q1348" s="2">
        <v>137.91</v>
      </c>
      <c r="R1348" s="2">
        <v>319.2</v>
      </c>
      <c r="S1348" s="1" t="s">
        <v>1011</v>
      </c>
      <c r="T1348" s="1" t="s">
        <v>1004</v>
      </c>
      <c r="U1348" s="1" t="s">
        <v>1004</v>
      </c>
    </row>
    <row r="1349" spans="1:21" x14ac:dyDescent="0.3">
      <c r="A1349" s="1" t="s">
        <v>2363</v>
      </c>
      <c r="B1349" s="1" t="s">
        <v>57</v>
      </c>
      <c r="C1349" s="1" t="s">
        <v>58</v>
      </c>
      <c r="D1349" s="1" t="s">
        <v>59</v>
      </c>
      <c r="E1349" s="1" t="s">
        <v>3501</v>
      </c>
      <c r="F1349" s="1" t="s">
        <v>1013</v>
      </c>
      <c r="G1349" s="1" t="s">
        <v>1023</v>
      </c>
      <c r="H1349" s="1">
        <v>12</v>
      </c>
      <c r="I1349" s="1">
        <v>2</v>
      </c>
      <c r="J1349" s="1" t="s">
        <v>2566</v>
      </c>
      <c r="K1349" s="2">
        <v>200.83</v>
      </c>
      <c r="L1349" s="1">
        <v>13</v>
      </c>
      <c r="M1349" s="2">
        <v>2409.96</v>
      </c>
      <c r="N1349" s="2">
        <v>313.29000000000002</v>
      </c>
      <c r="O1349" s="2">
        <v>2096.67</v>
      </c>
      <c r="P1349" s="1">
        <v>171</v>
      </c>
      <c r="Q1349" s="2">
        <v>140.58000000000001</v>
      </c>
      <c r="R1349" s="2">
        <v>409.71</v>
      </c>
      <c r="S1349" s="1" t="s">
        <v>1003</v>
      </c>
      <c r="T1349" s="1" t="s">
        <v>1007</v>
      </c>
      <c r="U1349" s="1" t="s">
        <v>1007</v>
      </c>
    </row>
    <row r="1350" spans="1:21" x14ac:dyDescent="0.3">
      <c r="A1350" s="1" t="s">
        <v>2364</v>
      </c>
      <c r="B1350" s="1" t="s">
        <v>176</v>
      </c>
      <c r="C1350" s="1" t="s">
        <v>177</v>
      </c>
      <c r="D1350" s="1" t="s">
        <v>39</v>
      </c>
      <c r="E1350" s="1" t="s">
        <v>3502</v>
      </c>
      <c r="F1350" s="1" t="s">
        <v>1015</v>
      </c>
      <c r="G1350" s="1" t="s">
        <v>1002</v>
      </c>
      <c r="H1350" s="1">
        <v>14</v>
      </c>
      <c r="I1350" s="1">
        <v>1</v>
      </c>
      <c r="J1350" s="1" t="s">
        <v>2606</v>
      </c>
      <c r="K1350" s="2">
        <v>375.78</v>
      </c>
      <c r="L1350" s="1">
        <v>4</v>
      </c>
      <c r="M1350" s="2">
        <v>5260.92</v>
      </c>
      <c r="N1350" s="2">
        <v>210.44</v>
      </c>
      <c r="O1350" s="2">
        <v>5050.4799999999996</v>
      </c>
      <c r="P1350" s="1">
        <v>91</v>
      </c>
      <c r="Q1350" s="2">
        <v>263.05</v>
      </c>
      <c r="R1350" s="2">
        <v>1367.78</v>
      </c>
      <c r="S1350" s="1" t="s">
        <v>1011</v>
      </c>
      <c r="T1350" s="1" t="s">
        <v>1007</v>
      </c>
      <c r="U1350" s="1" t="s">
        <v>1004</v>
      </c>
    </row>
    <row r="1351" spans="1:21" x14ac:dyDescent="0.3">
      <c r="A1351" s="1" t="s">
        <v>2365</v>
      </c>
      <c r="B1351" s="1" t="s">
        <v>107</v>
      </c>
      <c r="C1351" s="1" t="s">
        <v>108</v>
      </c>
      <c r="D1351" s="1" t="s">
        <v>39</v>
      </c>
      <c r="E1351" s="1" t="s">
        <v>3503</v>
      </c>
      <c r="F1351" s="1" t="s">
        <v>1020</v>
      </c>
      <c r="G1351" s="1" t="s">
        <v>1002</v>
      </c>
      <c r="H1351" s="1">
        <v>14</v>
      </c>
      <c r="I1351" s="1">
        <v>4</v>
      </c>
      <c r="J1351" s="1" t="s">
        <v>3072</v>
      </c>
      <c r="K1351" s="2">
        <v>55.58</v>
      </c>
      <c r="L1351" s="1">
        <v>0</v>
      </c>
      <c r="M1351" s="2">
        <v>778.12</v>
      </c>
      <c r="N1351" s="2">
        <v>0</v>
      </c>
      <c r="O1351" s="2">
        <v>778.12</v>
      </c>
      <c r="P1351" s="1">
        <v>164</v>
      </c>
      <c r="Q1351" s="2">
        <v>38.909999999999997</v>
      </c>
      <c r="R1351" s="2">
        <v>233.38</v>
      </c>
      <c r="S1351" s="1" t="s">
        <v>1003</v>
      </c>
      <c r="T1351" s="1" t="s">
        <v>1004</v>
      </c>
      <c r="U1351" s="1" t="s">
        <v>1007</v>
      </c>
    </row>
    <row r="1352" spans="1:21" x14ac:dyDescent="0.3">
      <c r="A1352" s="1" t="s">
        <v>2366</v>
      </c>
      <c r="B1352" s="1" t="s">
        <v>118</v>
      </c>
      <c r="C1352" s="1" t="s">
        <v>119</v>
      </c>
      <c r="D1352" s="1" t="s">
        <v>97</v>
      </c>
      <c r="E1352" s="1" t="s">
        <v>3504</v>
      </c>
      <c r="F1352" s="1" t="s">
        <v>1015</v>
      </c>
      <c r="G1352" s="1" t="s">
        <v>1002</v>
      </c>
      <c r="H1352" s="1">
        <v>15</v>
      </c>
      <c r="I1352" s="1">
        <v>1</v>
      </c>
      <c r="J1352" s="1" t="s">
        <v>2867</v>
      </c>
      <c r="K1352" s="2">
        <v>116</v>
      </c>
      <c r="L1352" s="1">
        <v>7</v>
      </c>
      <c r="M1352" s="2">
        <v>1740</v>
      </c>
      <c r="N1352" s="2">
        <v>121.8</v>
      </c>
      <c r="O1352" s="2">
        <v>1618.2</v>
      </c>
      <c r="P1352" s="1">
        <v>188</v>
      </c>
      <c r="Q1352" s="2">
        <v>81.2</v>
      </c>
      <c r="R1352" s="2">
        <v>400.2</v>
      </c>
      <c r="S1352" s="1" t="s">
        <v>1003</v>
      </c>
      <c r="T1352" s="1" t="s">
        <v>1007</v>
      </c>
      <c r="U1352" s="1" t="s">
        <v>1007</v>
      </c>
    </row>
    <row r="1353" spans="1:21" x14ac:dyDescent="0.3">
      <c r="A1353" s="1" t="s">
        <v>2367</v>
      </c>
      <c r="B1353" s="1" t="s">
        <v>26</v>
      </c>
      <c r="C1353" s="1" t="s">
        <v>27</v>
      </c>
      <c r="D1353" s="1" t="s">
        <v>28</v>
      </c>
      <c r="E1353" s="1" t="s">
        <v>3505</v>
      </c>
      <c r="F1353" s="1" t="s">
        <v>1006</v>
      </c>
      <c r="G1353" s="1" t="s">
        <v>1010</v>
      </c>
      <c r="H1353" s="1">
        <v>11</v>
      </c>
      <c r="I1353" s="1">
        <v>2</v>
      </c>
      <c r="J1353" s="1" t="s">
        <v>2623</v>
      </c>
      <c r="K1353" s="2">
        <v>189.08</v>
      </c>
      <c r="L1353" s="1">
        <v>2</v>
      </c>
      <c r="M1353" s="2">
        <v>2079.88</v>
      </c>
      <c r="N1353" s="2">
        <v>41.6</v>
      </c>
      <c r="O1353" s="2">
        <v>2038.28</v>
      </c>
      <c r="P1353" s="1">
        <v>276</v>
      </c>
      <c r="Q1353" s="2">
        <v>132.36000000000001</v>
      </c>
      <c r="R1353" s="2">
        <v>582.32000000000005</v>
      </c>
      <c r="S1353" s="1" t="s">
        <v>1003</v>
      </c>
      <c r="T1353" s="1" t="s">
        <v>1004</v>
      </c>
      <c r="U1353" s="1" t="s">
        <v>1004</v>
      </c>
    </row>
    <row r="1354" spans="1:21" x14ac:dyDescent="0.3">
      <c r="A1354" s="1" t="s">
        <v>2368</v>
      </c>
      <c r="B1354" s="1" t="s">
        <v>57</v>
      </c>
      <c r="C1354" s="1" t="s">
        <v>58</v>
      </c>
      <c r="D1354" s="1" t="s">
        <v>59</v>
      </c>
      <c r="E1354" s="1" t="s">
        <v>3506</v>
      </c>
      <c r="F1354" s="1" t="s">
        <v>1020</v>
      </c>
      <c r="G1354" s="1" t="s">
        <v>1002</v>
      </c>
      <c r="H1354" s="1">
        <v>12</v>
      </c>
      <c r="I1354" s="1">
        <v>5</v>
      </c>
      <c r="J1354" s="1" t="s">
        <v>2772</v>
      </c>
      <c r="K1354" s="2">
        <v>273.54000000000002</v>
      </c>
      <c r="L1354" s="1">
        <v>21</v>
      </c>
      <c r="M1354" s="2">
        <v>3282.48</v>
      </c>
      <c r="N1354" s="2">
        <v>689.32</v>
      </c>
      <c r="O1354" s="2">
        <v>2593.16</v>
      </c>
      <c r="P1354" s="1">
        <v>85</v>
      </c>
      <c r="Q1354" s="2">
        <v>191.48</v>
      </c>
      <c r="R1354" s="2">
        <v>295.39999999999998</v>
      </c>
      <c r="S1354" s="1" t="s">
        <v>1003</v>
      </c>
      <c r="T1354" s="1" t="s">
        <v>1004</v>
      </c>
      <c r="U1354" s="1" t="s">
        <v>1007</v>
      </c>
    </row>
    <row r="1355" spans="1:21" x14ac:dyDescent="0.3">
      <c r="A1355" s="1" t="s">
        <v>2369</v>
      </c>
      <c r="B1355" s="1" t="s">
        <v>192</v>
      </c>
      <c r="C1355" s="1" t="s">
        <v>193</v>
      </c>
      <c r="D1355" s="1" t="s">
        <v>85</v>
      </c>
      <c r="E1355" s="1" t="s">
        <v>3507</v>
      </c>
      <c r="F1355" s="1" t="s">
        <v>1009</v>
      </c>
      <c r="G1355" s="1" t="s">
        <v>1002</v>
      </c>
      <c r="H1355" s="1">
        <v>9</v>
      </c>
      <c r="I1355" s="1">
        <v>1</v>
      </c>
      <c r="J1355" s="1" t="s">
        <v>2528</v>
      </c>
      <c r="K1355" s="2">
        <v>261.70999999999998</v>
      </c>
      <c r="L1355" s="1">
        <v>6</v>
      </c>
      <c r="M1355" s="2">
        <v>2355.39</v>
      </c>
      <c r="N1355" s="2">
        <v>141.32</v>
      </c>
      <c r="O1355" s="2">
        <v>2214.0700000000002</v>
      </c>
      <c r="P1355" s="1">
        <v>139</v>
      </c>
      <c r="Q1355" s="2">
        <v>183.2</v>
      </c>
      <c r="R1355" s="2">
        <v>565.27</v>
      </c>
      <c r="S1355" s="1" t="s">
        <v>1016</v>
      </c>
      <c r="T1355" s="1" t="s">
        <v>1004</v>
      </c>
      <c r="U1355" s="1" t="s">
        <v>1007</v>
      </c>
    </row>
    <row r="1356" spans="1:21" x14ac:dyDescent="0.3">
      <c r="A1356" s="1" t="s">
        <v>2370</v>
      </c>
      <c r="B1356" s="1" t="s">
        <v>192</v>
      </c>
      <c r="C1356" s="1" t="s">
        <v>193</v>
      </c>
      <c r="D1356" s="1" t="s">
        <v>85</v>
      </c>
      <c r="E1356" s="1" t="s">
        <v>3508</v>
      </c>
      <c r="F1356" s="1" t="s">
        <v>1006</v>
      </c>
      <c r="G1356" s="1" t="s">
        <v>1023</v>
      </c>
      <c r="H1356" s="1">
        <v>10</v>
      </c>
      <c r="I1356" s="1">
        <v>7</v>
      </c>
      <c r="J1356" s="1" t="s">
        <v>2562</v>
      </c>
      <c r="K1356" s="2">
        <v>112.52</v>
      </c>
      <c r="L1356" s="1">
        <v>18</v>
      </c>
      <c r="M1356" s="2">
        <v>1125.2</v>
      </c>
      <c r="N1356" s="2">
        <v>202.54</v>
      </c>
      <c r="O1356" s="2">
        <v>922.66</v>
      </c>
      <c r="P1356" s="1">
        <v>92</v>
      </c>
      <c r="Q1356" s="2">
        <v>78.760000000000005</v>
      </c>
      <c r="R1356" s="2">
        <v>135.06</v>
      </c>
      <c r="S1356" s="1" t="s">
        <v>1011</v>
      </c>
      <c r="T1356" s="1" t="s">
        <v>1007</v>
      </c>
      <c r="U1356" s="1" t="s">
        <v>1007</v>
      </c>
    </row>
    <row r="1357" spans="1:21" x14ac:dyDescent="0.3">
      <c r="A1357" s="1" t="s">
        <v>2371</v>
      </c>
      <c r="B1357" s="1" t="s">
        <v>26</v>
      </c>
      <c r="C1357" s="1" t="s">
        <v>27</v>
      </c>
      <c r="D1357" s="1" t="s">
        <v>28</v>
      </c>
      <c r="E1357" s="1" t="s">
        <v>3509</v>
      </c>
      <c r="F1357" s="1" t="s">
        <v>1020</v>
      </c>
      <c r="G1357" s="1" t="s">
        <v>1002</v>
      </c>
      <c r="H1357" s="1">
        <v>8</v>
      </c>
      <c r="I1357" s="1">
        <v>2</v>
      </c>
      <c r="J1357" s="1" t="s">
        <v>2778</v>
      </c>
      <c r="K1357" s="2">
        <v>301.07</v>
      </c>
      <c r="L1357" s="1">
        <v>3</v>
      </c>
      <c r="M1357" s="2">
        <v>2408.56</v>
      </c>
      <c r="N1357" s="2">
        <v>72.260000000000005</v>
      </c>
      <c r="O1357" s="2">
        <v>2336.3000000000002</v>
      </c>
      <c r="P1357" s="1">
        <v>179</v>
      </c>
      <c r="Q1357" s="2">
        <v>210.75</v>
      </c>
      <c r="R1357" s="2">
        <v>650.29999999999995</v>
      </c>
      <c r="S1357" s="1" t="s">
        <v>1011</v>
      </c>
      <c r="T1357" s="1" t="s">
        <v>1004</v>
      </c>
      <c r="U1357" s="1" t="s">
        <v>1004</v>
      </c>
    </row>
    <row r="1358" spans="1:21" x14ac:dyDescent="0.3">
      <c r="A1358" s="1" t="s">
        <v>2372</v>
      </c>
      <c r="B1358" s="1" t="s">
        <v>72</v>
      </c>
      <c r="C1358" s="1" t="s">
        <v>73</v>
      </c>
      <c r="D1358" s="1" t="s">
        <v>47</v>
      </c>
      <c r="E1358" s="1" t="s">
        <v>3510</v>
      </c>
      <c r="F1358" s="1" t="s">
        <v>1027</v>
      </c>
      <c r="G1358" s="1" t="s">
        <v>1002</v>
      </c>
      <c r="H1358" s="1">
        <v>14</v>
      </c>
      <c r="I1358" s="1">
        <v>1</v>
      </c>
      <c r="J1358" s="1" t="s">
        <v>2681</v>
      </c>
      <c r="K1358" s="2">
        <v>280.12</v>
      </c>
      <c r="L1358" s="1">
        <v>19</v>
      </c>
      <c r="M1358" s="2">
        <v>3921.68</v>
      </c>
      <c r="N1358" s="2">
        <v>745.12</v>
      </c>
      <c r="O1358" s="2">
        <v>3176.56</v>
      </c>
      <c r="P1358" s="1">
        <v>218</v>
      </c>
      <c r="Q1358" s="2">
        <v>196.08</v>
      </c>
      <c r="R1358" s="2">
        <v>431.44</v>
      </c>
      <c r="S1358" s="1" t="s">
        <v>1016</v>
      </c>
      <c r="T1358" s="1" t="s">
        <v>1004</v>
      </c>
      <c r="U1358" s="1" t="s">
        <v>1004</v>
      </c>
    </row>
    <row r="1359" spans="1:21" x14ac:dyDescent="0.3">
      <c r="A1359" s="1" t="s">
        <v>2373</v>
      </c>
      <c r="B1359" s="1" t="s">
        <v>123</v>
      </c>
      <c r="C1359" s="1" t="s">
        <v>124</v>
      </c>
      <c r="D1359" s="1" t="s">
        <v>47</v>
      </c>
      <c r="E1359" s="1" t="s">
        <v>3511</v>
      </c>
      <c r="F1359" s="1" t="s">
        <v>1009</v>
      </c>
      <c r="G1359" s="1" t="s">
        <v>1002</v>
      </c>
      <c r="H1359" s="1">
        <v>9</v>
      </c>
      <c r="I1359" s="1">
        <v>1</v>
      </c>
      <c r="J1359" s="1" t="s">
        <v>2712</v>
      </c>
      <c r="K1359" s="2">
        <v>84.36</v>
      </c>
      <c r="L1359" s="1">
        <v>19</v>
      </c>
      <c r="M1359" s="2">
        <v>759.24</v>
      </c>
      <c r="N1359" s="2">
        <v>144.26</v>
      </c>
      <c r="O1359" s="2">
        <v>614.98</v>
      </c>
      <c r="P1359" s="1">
        <v>227</v>
      </c>
      <c r="Q1359" s="2">
        <v>59.05</v>
      </c>
      <c r="R1359" s="2">
        <v>83.53</v>
      </c>
      <c r="S1359" s="1" t="s">
        <v>1011</v>
      </c>
      <c r="T1359" s="1" t="s">
        <v>1007</v>
      </c>
      <c r="U1359" s="1" t="s">
        <v>1004</v>
      </c>
    </row>
    <row r="1360" spans="1:21" x14ac:dyDescent="0.3">
      <c r="A1360" s="1" t="s">
        <v>2374</v>
      </c>
      <c r="B1360" s="1" t="s">
        <v>107</v>
      </c>
      <c r="C1360" s="1" t="s">
        <v>108</v>
      </c>
      <c r="D1360" s="1" t="s">
        <v>39</v>
      </c>
      <c r="E1360" s="1" t="s">
        <v>3512</v>
      </c>
      <c r="F1360" s="1" t="s">
        <v>1001</v>
      </c>
      <c r="G1360" s="1" t="s">
        <v>1010</v>
      </c>
      <c r="H1360" s="1">
        <v>1</v>
      </c>
      <c r="I1360" s="1">
        <v>6</v>
      </c>
      <c r="J1360" s="1" t="s">
        <v>2793</v>
      </c>
      <c r="K1360" s="2">
        <v>475.18</v>
      </c>
      <c r="L1360" s="1">
        <v>3</v>
      </c>
      <c r="M1360" s="2">
        <v>475.18</v>
      </c>
      <c r="N1360" s="2">
        <v>14.26</v>
      </c>
      <c r="O1360" s="2">
        <v>460.92</v>
      </c>
      <c r="P1360" s="1">
        <v>129</v>
      </c>
      <c r="Q1360" s="2">
        <v>332.63</v>
      </c>
      <c r="R1360" s="2">
        <v>128.29</v>
      </c>
      <c r="S1360" s="1" t="s">
        <v>1003</v>
      </c>
      <c r="T1360" s="1" t="s">
        <v>1004</v>
      </c>
      <c r="U1360" s="1" t="s">
        <v>1007</v>
      </c>
    </row>
    <row r="1361" spans="1:21" x14ac:dyDescent="0.3">
      <c r="A1361" s="1" t="s">
        <v>2375</v>
      </c>
      <c r="B1361" s="1" t="s">
        <v>63</v>
      </c>
      <c r="C1361" s="1" t="s">
        <v>64</v>
      </c>
      <c r="D1361" s="1" t="s">
        <v>28</v>
      </c>
      <c r="E1361" s="1" t="s">
        <v>3513</v>
      </c>
      <c r="F1361" s="1" t="s">
        <v>1006</v>
      </c>
      <c r="G1361" s="1" t="s">
        <v>1023</v>
      </c>
      <c r="H1361" s="1">
        <v>4</v>
      </c>
      <c r="I1361" s="1">
        <v>7</v>
      </c>
      <c r="J1361" s="1" t="s">
        <v>2529</v>
      </c>
      <c r="K1361" s="2">
        <v>89.05</v>
      </c>
      <c r="L1361" s="1">
        <v>18</v>
      </c>
      <c r="M1361" s="2">
        <v>356.2</v>
      </c>
      <c r="N1361" s="2">
        <v>64.12</v>
      </c>
      <c r="O1361" s="2">
        <v>292.08</v>
      </c>
      <c r="P1361" s="1">
        <v>152</v>
      </c>
      <c r="Q1361" s="2">
        <v>62.33</v>
      </c>
      <c r="R1361" s="2">
        <v>42.76</v>
      </c>
      <c r="S1361" s="1" t="s">
        <v>1003</v>
      </c>
      <c r="T1361" s="1" t="s">
        <v>1004</v>
      </c>
      <c r="U1361" s="1" t="s">
        <v>1004</v>
      </c>
    </row>
    <row r="1362" spans="1:21" x14ac:dyDescent="0.3">
      <c r="A1362" s="1" t="s">
        <v>2376</v>
      </c>
      <c r="B1362" s="1" t="s">
        <v>83</v>
      </c>
      <c r="C1362" s="1" t="s">
        <v>84</v>
      </c>
      <c r="D1362" s="1" t="s">
        <v>85</v>
      </c>
      <c r="E1362" s="1" t="s">
        <v>3514</v>
      </c>
      <c r="F1362" s="1" t="s">
        <v>1009</v>
      </c>
      <c r="G1362" s="1" t="s">
        <v>1023</v>
      </c>
      <c r="H1362" s="1">
        <v>7</v>
      </c>
      <c r="I1362" s="1">
        <v>6</v>
      </c>
      <c r="J1362" s="1" t="s">
        <v>2572</v>
      </c>
      <c r="K1362" s="2">
        <v>303.48</v>
      </c>
      <c r="L1362" s="1">
        <v>1</v>
      </c>
      <c r="M1362" s="2">
        <v>2124.36</v>
      </c>
      <c r="N1362" s="2">
        <v>21.24</v>
      </c>
      <c r="O1362" s="2">
        <v>2103.12</v>
      </c>
      <c r="P1362" s="1">
        <v>84</v>
      </c>
      <c r="Q1362" s="2">
        <v>212.44</v>
      </c>
      <c r="R1362" s="2">
        <v>616.04</v>
      </c>
      <c r="S1362" s="1" t="s">
        <v>1011</v>
      </c>
      <c r="T1362" s="1" t="s">
        <v>1004</v>
      </c>
      <c r="U1362" s="1" t="s">
        <v>1007</v>
      </c>
    </row>
    <row r="1363" spans="1:21" x14ac:dyDescent="0.3">
      <c r="A1363" s="1" t="s">
        <v>2377</v>
      </c>
      <c r="B1363" s="1" t="s">
        <v>77</v>
      </c>
      <c r="C1363" s="1" t="s">
        <v>78</v>
      </c>
      <c r="D1363" s="1" t="s">
        <v>47</v>
      </c>
      <c r="E1363" s="1" t="s">
        <v>3515</v>
      </c>
      <c r="F1363" s="1" t="s">
        <v>1027</v>
      </c>
      <c r="G1363" s="1" t="s">
        <v>1010</v>
      </c>
      <c r="H1363" s="1">
        <v>5</v>
      </c>
      <c r="I1363" s="1">
        <v>2</v>
      </c>
      <c r="J1363" s="1" t="s">
        <v>2645</v>
      </c>
      <c r="K1363" s="2">
        <v>214.74</v>
      </c>
      <c r="L1363" s="1">
        <v>2</v>
      </c>
      <c r="M1363" s="2">
        <v>1073.7</v>
      </c>
      <c r="N1363" s="2">
        <v>21.47</v>
      </c>
      <c r="O1363" s="2">
        <v>1052.23</v>
      </c>
      <c r="P1363" s="1">
        <v>193</v>
      </c>
      <c r="Q1363" s="2">
        <v>150.32</v>
      </c>
      <c r="R1363" s="2">
        <v>300.63</v>
      </c>
      <c r="S1363" s="1" t="s">
        <v>1011</v>
      </c>
      <c r="T1363" s="1" t="s">
        <v>1007</v>
      </c>
      <c r="U1363" s="1" t="s">
        <v>1007</v>
      </c>
    </row>
    <row r="1364" spans="1:21" x14ac:dyDescent="0.3">
      <c r="A1364" s="1" t="s">
        <v>2378</v>
      </c>
      <c r="B1364" s="1" t="s">
        <v>45</v>
      </c>
      <c r="C1364" s="1" t="s">
        <v>46</v>
      </c>
      <c r="D1364" s="1" t="s">
        <v>47</v>
      </c>
      <c r="E1364" s="1" t="s">
        <v>3516</v>
      </c>
      <c r="F1364" s="1" t="s">
        <v>1001</v>
      </c>
      <c r="G1364" s="1" t="s">
        <v>1023</v>
      </c>
      <c r="H1364" s="1">
        <v>5</v>
      </c>
      <c r="I1364" s="1">
        <v>7</v>
      </c>
      <c r="J1364" s="1" t="s">
        <v>2559</v>
      </c>
      <c r="K1364" s="2">
        <v>51.69</v>
      </c>
      <c r="L1364" s="1">
        <v>17</v>
      </c>
      <c r="M1364" s="2">
        <v>258.45</v>
      </c>
      <c r="N1364" s="2">
        <v>43.94</v>
      </c>
      <c r="O1364" s="2">
        <v>214.51</v>
      </c>
      <c r="P1364" s="1">
        <v>127</v>
      </c>
      <c r="Q1364" s="2">
        <v>36.18</v>
      </c>
      <c r="R1364" s="2">
        <v>33.61</v>
      </c>
      <c r="S1364" s="1" t="s">
        <v>1016</v>
      </c>
      <c r="T1364" s="1" t="s">
        <v>1007</v>
      </c>
      <c r="U1364" s="1" t="s">
        <v>1007</v>
      </c>
    </row>
    <row r="1365" spans="1:21" x14ac:dyDescent="0.3">
      <c r="A1365" s="1" t="s">
        <v>2379</v>
      </c>
      <c r="B1365" s="1" t="s">
        <v>77</v>
      </c>
      <c r="C1365" s="1" t="s">
        <v>78</v>
      </c>
      <c r="D1365" s="1" t="s">
        <v>47</v>
      </c>
      <c r="E1365" s="1" t="s">
        <v>3517</v>
      </c>
      <c r="F1365" s="1" t="s">
        <v>1027</v>
      </c>
      <c r="G1365" s="1" t="s">
        <v>1002</v>
      </c>
      <c r="H1365" s="1">
        <v>10</v>
      </c>
      <c r="I1365" s="1">
        <v>2</v>
      </c>
      <c r="J1365" s="1" t="s">
        <v>2711</v>
      </c>
      <c r="K1365" s="2">
        <v>131.27000000000001</v>
      </c>
      <c r="L1365" s="1">
        <v>7</v>
      </c>
      <c r="M1365" s="2">
        <v>1312.7</v>
      </c>
      <c r="N1365" s="2">
        <v>91.89</v>
      </c>
      <c r="O1365" s="2">
        <v>1220.81</v>
      </c>
      <c r="P1365" s="1">
        <v>199</v>
      </c>
      <c r="Q1365" s="2">
        <v>91.89</v>
      </c>
      <c r="R1365" s="2">
        <v>301.91000000000003</v>
      </c>
      <c r="S1365" s="1" t="s">
        <v>1003</v>
      </c>
      <c r="T1365" s="1" t="s">
        <v>1007</v>
      </c>
      <c r="U1365" s="1" t="s">
        <v>1004</v>
      </c>
    </row>
    <row r="1366" spans="1:21" x14ac:dyDescent="0.3">
      <c r="A1366" s="1" t="s">
        <v>2380</v>
      </c>
      <c r="B1366" s="1" t="s">
        <v>111</v>
      </c>
      <c r="C1366" s="1" t="s">
        <v>112</v>
      </c>
      <c r="D1366" s="1" t="s">
        <v>97</v>
      </c>
      <c r="E1366" s="1" t="s">
        <v>3518</v>
      </c>
      <c r="F1366" s="1" t="s">
        <v>1020</v>
      </c>
      <c r="G1366" s="1" t="s">
        <v>1023</v>
      </c>
      <c r="H1366" s="1">
        <v>5</v>
      </c>
      <c r="I1366" s="1">
        <v>1</v>
      </c>
      <c r="J1366" s="1" t="s">
        <v>2670</v>
      </c>
      <c r="K1366" s="2">
        <v>170.16</v>
      </c>
      <c r="L1366" s="1">
        <v>18</v>
      </c>
      <c r="M1366" s="2">
        <v>850.8</v>
      </c>
      <c r="N1366" s="2">
        <v>153.13999999999999</v>
      </c>
      <c r="O1366" s="2">
        <v>697.66</v>
      </c>
      <c r="P1366" s="1">
        <v>125</v>
      </c>
      <c r="Q1366" s="2">
        <v>119.11</v>
      </c>
      <c r="R1366" s="2">
        <v>102.11</v>
      </c>
      <c r="S1366" s="1" t="s">
        <v>1003</v>
      </c>
      <c r="T1366" s="1" t="s">
        <v>1007</v>
      </c>
      <c r="U1366" s="1" t="s">
        <v>1007</v>
      </c>
    </row>
    <row r="1367" spans="1:21" x14ac:dyDescent="0.3">
      <c r="A1367" s="1" t="s">
        <v>2381</v>
      </c>
      <c r="B1367" s="1" t="s">
        <v>102</v>
      </c>
      <c r="C1367" s="1" t="s">
        <v>103</v>
      </c>
      <c r="D1367" s="1" t="s">
        <v>104</v>
      </c>
      <c r="E1367" s="1" t="s">
        <v>3519</v>
      </c>
      <c r="F1367" s="1" t="s">
        <v>1013</v>
      </c>
      <c r="G1367" s="1" t="s">
        <v>1023</v>
      </c>
      <c r="H1367" s="1">
        <v>12</v>
      </c>
      <c r="I1367" s="1">
        <v>7</v>
      </c>
      <c r="J1367" s="1" t="s">
        <v>2829</v>
      </c>
      <c r="K1367" s="2">
        <v>139.47</v>
      </c>
      <c r="L1367" s="1">
        <v>12</v>
      </c>
      <c r="M1367" s="2">
        <v>1673.64</v>
      </c>
      <c r="N1367" s="2">
        <v>200.84</v>
      </c>
      <c r="O1367" s="2">
        <v>1472.8</v>
      </c>
      <c r="P1367" s="1">
        <v>273</v>
      </c>
      <c r="Q1367" s="2">
        <v>97.63</v>
      </c>
      <c r="R1367" s="2">
        <v>301.24</v>
      </c>
      <c r="S1367" s="1" t="s">
        <v>1003</v>
      </c>
      <c r="T1367" s="1" t="s">
        <v>1004</v>
      </c>
      <c r="U1367" s="1" t="s">
        <v>1007</v>
      </c>
    </row>
    <row r="1368" spans="1:21" x14ac:dyDescent="0.3">
      <c r="A1368" s="1" t="s">
        <v>2382</v>
      </c>
      <c r="B1368" s="1" t="s">
        <v>37</v>
      </c>
      <c r="C1368" s="1" t="s">
        <v>38</v>
      </c>
      <c r="D1368" s="1" t="s">
        <v>39</v>
      </c>
      <c r="E1368" s="1" t="s">
        <v>3520</v>
      </c>
      <c r="F1368" s="1" t="s">
        <v>1001</v>
      </c>
      <c r="G1368" s="1" t="s">
        <v>1010</v>
      </c>
      <c r="H1368" s="1">
        <v>15</v>
      </c>
      <c r="I1368" s="1">
        <v>3</v>
      </c>
      <c r="J1368" s="1" t="s">
        <v>2515</v>
      </c>
      <c r="K1368" s="2">
        <v>118.2</v>
      </c>
      <c r="L1368" s="1">
        <v>15</v>
      </c>
      <c r="M1368" s="2">
        <v>1773</v>
      </c>
      <c r="N1368" s="2">
        <v>265.95</v>
      </c>
      <c r="O1368" s="2">
        <v>1507.05</v>
      </c>
      <c r="P1368" s="1">
        <v>141</v>
      </c>
      <c r="Q1368" s="2">
        <v>82.74</v>
      </c>
      <c r="R1368" s="2">
        <v>265.95</v>
      </c>
      <c r="S1368" s="1" t="s">
        <v>1011</v>
      </c>
      <c r="T1368" s="1" t="s">
        <v>1004</v>
      </c>
      <c r="U1368" s="1" t="s">
        <v>1004</v>
      </c>
    </row>
    <row r="1369" spans="1:21" x14ac:dyDescent="0.3">
      <c r="A1369" s="1" t="s">
        <v>2383</v>
      </c>
      <c r="B1369" s="1" t="s">
        <v>118</v>
      </c>
      <c r="C1369" s="1" t="s">
        <v>119</v>
      </c>
      <c r="D1369" s="1" t="s">
        <v>97</v>
      </c>
      <c r="E1369" s="1" t="s">
        <v>3521</v>
      </c>
      <c r="F1369" s="1" t="s">
        <v>1013</v>
      </c>
      <c r="G1369" s="1" t="s">
        <v>1010</v>
      </c>
      <c r="H1369" s="1">
        <v>4</v>
      </c>
      <c r="I1369" s="1">
        <v>1</v>
      </c>
      <c r="J1369" s="1" t="s">
        <v>2630</v>
      </c>
      <c r="K1369" s="2">
        <v>344.62</v>
      </c>
      <c r="L1369" s="1">
        <v>21</v>
      </c>
      <c r="M1369" s="2">
        <v>1378.48</v>
      </c>
      <c r="N1369" s="2">
        <v>289.48</v>
      </c>
      <c r="O1369" s="2">
        <v>1089</v>
      </c>
      <c r="P1369" s="1">
        <v>162</v>
      </c>
      <c r="Q1369" s="2">
        <v>241.23</v>
      </c>
      <c r="R1369" s="2">
        <v>124.08</v>
      </c>
      <c r="S1369" s="1" t="s">
        <v>1016</v>
      </c>
      <c r="T1369" s="1" t="s">
        <v>1007</v>
      </c>
      <c r="U1369" s="1" t="s">
        <v>1007</v>
      </c>
    </row>
    <row r="1370" spans="1:21" x14ac:dyDescent="0.3">
      <c r="A1370" s="1" t="s">
        <v>2384</v>
      </c>
      <c r="B1370" s="1" t="s">
        <v>83</v>
      </c>
      <c r="C1370" s="1" t="s">
        <v>84</v>
      </c>
      <c r="D1370" s="1" t="s">
        <v>85</v>
      </c>
      <c r="E1370" s="1" t="s">
        <v>3522</v>
      </c>
      <c r="F1370" s="1" t="s">
        <v>1013</v>
      </c>
      <c r="G1370" s="1" t="s">
        <v>1023</v>
      </c>
      <c r="H1370" s="1">
        <v>4</v>
      </c>
      <c r="I1370" s="1">
        <v>6</v>
      </c>
      <c r="J1370" s="1" t="s">
        <v>2906</v>
      </c>
      <c r="K1370" s="2">
        <v>74.83</v>
      </c>
      <c r="L1370" s="1">
        <v>13</v>
      </c>
      <c r="M1370" s="2">
        <v>299.32</v>
      </c>
      <c r="N1370" s="2">
        <v>38.909999999999997</v>
      </c>
      <c r="O1370" s="2">
        <v>260.41000000000003</v>
      </c>
      <c r="P1370" s="1">
        <v>89</v>
      </c>
      <c r="Q1370" s="2">
        <v>52.38</v>
      </c>
      <c r="R1370" s="2">
        <v>50.89</v>
      </c>
      <c r="S1370" s="1" t="s">
        <v>1016</v>
      </c>
      <c r="T1370" s="1" t="s">
        <v>1007</v>
      </c>
      <c r="U1370" s="1" t="s">
        <v>1004</v>
      </c>
    </row>
    <row r="1371" spans="1:21" x14ac:dyDescent="0.3">
      <c r="A1371" s="1" t="s">
        <v>2385</v>
      </c>
      <c r="B1371" s="1" t="s">
        <v>95</v>
      </c>
      <c r="C1371" s="1" t="s">
        <v>96</v>
      </c>
      <c r="D1371" s="1" t="s">
        <v>97</v>
      </c>
      <c r="E1371" s="1" t="s">
        <v>3523</v>
      </c>
      <c r="F1371" s="1" t="s">
        <v>1020</v>
      </c>
      <c r="G1371" s="1" t="s">
        <v>1002</v>
      </c>
      <c r="H1371" s="1">
        <v>14</v>
      </c>
      <c r="I1371" s="1">
        <v>1</v>
      </c>
      <c r="J1371" s="1" t="s">
        <v>2620</v>
      </c>
      <c r="K1371" s="2">
        <v>341.27</v>
      </c>
      <c r="L1371" s="1">
        <v>0</v>
      </c>
      <c r="M1371" s="2">
        <v>4777.78</v>
      </c>
      <c r="N1371" s="2">
        <v>0</v>
      </c>
      <c r="O1371" s="2">
        <v>4777.78</v>
      </c>
      <c r="P1371" s="1">
        <v>189</v>
      </c>
      <c r="Q1371" s="2">
        <v>238.89</v>
      </c>
      <c r="R1371" s="2">
        <v>1433.32</v>
      </c>
      <c r="S1371" s="1" t="s">
        <v>1016</v>
      </c>
      <c r="T1371" s="1" t="s">
        <v>1007</v>
      </c>
      <c r="U1371" s="1" t="s">
        <v>1007</v>
      </c>
    </row>
    <row r="1372" spans="1:21" x14ac:dyDescent="0.3">
      <c r="A1372" s="1" t="s">
        <v>2386</v>
      </c>
      <c r="B1372" s="1" t="s">
        <v>189</v>
      </c>
      <c r="C1372" s="1" t="s">
        <v>190</v>
      </c>
      <c r="D1372" s="1" t="s">
        <v>59</v>
      </c>
      <c r="E1372" s="1" t="s">
        <v>3524</v>
      </c>
      <c r="F1372" s="1" t="s">
        <v>1006</v>
      </c>
      <c r="G1372" s="1" t="s">
        <v>1010</v>
      </c>
      <c r="H1372" s="1">
        <v>9</v>
      </c>
      <c r="I1372" s="1">
        <v>7</v>
      </c>
      <c r="J1372" s="1" t="s">
        <v>2880</v>
      </c>
      <c r="K1372" s="2">
        <v>448.84</v>
      </c>
      <c r="L1372" s="1">
        <v>14</v>
      </c>
      <c r="M1372" s="2">
        <v>4039.56</v>
      </c>
      <c r="N1372" s="2">
        <v>565.54</v>
      </c>
      <c r="O1372" s="2">
        <v>3474.02</v>
      </c>
      <c r="P1372" s="1">
        <v>102</v>
      </c>
      <c r="Q1372" s="2">
        <v>314.19</v>
      </c>
      <c r="R1372" s="2">
        <v>646.30999999999995</v>
      </c>
      <c r="S1372" s="1" t="s">
        <v>1011</v>
      </c>
      <c r="T1372" s="1" t="s">
        <v>1007</v>
      </c>
      <c r="U1372" s="1" t="s">
        <v>1007</v>
      </c>
    </row>
    <row r="1373" spans="1:21" x14ac:dyDescent="0.3">
      <c r="A1373" s="1" t="s">
        <v>2387</v>
      </c>
      <c r="B1373" s="1" t="s">
        <v>107</v>
      </c>
      <c r="C1373" s="1" t="s">
        <v>108</v>
      </c>
      <c r="D1373" s="1" t="s">
        <v>39</v>
      </c>
      <c r="E1373" s="1" t="s">
        <v>3525</v>
      </c>
      <c r="F1373" s="1" t="s">
        <v>1006</v>
      </c>
      <c r="G1373" s="1" t="s">
        <v>1010</v>
      </c>
      <c r="H1373" s="1">
        <v>13</v>
      </c>
      <c r="I1373" s="1">
        <v>3</v>
      </c>
      <c r="J1373" s="1" t="s">
        <v>2809</v>
      </c>
      <c r="K1373" s="2">
        <v>88.27</v>
      </c>
      <c r="L1373" s="1">
        <v>2</v>
      </c>
      <c r="M1373" s="2">
        <v>1147.51</v>
      </c>
      <c r="N1373" s="2">
        <v>22.95</v>
      </c>
      <c r="O1373" s="2">
        <v>1124.56</v>
      </c>
      <c r="P1373" s="1">
        <v>265</v>
      </c>
      <c r="Q1373" s="2">
        <v>61.79</v>
      </c>
      <c r="R1373" s="2">
        <v>321.29000000000002</v>
      </c>
      <c r="S1373" s="1" t="s">
        <v>1016</v>
      </c>
      <c r="T1373" s="1" t="s">
        <v>1007</v>
      </c>
      <c r="U1373" s="1" t="s">
        <v>1007</v>
      </c>
    </row>
    <row r="1374" spans="1:21" x14ac:dyDescent="0.3">
      <c r="A1374" s="1" t="s">
        <v>2388</v>
      </c>
      <c r="B1374" s="1" t="s">
        <v>63</v>
      </c>
      <c r="C1374" s="1" t="s">
        <v>64</v>
      </c>
      <c r="D1374" s="1" t="s">
        <v>28</v>
      </c>
      <c r="E1374" s="1" t="s">
        <v>3526</v>
      </c>
      <c r="F1374" s="1" t="s">
        <v>1015</v>
      </c>
      <c r="G1374" s="1" t="s">
        <v>1002</v>
      </c>
      <c r="H1374" s="1">
        <v>2</v>
      </c>
      <c r="I1374" s="1">
        <v>7</v>
      </c>
      <c r="J1374" s="1" t="s">
        <v>2785</v>
      </c>
      <c r="K1374" s="2">
        <v>141.34</v>
      </c>
      <c r="L1374" s="1">
        <v>8</v>
      </c>
      <c r="M1374" s="2">
        <v>282.68</v>
      </c>
      <c r="N1374" s="2">
        <v>22.61</v>
      </c>
      <c r="O1374" s="2">
        <v>260.07</v>
      </c>
      <c r="P1374" s="1">
        <v>295</v>
      </c>
      <c r="Q1374" s="2">
        <v>98.94</v>
      </c>
      <c r="R1374" s="2">
        <v>62.19</v>
      </c>
      <c r="S1374" s="1" t="s">
        <v>1011</v>
      </c>
      <c r="T1374" s="1" t="s">
        <v>1007</v>
      </c>
      <c r="U1374" s="1" t="s">
        <v>1004</v>
      </c>
    </row>
    <row r="1375" spans="1:21" x14ac:dyDescent="0.3">
      <c r="A1375" s="1" t="s">
        <v>2389</v>
      </c>
      <c r="B1375" s="1" t="s">
        <v>45</v>
      </c>
      <c r="C1375" s="1" t="s">
        <v>46</v>
      </c>
      <c r="D1375" s="1" t="s">
        <v>47</v>
      </c>
      <c r="E1375" s="1" t="s">
        <v>3527</v>
      </c>
      <c r="F1375" s="1" t="s">
        <v>1020</v>
      </c>
      <c r="G1375" s="1" t="s">
        <v>1010</v>
      </c>
      <c r="H1375" s="1">
        <v>1</v>
      </c>
      <c r="I1375" s="1">
        <v>6</v>
      </c>
      <c r="J1375" s="1" t="s">
        <v>2786</v>
      </c>
      <c r="K1375" s="2">
        <v>111.07</v>
      </c>
      <c r="L1375" s="1">
        <v>20</v>
      </c>
      <c r="M1375" s="2">
        <v>111.07</v>
      </c>
      <c r="N1375" s="2">
        <v>22.21</v>
      </c>
      <c r="O1375" s="2">
        <v>88.86</v>
      </c>
      <c r="P1375" s="1">
        <v>159</v>
      </c>
      <c r="Q1375" s="2">
        <v>77.75</v>
      </c>
      <c r="R1375" s="2">
        <v>11.11</v>
      </c>
      <c r="S1375" s="1" t="s">
        <v>1003</v>
      </c>
      <c r="T1375" s="1" t="s">
        <v>1007</v>
      </c>
      <c r="U1375" s="1" t="s">
        <v>1007</v>
      </c>
    </row>
    <row r="1376" spans="1:21" x14ac:dyDescent="0.3">
      <c r="A1376" s="1" t="s">
        <v>2390</v>
      </c>
      <c r="B1376" s="1" t="s">
        <v>237</v>
      </c>
      <c r="C1376" s="1" t="s">
        <v>238</v>
      </c>
      <c r="D1376" s="1" t="s">
        <v>85</v>
      </c>
      <c r="E1376" s="1" t="s">
        <v>3528</v>
      </c>
      <c r="F1376" s="1" t="s">
        <v>1027</v>
      </c>
      <c r="G1376" s="1" t="s">
        <v>1010</v>
      </c>
      <c r="H1376" s="1">
        <v>10</v>
      </c>
      <c r="I1376" s="1">
        <v>6</v>
      </c>
      <c r="J1376" s="1" t="s">
        <v>2910</v>
      </c>
      <c r="K1376" s="2">
        <v>281.16000000000003</v>
      </c>
      <c r="L1376" s="1">
        <v>22</v>
      </c>
      <c r="M1376" s="2">
        <v>2811.6</v>
      </c>
      <c r="N1376" s="2">
        <v>618.54999999999995</v>
      </c>
      <c r="O1376" s="2">
        <v>2193.0500000000002</v>
      </c>
      <c r="P1376" s="1">
        <v>157</v>
      </c>
      <c r="Q1376" s="2">
        <v>196.81</v>
      </c>
      <c r="R1376" s="2">
        <v>224.95</v>
      </c>
      <c r="S1376" s="1" t="s">
        <v>1016</v>
      </c>
      <c r="T1376" s="1" t="s">
        <v>1007</v>
      </c>
      <c r="U1376" s="1" t="s">
        <v>1007</v>
      </c>
    </row>
    <row r="1377" spans="1:21" x14ac:dyDescent="0.3">
      <c r="A1377" s="1" t="s">
        <v>2391</v>
      </c>
      <c r="B1377" s="1" t="s">
        <v>63</v>
      </c>
      <c r="C1377" s="1" t="s">
        <v>64</v>
      </c>
      <c r="D1377" s="1" t="s">
        <v>28</v>
      </c>
      <c r="E1377" s="1" t="s">
        <v>3529</v>
      </c>
      <c r="F1377" s="1" t="s">
        <v>1001</v>
      </c>
      <c r="G1377" s="1" t="s">
        <v>1023</v>
      </c>
      <c r="H1377" s="1">
        <v>12</v>
      </c>
      <c r="I1377" s="1">
        <v>1</v>
      </c>
      <c r="J1377" s="1" t="s">
        <v>2582</v>
      </c>
      <c r="K1377" s="2">
        <v>217.31</v>
      </c>
      <c r="L1377" s="1">
        <v>21</v>
      </c>
      <c r="M1377" s="2">
        <v>2607.7199999999998</v>
      </c>
      <c r="N1377" s="2">
        <v>547.62</v>
      </c>
      <c r="O1377" s="2">
        <v>2060.1</v>
      </c>
      <c r="P1377" s="1">
        <v>93</v>
      </c>
      <c r="Q1377" s="2">
        <v>152.12</v>
      </c>
      <c r="R1377" s="2">
        <v>234.66</v>
      </c>
      <c r="S1377" s="1" t="s">
        <v>1016</v>
      </c>
      <c r="T1377" s="1" t="s">
        <v>1007</v>
      </c>
      <c r="U1377" s="1" t="s">
        <v>1007</v>
      </c>
    </row>
    <row r="1378" spans="1:21" x14ac:dyDescent="0.3">
      <c r="A1378" s="1" t="s">
        <v>2392</v>
      </c>
      <c r="B1378" s="1" t="s">
        <v>26</v>
      </c>
      <c r="C1378" s="1" t="s">
        <v>27</v>
      </c>
      <c r="D1378" s="1" t="s">
        <v>28</v>
      </c>
      <c r="E1378" s="1" t="s">
        <v>3530</v>
      </c>
      <c r="F1378" s="1" t="s">
        <v>1006</v>
      </c>
      <c r="G1378" s="1" t="s">
        <v>1023</v>
      </c>
      <c r="H1378" s="1">
        <v>3</v>
      </c>
      <c r="I1378" s="1">
        <v>4</v>
      </c>
      <c r="J1378" s="1" t="s">
        <v>2538</v>
      </c>
      <c r="K1378" s="2">
        <v>53.6</v>
      </c>
      <c r="L1378" s="1">
        <v>0</v>
      </c>
      <c r="M1378" s="2">
        <v>160.80000000000001</v>
      </c>
      <c r="N1378" s="2">
        <v>0</v>
      </c>
      <c r="O1378" s="2">
        <v>160.80000000000001</v>
      </c>
      <c r="P1378" s="1">
        <v>178</v>
      </c>
      <c r="Q1378" s="2">
        <v>37.520000000000003</v>
      </c>
      <c r="R1378" s="2">
        <v>48.24</v>
      </c>
      <c r="S1378" s="1" t="s">
        <v>1003</v>
      </c>
      <c r="T1378" s="1" t="s">
        <v>1007</v>
      </c>
      <c r="U1378" s="1" t="s">
        <v>1004</v>
      </c>
    </row>
    <row r="1379" spans="1:21" x14ac:dyDescent="0.3">
      <c r="A1379" s="1" t="s">
        <v>2393</v>
      </c>
      <c r="B1379" s="1" t="s">
        <v>72</v>
      </c>
      <c r="C1379" s="1" t="s">
        <v>73</v>
      </c>
      <c r="D1379" s="1" t="s">
        <v>47</v>
      </c>
      <c r="E1379" s="1" t="s">
        <v>3531</v>
      </c>
      <c r="F1379" s="1" t="s">
        <v>1015</v>
      </c>
      <c r="G1379" s="1" t="s">
        <v>1002</v>
      </c>
      <c r="H1379" s="1">
        <v>2</v>
      </c>
      <c r="I1379" s="1">
        <v>1</v>
      </c>
      <c r="J1379" s="1" t="s">
        <v>2696</v>
      </c>
      <c r="K1379" s="2">
        <v>279.39</v>
      </c>
      <c r="L1379" s="1">
        <v>25</v>
      </c>
      <c r="M1379" s="2">
        <v>558.78</v>
      </c>
      <c r="N1379" s="2">
        <v>139.69</v>
      </c>
      <c r="O1379" s="2">
        <v>419.09</v>
      </c>
      <c r="P1379" s="1">
        <v>107</v>
      </c>
      <c r="Q1379" s="2">
        <v>195.57</v>
      </c>
      <c r="R1379" s="2">
        <v>27.95</v>
      </c>
      <c r="S1379" s="1" t="s">
        <v>1003</v>
      </c>
      <c r="T1379" s="1" t="s">
        <v>1004</v>
      </c>
      <c r="U1379" s="1" t="s">
        <v>1004</v>
      </c>
    </row>
    <row r="1380" spans="1:21" x14ac:dyDescent="0.3">
      <c r="A1380" s="1" t="s">
        <v>2394</v>
      </c>
      <c r="B1380" s="1" t="s">
        <v>166</v>
      </c>
      <c r="C1380" s="1" t="s">
        <v>167</v>
      </c>
      <c r="D1380" s="1" t="s">
        <v>59</v>
      </c>
      <c r="E1380" s="1" t="s">
        <v>3532</v>
      </c>
      <c r="F1380" s="1" t="s">
        <v>1027</v>
      </c>
      <c r="G1380" s="1" t="s">
        <v>1010</v>
      </c>
      <c r="H1380" s="1">
        <v>7</v>
      </c>
      <c r="I1380" s="1">
        <v>5</v>
      </c>
      <c r="J1380" s="1" t="s">
        <v>2917</v>
      </c>
      <c r="K1380" s="2">
        <v>300.88</v>
      </c>
      <c r="L1380" s="1">
        <v>14</v>
      </c>
      <c r="M1380" s="2">
        <v>2106.16</v>
      </c>
      <c r="N1380" s="2">
        <v>294.86</v>
      </c>
      <c r="O1380" s="2">
        <v>1811.3</v>
      </c>
      <c r="P1380" s="1">
        <v>247</v>
      </c>
      <c r="Q1380" s="2">
        <v>210.62</v>
      </c>
      <c r="R1380" s="2">
        <v>336.96</v>
      </c>
      <c r="S1380" s="1" t="s">
        <v>1011</v>
      </c>
      <c r="T1380" s="1" t="s">
        <v>1004</v>
      </c>
      <c r="U1380" s="1" t="s">
        <v>1004</v>
      </c>
    </row>
    <row r="1381" spans="1:21" x14ac:dyDescent="0.3">
      <c r="A1381" s="1" t="s">
        <v>2395</v>
      </c>
      <c r="B1381" s="1" t="s">
        <v>189</v>
      </c>
      <c r="C1381" s="1" t="s">
        <v>190</v>
      </c>
      <c r="D1381" s="1" t="s">
        <v>59</v>
      </c>
      <c r="E1381" s="1" t="s">
        <v>3533</v>
      </c>
      <c r="F1381" s="1" t="s">
        <v>1006</v>
      </c>
      <c r="G1381" s="1" t="s">
        <v>1010</v>
      </c>
      <c r="H1381" s="1">
        <v>3</v>
      </c>
      <c r="I1381" s="1">
        <v>2</v>
      </c>
      <c r="J1381" s="1" t="s">
        <v>2609</v>
      </c>
      <c r="K1381" s="2">
        <v>452.52</v>
      </c>
      <c r="L1381" s="1">
        <v>19</v>
      </c>
      <c r="M1381" s="2">
        <v>1357.56</v>
      </c>
      <c r="N1381" s="2">
        <v>257.94</v>
      </c>
      <c r="O1381" s="2">
        <v>1099.6199999999999</v>
      </c>
      <c r="P1381" s="1">
        <v>162</v>
      </c>
      <c r="Q1381" s="2">
        <v>316.76</v>
      </c>
      <c r="R1381" s="2">
        <v>149.34</v>
      </c>
      <c r="S1381" s="1" t="s">
        <v>1011</v>
      </c>
      <c r="T1381" s="1" t="s">
        <v>1004</v>
      </c>
      <c r="U1381" s="1" t="s">
        <v>1007</v>
      </c>
    </row>
    <row r="1382" spans="1:21" x14ac:dyDescent="0.3">
      <c r="A1382" s="1" t="s">
        <v>2396</v>
      </c>
      <c r="B1382" s="1" t="s">
        <v>95</v>
      </c>
      <c r="C1382" s="1" t="s">
        <v>96</v>
      </c>
      <c r="D1382" s="1" t="s">
        <v>97</v>
      </c>
      <c r="E1382" s="1" t="s">
        <v>3534</v>
      </c>
      <c r="F1382" s="1" t="s">
        <v>1001</v>
      </c>
      <c r="G1382" s="1" t="s">
        <v>1002</v>
      </c>
      <c r="H1382" s="1">
        <v>3</v>
      </c>
      <c r="I1382" s="1">
        <v>1</v>
      </c>
      <c r="J1382" s="1" t="s">
        <v>2741</v>
      </c>
      <c r="K1382" s="2">
        <v>384.59</v>
      </c>
      <c r="L1382" s="1">
        <v>20</v>
      </c>
      <c r="M1382" s="2">
        <v>1153.77</v>
      </c>
      <c r="N1382" s="2">
        <v>230.75</v>
      </c>
      <c r="O1382" s="2">
        <v>923.02</v>
      </c>
      <c r="P1382" s="1">
        <v>120</v>
      </c>
      <c r="Q1382" s="2">
        <v>269.20999999999998</v>
      </c>
      <c r="R1382" s="2">
        <v>115.39</v>
      </c>
      <c r="S1382" s="1" t="s">
        <v>1016</v>
      </c>
      <c r="T1382" s="1" t="s">
        <v>1007</v>
      </c>
      <c r="U1382" s="1" t="s">
        <v>1004</v>
      </c>
    </row>
    <row r="1383" spans="1:21" x14ac:dyDescent="0.3">
      <c r="A1383" s="1" t="s">
        <v>2397</v>
      </c>
      <c r="B1383" s="1" t="s">
        <v>166</v>
      </c>
      <c r="C1383" s="1" t="s">
        <v>167</v>
      </c>
      <c r="D1383" s="1" t="s">
        <v>59</v>
      </c>
      <c r="E1383" s="1" t="s">
        <v>3535</v>
      </c>
      <c r="F1383" s="1" t="s">
        <v>1001</v>
      </c>
      <c r="G1383" s="1" t="s">
        <v>1010</v>
      </c>
      <c r="H1383" s="1">
        <v>11</v>
      </c>
      <c r="I1383" s="1">
        <v>4</v>
      </c>
      <c r="J1383" s="1" t="s">
        <v>2862</v>
      </c>
      <c r="K1383" s="2">
        <v>150.91</v>
      </c>
      <c r="L1383" s="1">
        <v>3</v>
      </c>
      <c r="M1383" s="2">
        <v>1660.01</v>
      </c>
      <c r="N1383" s="2">
        <v>49.8</v>
      </c>
      <c r="O1383" s="2">
        <v>1610.21</v>
      </c>
      <c r="P1383" s="1">
        <v>77</v>
      </c>
      <c r="Q1383" s="2">
        <v>105.64</v>
      </c>
      <c r="R1383" s="2">
        <v>448.17</v>
      </c>
      <c r="S1383" s="1" t="s">
        <v>1016</v>
      </c>
      <c r="T1383" s="1" t="s">
        <v>1007</v>
      </c>
      <c r="U1383" s="1" t="s">
        <v>1004</v>
      </c>
    </row>
    <row r="1384" spans="1:21" x14ac:dyDescent="0.3">
      <c r="A1384" s="1" t="s">
        <v>2398</v>
      </c>
      <c r="B1384" s="1" t="s">
        <v>189</v>
      </c>
      <c r="C1384" s="1" t="s">
        <v>190</v>
      </c>
      <c r="D1384" s="1" t="s">
        <v>59</v>
      </c>
      <c r="E1384" s="1" t="s">
        <v>3536</v>
      </c>
      <c r="F1384" s="1" t="s">
        <v>1015</v>
      </c>
      <c r="G1384" s="1" t="s">
        <v>1023</v>
      </c>
      <c r="H1384" s="1">
        <v>5</v>
      </c>
      <c r="I1384" s="1">
        <v>5</v>
      </c>
      <c r="J1384" s="1" t="s">
        <v>2962</v>
      </c>
      <c r="K1384" s="2">
        <v>67.959999999999994</v>
      </c>
      <c r="L1384" s="1">
        <v>10</v>
      </c>
      <c r="M1384" s="2">
        <v>339.8</v>
      </c>
      <c r="N1384" s="2">
        <v>33.979999999999997</v>
      </c>
      <c r="O1384" s="2">
        <v>305.82</v>
      </c>
      <c r="P1384" s="1">
        <v>96</v>
      </c>
      <c r="Q1384" s="2">
        <v>47.57</v>
      </c>
      <c r="R1384" s="2">
        <v>67.97</v>
      </c>
      <c r="S1384" s="1" t="s">
        <v>1003</v>
      </c>
      <c r="T1384" s="1" t="s">
        <v>1007</v>
      </c>
      <c r="U1384" s="1" t="s">
        <v>1004</v>
      </c>
    </row>
    <row r="1385" spans="1:21" x14ac:dyDescent="0.3">
      <c r="A1385" s="1" t="s">
        <v>2399</v>
      </c>
      <c r="B1385" s="1" t="s">
        <v>26</v>
      </c>
      <c r="C1385" s="1" t="s">
        <v>27</v>
      </c>
      <c r="D1385" s="1" t="s">
        <v>28</v>
      </c>
      <c r="E1385" s="1" t="s">
        <v>3537</v>
      </c>
      <c r="F1385" s="1" t="s">
        <v>1013</v>
      </c>
      <c r="G1385" s="1" t="s">
        <v>1002</v>
      </c>
      <c r="H1385" s="1">
        <v>11</v>
      </c>
      <c r="I1385" s="1">
        <v>1</v>
      </c>
      <c r="J1385" s="1" t="s">
        <v>2883</v>
      </c>
      <c r="K1385" s="2">
        <v>317.60000000000002</v>
      </c>
      <c r="L1385" s="1">
        <v>18</v>
      </c>
      <c r="M1385" s="2">
        <v>3493.6</v>
      </c>
      <c r="N1385" s="2">
        <v>628.85</v>
      </c>
      <c r="O1385" s="2">
        <v>2864.75</v>
      </c>
      <c r="P1385" s="1">
        <v>134</v>
      </c>
      <c r="Q1385" s="2">
        <v>222.32</v>
      </c>
      <c r="R1385" s="2">
        <v>419.23</v>
      </c>
      <c r="S1385" s="1" t="s">
        <v>1016</v>
      </c>
      <c r="T1385" s="1" t="s">
        <v>1004</v>
      </c>
      <c r="U1385" s="1" t="s">
        <v>1004</v>
      </c>
    </row>
    <row r="1386" spans="1:21" x14ac:dyDescent="0.3">
      <c r="A1386" s="1" t="s">
        <v>2400</v>
      </c>
      <c r="B1386" s="1" t="s">
        <v>176</v>
      </c>
      <c r="C1386" s="1" t="s">
        <v>177</v>
      </c>
      <c r="D1386" s="1" t="s">
        <v>39</v>
      </c>
      <c r="E1386" s="1" t="s">
        <v>3538</v>
      </c>
      <c r="F1386" s="1" t="s">
        <v>1027</v>
      </c>
      <c r="G1386" s="1" t="s">
        <v>1002</v>
      </c>
      <c r="H1386" s="1">
        <v>9</v>
      </c>
      <c r="I1386" s="1">
        <v>7</v>
      </c>
      <c r="J1386" s="1" t="s">
        <v>2694</v>
      </c>
      <c r="K1386" s="2">
        <v>437.23</v>
      </c>
      <c r="L1386" s="1">
        <v>5</v>
      </c>
      <c r="M1386" s="2">
        <v>3935.07</v>
      </c>
      <c r="N1386" s="2">
        <v>196.75</v>
      </c>
      <c r="O1386" s="2">
        <v>3738.32</v>
      </c>
      <c r="P1386" s="1">
        <v>66</v>
      </c>
      <c r="Q1386" s="2">
        <v>306.06</v>
      </c>
      <c r="R1386" s="2">
        <v>983.78</v>
      </c>
      <c r="S1386" s="1" t="s">
        <v>1016</v>
      </c>
      <c r="T1386" s="1" t="s">
        <v>1004</v>
      </c>
      <c r="U1386" s="1" t="s">
        <v>1004</v>
      </c>
    </row>
    <row r="1387" spans="1:21" x14ac:dyDescent="0.3">
      <c r="A1387" s="1" t="s">
        <v>2401</v>
      </c>
      <c r="B1387" s="1" t="s">
        <v>111</v>
      </c>
      <c r="C1387" s="1" t="s">
        <v>112</v>
      </c>
      <c r="D1387" s="1" t="s">
        <v>97</v>
      </c>
      <c r="E1387" s="1" t="s">
        <v>3539</v>
      </c>
      <c r="F1387" s="1" t="s">
        <v>1027</v>
      </c>
      <c r="G1387" s="1" t="s">
        <v>1023</v>
      </c>
      <c r="H1387" s="1">
        <v>5</v>
      </c>
      <c r="I1387" s="1">
        <v>6</v>
      </c>
      <c r="J1387" s="1" t="s">
        <v>2548</v>
      </c>
      <c r="K1387" s="2">
        <v>486.66</v>
      </c>
      <c r="L1387" s="1">
        <v>5</v>
      </c>
      <c r="M1387" s="2">
        <v>2433.3000000000002</v>
      </c>
      <c r="N1387" s="2">
        <v>121.67</v>
      </c>
      <c r="O1387" s="2">
        <v>2311.63</v>
      </c>
      <c r="P1387" s="1">
        <v>157</v>
      </c>
      <c r="Q1387" s="2">
        <v>340.66</v>
      </c>
      <c r="R1387" s="2">
        <v>608.33000000000004</v>
      </c>
      <c r="S1387" s="1" t="s">
        <v>1011</v>
      </c>
      <c r="T1387" s="1" t="s">
        <v>1004</v>
      </c>
      <c r="U1387" s="1" t="s">
        <v>1007</v>
      </c>
    </row>
    <row r="1388" spans="1:21" x14ac:dyDescent="0.3">
      <c r="A1388" s="1" t="s">
        <v>2402</v>
      </c>
      <c r="B1388" s="1" t="s">
        <v>123</v>
      </c>
      <c r="C1388" s="1" t="s">
        <v>124</v>
      </c>
      <c r="D1388" s="1" t="s">
        <v>47</v>
      </c>
      <c r="E1388" s="1" t="s">
        <v>3540</v>
      </c>
      <c r="F1388" s="1" t="s">
        <v>1006</v>
      </c>
      <c r="G1388" s="1" t="s">
        <v>1002</v>
      </c>
      <c r="H1388" s="1">
        <v>7</v>
      </c>
      <c r="I1388" s="1">
        <v>7</v>
      </c>
      <c r="J1388" s="1" t="s">
        <v>2728</v>
      </c>
      <c r="K1388" s="2">
        <v>145.11000000000001</v>
      </c>
      <c r="L1388" s="1">
        <v>4</v>
      </c>
      <c r="M1388" s="2">
        <v>1015.77</v>
      </c>
      <c r="N1388" s="2">
        <v>40.630000000000003</v>
      </c>
      <c r="O1388" s="2">
        <v>975.14</v>
      </c>
      <c r="P1388" s="1">
        <v>180</v>
      </c>
      <c r="Q1388" s="2">
        <v>101.58</v>
      </c>
      <c r="R1388" s="2">
        <v>264.08</v>
      </c>
      <c r="S1388" s="1" t="s">
        <v>1011</v>
      </c>
      <c r="T1388" s="1" t="s">
        <v>1007</v>
      </c>
      <c r="U1388" s="1" t="s">
        <v>1007</v>
      </c>
    </row>
    <row r="1389" spans="1:21" x14ac:dyDescent="0.3">
      <c r="A1389" s="1" t="s">
        <v>2403</v>
      </c>
      <c r="B1389" s="1" t="s">
        <v>77</v>
      </c>
      <c r="C1389" s="1" t="s">
        <v>78</v>
      </c>
      <c r="D1389" s="1" t="s">
        <v>47</v>
      </c>
      <c r="E1389" s="1" t="s">
        <v>3541</v>
      </c>
      <c r="F1389" s="1" t="s">
        <v>1027</v>
      </c>
      <c r="G1389" s="1" t="s">
        <v>1010</v>
      </c>
      <c r="H1389" s="1">
        <v>2</v>
      </c>
      <c r="I1389" s="1">
        <v>7</v>
      </c>
      <c r="J1389" s="1" t="s">
        <v>2569</v>
      </c>
      <c r="K1389" s="2">
        <v>470.74</v>
      </c>
      <c r="L1389" s="1">
        <v>18</v>
      </c>
      <c r="M1389" s="2">
        <v>941.48</v>
      </c>
      <c r="N1389" s="2">
        <v>169.47</v>
      </c>
      <c r="O1389" s="2">
        <v>772.01</v>
      </c>
      <c r="P1389" s="1">
        <v>75</v>
      </c>
      <c r="Q1389" s="2">
        <v>329.52</v>
      </c>
      <c r="R1389" s="2">
        <v>112.97</v>
      </c>
      <c r="S1389" s="1" t="s">
        <v>1016</v>
      </c>
      <c r="T1389" s="1" t="s">
        <v>1007</v>
      </c>
      <c r="U1389" s="1" t="s">
        <v>1007</v>
      </c>
    </row>
    <row r="1390" spans="1:21" x14ac:dyDescent="0.3">
      <c r="A1390" s="1" t="s">
        <v>2404</v>
      </c>
      <c r="B1390" s="1" t="s">
        <v>69</v>
      </c>
      <c r="C1390" s="1" t="s">
        <v>70</v>
      </c>
      <c r="D1390" s="1" t="s">
        <v>59</v>
      </c>
      <c r="E1390" s="1" t="s">
        <v>3542</v>
      </c>
      <c r="F1390" s="1" t="s">
        <v>1006</v>
      </c>
      <c r="G1390" s="1" t="s">
        <v>1002</v>
      </c>
      <c r="H1390" s="1">
        <v>2</v>
      </c>
      <c r="I1390" s="1">
        <v>1</v>
      </c>
      <c r="J1390" s="1" t="s">
        <v>2772</v>
      </c>
      <c r="K1390" s="2">
        <v>61.92</v>
      </c>
      <c r="L1390" s="1">
        <v>18</v>
      </c>
      <c r="M1390" s="2">
        <v>123.84</v>
      </c>
      <c r="N1390" s="2">
        <v>22.29</v>
      </c>
      <c r="O1390" s="2">
        <v>101.55</v>
      </c>
      <c r="P1390" s="1">
        <v>281</v>
      </c>
      <c r="Q1390" s="2">
        <v>43.34</v>
      </c>
      <c r="R1390" s="2">
        <v>14.87</v>
      </c>
      <c r="S1390" s="1" t="s">
        <v>1003</v>
      </c>
      <c r="T1390" s="1" t="s">
        <v>1004</v>
      </c>
      <c r="U1390" s="1" t="s">
        <v>1004</v>
      </c>
    </row>
    <row r="1391" spans="1:21" x14ac:dyDescent="0.3">
      <c r="A1391" s="1" t="s">
        <v>2405</v>
      </c>
      <c r="B1391" s="1" t="s">
        <v>63</v>
      </c>
      <c r="C1391" s="1" t="s">
        <v>64</v>
      </c>
      <c r="D1391" s="1" t="s">
        <v>28</v>
      </c>
      <c r="E1391" s="1" t="s">
        <v>3543</v>
      </c>
      <c r="F1391" s="1" t="s">
        <v>1001</v>
      </c>
      <c r="G1391" s="1" t="s">
        <v>1010</v>
      </c>
      <c r="H1391" s="1">
        <v>8</v>
      </c>
      <c r="I1391" s="1">
        <v>1</v>
      </c>
      <c r="J1391" s="1" t="s">
        <v>2600</v>
      </c>
      <c r="K1391" s="2">
        <v>90.68</v>
      </c>
      <c r="L1391" s="1">
        <v>16</v>
      </c>
      <c r="M1391" s="2">
        <v>725.44</v>
      </c>
      <c r="N1391" s="2">
        <v>116.07</v>
      </c>
      <c r="O1391" s="2">
        <v>609.37</v>
      </c>
      <c r="P1391" s="1">
        <v>238</v>
      </c>
      <c r="Q1391" s="2">
        <v>63.48</v>
      </c>
      <c r="R1391" s="2">
        <v>101.53</v>
      </c>
      <c r="S1391" s="1" t="s">
        <v>1003</v>
      </c>
      <c r="T1391" s="1" t="s">
        <v>1004</v>
      </c>
      <c r="U1391" s="1" t="s">
        <v>1004</v>
      </c>
    </row>
    <row r="1392" spans="1:21" x14ac:dyDescent="0.3">
      <c r="A1392" s="1" t="s">
        <v>2406</v>
      </c>
      <c r="B1392" s="1" t="s">
        <v>45</v>
      </c>
      <c r="C1392" s="1" t="s">
        <v>46</v>
      </c>
      <c r="D1392" s="1" t="s">
        <v>47</v>
      </c>
      <c r="E1392" s="1" t="s">
        <v>3544</v>
      </c>
      <c r="F1392" s="1" t="s">
        <v>1013</v>
      </c>
      <c r="G1392" s="1" t="s">
        <v>1002</v>
      </c>
      <c r="H1392" s="1">
        <v>3</v>
      </c>
      <c r="I1392" s="1">
        <v>4</v>
      </c>
      <c r="J1392" s="1" t="s">
        <v>2802</v>
      </c>
      <c r="K1392" s="2">
        <v>325.83999999999997</v>
      </c>
      <c r="L1392" s="1">
        <v>17</v>
      </c>
      <c r="M1392" s="2">
        <v>977.52</v>
      </c>
      <c r="N1392" s="2">
        <v>166.18</v>
      </c>
      <c r="O1392" s="2">
        <v>811.34</v>
      </c>
      <c r="P1392" s="1">
        <v>79</v>
      </c>
      <c r="Q1392" s="2">
        <v>228.09</v>
      </c>
      <c r="R1392" s="2">
        <v>127.07</v>
      </c>
      <c r="S1392" s="1" t="s">
        <v>1011</v>
      </c>
      <c r="T1392" s="1" t="s">
        <v>1007</v>
      </c>
      <c r="U1392" s="1" t="s">
        <v>1004</v>
      </c>
    </row>
    <row r="1393" spans="1:21" x14ac:dyDescent="0.3">
      <c r="A1393" s="1" t="s">
        <v>2407</v>
      </c>
      <c r="B1393" s="1" t="s">
        <v>189</v>
      </c>
      <c r="C1393" s="1" t="s">
        <v>190</v>
      </c>
      <c r="D1393" s="1" t="s">
        <v>59</v>
      </c>
      <c r="E1393" s="1" t="s">
        <v>3545</v>
      </c>
      <c r="F1393" s="1" t="s">
        <v>1001</v>
      </c>
      <c r="G1393" s="1" t="s">
        <v>1010</v>
      </c>
      <c r="H1393" s="1">
        <v>5</v>
      </c>
      <c r="I1393" s="1">
        <v>2</v>
      </c>
      <c r="J1393" s="1" t="s">
        <v>2737</v>
      </c>
      <c r="K1393" s="2">
        <v>167.49</v>
      </c>
      <c r="L1393" s="1">
        <v>25</v>
      </c>
      <c r="M1393" s="2">
        <v>837.45</v>
      </c>
      <c r="N1393" s="2">
        <v>209.36</v>
      </c>
      <c r="O1393" s="2">
        <v>628.09</v>
      </c>
      <c r="P1393" s="1">
        <v>224</v>
      </c>
      <c r="Q1393" s="2">
        <v>117.24</v>
      </c>
      <c r="R1393" s="2">
        <v>41.89</v>
      </c>
      <c r="S1393" s="1" t="s">
        <v>1011</v>
      </c>
      <c r="T1393" s="1" t="s">
        <v>1007</v>
      </c>
      <c r="U1393" s="1" t="s">
        <v>1004</v>
      </c>
    </row>
    <row r="1394" spans="1:21" x14ac:dyDescent="0.3">
      <c r="A1394" s="1" t="s">
        <v>2408</v>
      </c>
      <c r="B1394" s="1" t="s">
        <v>45</v>
      </c>
      <c r="C1394" s="1" t="s">
        <v>46</v>
      </c>
      <c r="D1394" s="1" t="s">
        <v>47</v>
      </c>
      <c r="E1394" s="1" t="s">
        <v>3546</v>
      </c>
      <c r="F1394" s="1" t="s">
        <v>1027</v>
      </c>
      <c r="G1394" s="1" t="s">
        <v>1010</v>
      </c>
      <c r="H1394" s="1">
        <v>4</v>
      </c>
      <c r="I1394" s="1">
        <v>6</v>
      </c>
      <c r="J1394" s="1" t="s">
        <v>3126</v>
      </c>
      <c r="K1394" s="2">
        <v>389.37</v>
      </c>
      <c r="L1394" s="1">
        <v>12</v>
      </c>
      <c r="M1394" s="2">
        <v>1557.48</v>
      </c>
      <c r="N1394" s="2">
        <v>186.9</v>
      </c>
      <c r="O1394" s="2">
        <v>1370.58</v>
      </c>
      <c r="P1394" s="1">
        <v>61</v>
      </c>
      <c r="Q1394" s="2">
        <v>272.56</v>
      </c>
      <c r="R1394" s="2">
        <v>280.33999999999997</v>
      </c>
      <c r="S1394" s="1" t="s">
        <v>1011</v>
      </c>
      <c r="T1394" s="1" t="s">
        <v>1004</v>
      </c>
      <c r="U1394" s="1" t="s">
        <v>1004</v>
      </c>
    </row>
    <row r="1395" spans="1:21" x14ac:dyDescent="0.3">
      <c r="A1395" s="1" t="s">
        <v>2409</v>
      </c>
      <c r="B1395" s="1" t="s">
        <v>192</v>
      </c>
      <c r="C1395" s="1" t="s">
        <v>193</v>
      </c>
      <c r="D1395" s="1" t="s">
        <v>85</v>
      </c>
      <c r="E1395" s="1" t="s">
        <v>3547</v>
      </c>
      <c r="F1395" s="1" t="s">
        <v>1015</v>
      </c>
      <c r="G1395" s="1" t="s">
        <v>1010</v>
      </c>
      <c r="H1395" s="1">
        <v>5</v>
      </c>
      <c r="I1395" s="1">
        <v>5</v>
      </c>
      <c r="J1395" s="1" t="s">
        <v>2678</v>
      </c>
      <c r="K1395" s="2">
        <v>53.19</v>
      </c>
      <c r="L1395" s="1">
        <v>19</v>
      </c>
      <c r="M1395" s="2">
        <v>265.95</v>
      </c>
      <c r="N1395" s="2">
        <v>50.53</v>
      </c>
      <c r="O1395" s="2">
        <v>215.42</v>
      </c>
      <c r="P1395" s="1">
        <v>218</v>
      </c>
      <c r="Q1395" s="2">
        <v>37.229999999999997</v>
      </c>
      <c r="R1395" s="2">
        <v>29.27</v>
      </c>
      <c r="S1395" s="1" t="s">
        <v>1016</v>
      </c>
      <c r="T1395" s="1" t="s">
        <v>1007</v>
      </c>
      <c r="U1395" s="1" t="s">
        <v>1007</v>
      </c>
    </row>
    <row r="1396" spans="1:21" x14ac:dyDescent="0.3">
      <c r="A1396" s="1" t="s">
        <v>2410</v>
      </c>
      <c r="B1396" s="1" t="s">
        <v>107</v>
      </c>
      <c r="C1396" s="1" t="s">
        <v>108</v>
      </c>
      <c r="D1396" s="1" t="s">
        <v>39</v>
      </c>
      <c r="E1396" s="1" t="s">
        <v>3548</v>
      </c>
      <c r="F1396" s="1" t="s">
        <v>1001</v>
      </c>
      <c r="G1396" s="1" t="s">
        <v>1002</v>
      </c>
      <c r="H1396" s="1">
        <v>1</v>
      </c>
      <c r="I1396" s="1">
        <v>1</v>
      </c>
      <c r="J1396" s="1" t="s">
        <v>2656</v>
      </c>
      <c r="K1396" s="2">
        <v>482.37</v>
      </c>
      <c r="L1396" s="1">
        <v>3</v>
      </c>
      <c r="M1396" s="2">
        <v>482.37</v>
      </c>
      <c r="N1396" s="2">
        <v>14.47</v>
      </c>
      <c r="O1396" s="2">
        <v>467.9</v>
      </c>
      <c r="P1396" s="1">
        <v>82</v>
      </c>
      <c r="Q1396" s="2">
        <v>337.66</v>
      </c>
      <c r="R1396" s="2">
        <v>130.24</v>
      </c>
      <c r="S1396" s="1" t="s">
        <v>1011</v>
      </c>
      <c r="T1396" s="1" t="s">
        <v>1007</v>
      </c>
      <c r="U1396" s="1" t="s">
        <v>1004</v>
      </c>
    </row>
    <row r="1397" spans="1:21" x14ac:dyDescent="0.3">
      <c r="A1397" s="1" t="s">
        <v>2411</v>
      </c>
      <c r="B1397" s="1" t="s">
        <v>63</v>
      </c>
      <c r="C1397" s="1" t="s">
        <v>64</v>
      </c>
      <c r="D1397" s="1" t="s">
        <v>28</v>
      </c>
      <c r="E1397" s="1" t="s">
        <v>3549</v>
      </c>
      <c r="F1397" s="1" t="s">
        <v>1013</v>
      </c>
      <c r="G1397" s="1" t="s">
        <v>1002</v>
      </c>
      <c r="H1397" s="1">
        <v>5</v>
      </c>
      <c r="I1397" s="1">
        <v>4</v>
      </c>
      <c r="J1397" s="1" t="s">
        <v>2888</v>
      </c>
      <c r="K1397" s="2">
        <v>251.35</v>
      </c>
      <c r="L1397" s="1">
        <v>6</v>
      </c>
      <c r="M1397" s="2">
        <v>1256.75</v>
      </c>
      <c r="N1397" s="2">
        <v>75.41</v>
      </c>
      <c r="O1397" s="2">
        <v>1181.3399999999999</v>
      </c>
      <c r="P1397" s="1">
        <v>126</v>
      </c>
      <c r="Q1397" s="2">
        <v>175.94</v>
      </c>
      <c r="R1397" s="2">
        <v>301.64</v>
      </c>
      <c r="S1397" s="1" t="s">
        <v>1003</v>
      </c>
      <c r="T1397" s="1" t="s">
        <v>1007</v>
      </c>
      <c r="U1397" s="1" t="s">
        <v>1007</v>
      </c>
    </row>
    <row r="1398" spans="1:21" x14ac:dyDescent="0.3">
      <c r="A1398" s="1" t="s">
        <v>2412</v>
      </c>
      <c r="B1398" s="1" t="s">
        <v>123</v>
      </c>
      <c r="C1398" s="1" t="s">
        <v>124</v>
      </c>
      <c r="D1398" s="1" t="s">
        <v>47</v>
      </c>
      <c r="E1398" s="1" t="s">
        <v>3550</v>
      </c>
      <c r="F1398" s="1" t="s">
        <v>1001</v>
      </c>
      <c r="G1398" s="1" t="s">
        <v>1010</v>
      </c>
      <c r="H1398" s="1">
        <v>12</v>
      </c>
      <c r="I1398" s="1">
        <v>3</v>
      </c>
      <c r="J1398" s="1" t="s">
        <v>2694</v>
      </c>
      <c r="K1398" s="2">
        <v>124.09</v>
      </c>
      <c r="L1398" s="1">
        <v>0</v>
      </c>
      <c r="M1398" s="2">
        <v>1489.08</v>
      </c>
      <c r="N1398" s="2">
        <v>0</v>
      </c>
      <c r="O1398" s="2">
        <v>1489.08</v>
      </c>
      <c r="P1398" s="1">
        <v>191</v>
      </c>
      <c r="Q1398" s="2">
        <v>86.86</v>
      </c>
      <c r="R1398" s="2">
        <v>446.76</v>
      </c>
      <c r="S1398" s="1" t="s">
        <v>1011</v>
      </c>
      <c r="T1398" s="1" t="s">
        <v>1004</v>
      </c>
      <c r="U1398" s="1" t="s">
        <v>1007</v>
      </c>
    </row>
    <row r="1399" spans="1:21" x14ac:dyDescent="0.3">
      <c r="A1399" s="1" t="s">
        <v>2413</v>
      </c>
      <c r="B1399" s="1" t="s">
        <v>26</v>
      </c>
      <c r="C1399" s="1" t="s">
        <v>27</v>
      </c>
      <c r="D1399" s="1" t="s">
        <v>28</v>
      </c>
      <c r="E1399" s="1" t="s">
        <v>3551</v>
      </c>
      <c r="F1399" s="1" t="s">
        <v>1009</v>
      </c>
      <c r="G1399" s="1" t="s">
        <v>1010</v>
      </c>
      <c r="H1399" s="1">
        <v>7</v>
      </c>
      <c r="I1399" s="1">
        <v>2</v>
      </c>
      <c r="J1399" s="1" t="s">
        <v>3396</v>
      </c>
      <c r="K1399" s="2">
        <v>103.38</v>
      </c>
      <c r="L1399" s="1">
        <v>22</v>
      </c>
      <c r="M1399" s="2">
        <v>723.66</v>
      </c>
      <c r="N1399" s="2">
        <v>159.21</v>
      </c>
      <c r="O1399" s="2">
        <v>564.45000000000005</v>
      </c>
      <c r="P1399" s="1">
        <v>202</v>
      </c>
      <c r="Q1399" s="2">
        <v>72.37</v>
      </c>
      <c r="R1399" s="2">
        <v>57.86</v>
      </c>
      <c r="S1399" s="1" t="s">
        <v>1016</v>
      </c>
      <c r="T1399" s="1" t="s">
        <v>1007</v>
      </c>
      <c r="U1399" s="1" t="s">
        <v>1007</v>
      </c>
    </row>
    <row r="1400" spans="1:21" x14ac:dyDescent="0.3">
      <c r="A1400" s="1" t="s">
        <v>2414</v>
      </c>
      <c r="B1400" s="1" t="s">
        <v>26</v>
      </c>
      <c r="C1400" s="1" t="s">
        <v>27</v>
      </c>
      <c r="D1400" s="1" t="s">
        <v>28</v>
      </c>
      <c r="E1400" s="1" t="s">
        <v>3552</v>
      </c>
      <c r="F1400" s="1" t="s">
        <v>1009</v>
      </c>
      <c r="G1400" s="1" t="s">
        <v>1002</v>
      </c>
      <c r="H1400" s="1">
        <v>13</v>
      </c>
      <c r="I1400" s="1">
        <v>2</v>
      </c>
      <c r="J1400" s="1" t="s">
        <v>2573</v>
      </c>
      <c r="K1400" s="2">
        <v>185.51</v>
      </c>
      <c r="L1400" s="1">
        <v>10</v>
      </c>
      <c r="M1400" s="2">
        <v>2411.63</v>
      </c>
      <c r="N1400" s="2">
        <v>241.16</v>
      </c>
      <c r="O1400" s="2">
        <v>2170.4699999999998</v>
      </c>
      <c r="P1400" s="1">
        <v>75</v>
      </c>
      <c r="Q1400" s="2">
        <v>129.86000000000001</v>
      </c>
      <c r="R1400" s="2">
        <v>482.29</v>
      </c>
      <c r="S1400" s="1" t="s">
        <v>1011</v>
      </c>
      <c r="T1400" s="1" t="s">
        <v>1007</v>
      </c>
      <c r="U1400" s="1" t="s">
        <v>1007</v>
      </c>
    </row>
    <row r="1401" spans="1:21" x14ac:dyDescent="0.3">
      <c r="A1401" s="1" t="s">
        <v>2415</v>
      </c>
      <c r="B1401" s="1" t="s">
        <v>123</v>
      </c>
      <c r="C1401" s="1" t="s">
        <v>124</v>
      </c>
      <c r="D1401" s="1" t="s">
        <v>47</v>
      </c>
      <c r="E1401" s="1" t="s">
        <v>3553</v>
      </c>
      <c r="F1401" s="1" t="s">
        <v>1027</v>
      </c>
      <c r="G1401" s="1" t="s">
        <v>1002</v>
      </c>
      <c r="H1401" s="1">
        <v>13</v>
      </c>
      <c r="I1401" s="1">
        <v>1</v>
      </c>
      <c r="J1401" s="1" t="s">
        <v>2894</v>
      </c>
      <c r="K1401" s="2">
        <v>71.34</v>
      </c>
      <c r="L1401" s="1">
        <v>23</v>
      </c>
      <c r="M1401" s="2">
        <v>927.42</v>
      </c>
      <c r="N1401" s="2">
        <v>213.31</v>
      </c>
      <c r="O1401" s="2">
        <v>714.11</v>
      </c>
      <c r="P1401" s="1">
        <v>76</v>
      </c>
      <c r="Q1401" s="2">
        <v>49.94</v>
      </c>
      <c r="R1401" s="2">
        <v>64.89</v>
      </c>
      <c r="S1401" s="1" t="s">
        <v>1011</v>
      </c>
      <c r="T1401" s="1" t="s">
        <v>1007</v>
      </c>
      <c r="U1401" s="1" t="s">
        <v>1007</v>
      </c>
    </row>
    <row r="1402" spans="1:21" x14ac:dyDescent="0.3">
      <c r="A1402" s="1" t="s">
        <v>2416</v>
      </c>
      <c r="B1402" s="1" t="s">
        <v>72</v>
      </c>
      <c r="C1402" s="1" t="s">
        <v>73</v>
      </c>
      <c r="D1402" s="1" t="s">
        <v>47</v>
      </c>
      <c r="E1402" s="1" t="s">
        <v>3554</v>
      </c>
      <c r="F1402" s="1" t="s">
        <v>1009</v>
      </c>
      <c r="G1402" s="1" t="s">
        <v>1002</v>
      </c>
      <c r="H1402" s="1">
        <v>5</v>
      </c>
      <c r="I1402" s="1">
        <v>1</v>
      </c>
      <c r="J1402" s="1" t="s">
        <v>2869</v>
      </c>
      <c r="K1402" s="2">
        <v>380.74</v>
      </c>
      <c r="L1402" s="1">
        <v>14</v>
      </c>
      <c r="M1402" s="2">
        <v>1903.7</v>
      </c>
      <c r="N1402" s="2">
        <v>266.52</v>
      </c>
      <c r="O1402" s="2">
        <v>1637.18</v>
      </c>
      <c r="P1402" s="1">
        <v>152</v>
      </c>
      <c r="Q1402" s="2">
        <v>266.52</v>
      </c>
      <c r="R1402" s="2">
        <v>304.58</v>
      </c>
      <c r="S1402" s="1" t="s">
        <v>1003</v>
      </c>
      <c r="T1402" s="1" t="s">
        <v>1007</v>
      </c>
      <c r="U1402" s="1" t="s">
        <v>1004</v>
      </c>
    </row>
    <row r="1403" spans="1:21" x14ac:dyDescent="0.3">
      <c r="A1403" s="1" t="s">
        <v>2417</v>
      </c>
      <c r="B1403" s="1" t="s">
        <v>72</v>
      </c>
      <c r="C1403" s="1" t="s">
        <v>73</v>
      </c>
      <c r="D1403" s="1" t="s">
        <v>47</v>
      </c>
      <c r="E1403" s="1" t="s">
        <v>3555</v>
      </c>
      <c r="F1403" s="1" t="s">
        <v>1001</v>
      </c>
      <c r="G1403" s="1" t="s">
        <v>1023</v>
      </c>
      <c r="H1403" s="1">
        <v>9</v>
      </c>
      <c r="I1403" s="1">
        <v>6</v>
      </c>
      <c r="J1403" s="1" t="s">
        <v>2869</v>
      </c>
      <c r="K1403" s="2">
        <v>448.2</v>
      </c>
      <c r="L1403" s="1">
        <v>10</v>
      </c>
      <c r="M1403" s="2">
        <v>4033.8</v>
      </c>
      <c r="N1403" s="2">
        <v>403.38</v>
      </c>
      <c r="O1403" s="2">
        <v>3630.42</v>
      </c>
      <c r="P1403" s="1">
        <v>110</v>
      </c>
      <c r="Q1403" s="2">
        <v>313.74</v>
      </c>
      <c r="R1403" s="2">
        <v>806.76</v>
      </c>
      <c r="S1403" s="1" t="s">
        <v>1003</v>
      </c>
      <c r="T1403" s="1" t="s">
        <v>1004</v>
      </c>
      <c r="U1403" s="1" t="s">
        <v>1004</v>
      </c>
    </row>
    <row r="1404" spans="1:21" x14ac:dyDescent="0.3">
      <c r="A1404" s="1" t="s">
        <v>2418</v>
      </c>
      <c r="B1404" s="1" t="s">
        <v>52</v>
      </c>
      <c r="C1404" s="1" t="s">
        <v>53</v>
      </c>
      <c r="D1404" s="1" t="s">
        <v>47</v>
      </c>
      <c r="E1404" s="1" t="s">
        <v>3556</v>
      </c>
      <c r="F1404" s="1" t="s">
        <v>1015</v>
      </c>
      <c r="G1404" s="1" t="s">
        <v>1010</v>
      </c>
      <c r="H1404" s="1">
        <v>8</v>
      </c>
      <c r="I1404" s="1">
        <v>6</v>
      </c>
      <c r="J1404" s="1" t="s">
        <v>2599</v>
      </c>
      <c r="K1404" s="2">
        <v>382.92</v>
      </c>
      <c r="L1404" s="1">
        <v>19</v>
      </c>
      <c r="M1404" s="2">
        <v>3063.36</v>
      </c>
      <c r="N1404" s="2">
        <v>582.04</v>
      </c>
      <c r="O1404" s="2">
        <v>2481.3200000000002</v>
      </c>
      <c r="P1404" s="1">
        <v>73</v>
      </c>
      <c r="Q1404" s="2">
        <v>268.04000000000002</v>
      </c>
      <c r="R1404" s="2">
        <v>337</v>
      </c>
      <c r="S1404" s="1" t="s">
        <v>1003</v>
      </c>
      <c r="T1404" s="1" t="s">
        <v>1004</v>
      </c>
      <c r="U1404" s="1" t="s">
        <v>1004</v>
      </c>
    </row>
    <row r="1405" spans="1:21" x14ac:dyDescent="0.3">
      <c r="A1405" s="1" t="s">
        <v>2419</v>
      </c>
      <c r="B1405" s="1" t="s">
        <v>189</v>
      </c>
      <c r="C1405" s="1" t="s">
        <v>190</v>
      </c>
      <c r="D1405" s="1" t="s">
        <v>59</v>
      </c>
      <c r="E1405" s="1" t="s">
        <v>3557</v>
      </c>
      <c r="F1405" s="1" t="s">
        <v>1015</v>
      </c>
      <c r="G1405" s="1" t="s">
        <v>1002</v>
      </c>
      <c r="H1405" s="1">
        <v>8</v>
      </c>
      <c r="I1405" s="1">
        <v>7</v>
      </c>
      <c r="J1405" s="1" t="s">
        <v>2911</v>
      </c>
      <c r="K1405" s="2">
        <v>154.86000000000001</v>
      </c>
      <c r="L1405" s="1">
        <v>1</v>
      </c>
      <c r="M1405" s="2">
        <v>1238.8800000000001</v>
      </c>
      <c r="N1405" s="2">
        <v>12.39</v>
      </c>
      <c r="O1405" s="2">
        <v>1226.49</v>
      </c>
      <c r="P1405" s="1">
        <v>199</v>
      </c>
      <c r="Q1405" s="2">
        <v>108.4</v>
      </c>
      <c r="R1405" s="2">
        <v>359.29</v>
      </c>
      <c r="S1405" s="1" t="s">
        <v>1003</v>
      </c>
      <c r="T1405" s="1" t="s">
        <v>1007</v>
      </c>
      <c r="U1405" s="1" t="s">
        <v>1007</v>
      </c>
    </row>
    <row r="1406" spans="1:21" x14ac:dyDescent="0.3">
      <c r="A1406" s="1" t="s">
        <v>2420</v>
      </c>
      <c r="B1406" s="1" t="s">
        <v>111</v>
      </c>
      <c r="C1406" s="1" t="s">
        <v>112</v>
      </c>
      <c r="D1406" s="1" t="s">
        <v>97</v>
      </c>
      <c r="E1406" s="1" t="s">
        <v>3558</v>
      </c>
      <c r="F1406" s="1" t="s">
        <v>1027</v>
      </c>
      <c r="G1406" s="1" t="s">
        <v>1010</v>
      </c>
      <c r="H1406" s="1">
        <v>6</v>
      </c>
      <c r="I1406" s="1">
        <v>7</v>
      </c>
      <c r="J1406" s="1" t="s">
        <v>2559</v>
      </c>
      <c r="K1406" s="2">
        <v>340.22</v>
      </c>
      <c r="L1406" s="1">
        <v>2</v>
      </c>
      <c r="M1406" s="2">
        <v>2041.32</v>
      </c>
      <c r="N1406" s="2">
        <v>40.83</v>
      </c>
      <c r="O1406" s="2">
        <v>2000.49</v>
      </c>
      <c r="P1406" s="1">
        <v>162</v>
      </c>
      <c r="Q1406" s="2">
        <v>238.15</v>
      </c>
      <c r="R1406" s="2">
        <v>571.59</v>
      </c>
      <c r="S1406" s="1" t="s">
        <v>1016</v>
      </c>
      <c r="T1406" s="1" t="s">
        <v>1004</v>
      </c>
      <c r="U1406" s="1" t="s">
        <v>1004</v>
      </c>
    </row>
    <row r="1407" spans="1:21" x14ac:dyDescent="0.3">
      <c r="A1407" s="1" t="s">
        <v>2421</v>
      </c>
      <c r="B1407" s="1" t="s">
        <v>107</v>
      </c>
      <c r="C1407" s="1" t="s">
        <v>108</v>
      </c>
      <c r="D1407" s="1" t="s">
        <v>39</v>
      </c>
      <c r="E1407" s="1" t="s">
        <v>3559</v>
      </c>
      <c r="F1407" s="1" t="s">
        <v>1020</v>
      </c>
      <c r="G1407" s="1" t="s">
        <v>1023</v>
      </c>
      <c r="H1407" s="1">
        <v>15</v>
      </c>
      <c r="I1407" s="1">
        <v>3</v>
      </c>
      <c r="J1407" s="1" t="s">
        <v>2584</v>
      </c>
      <c r="K1407" s="2">
        <v>489.48</v>
      </c>
      <c r="L1407" s="1">
        <v>25</v>
      </c>
      <c r="M1407" s="2">
        <v>7342.2</v>
      </c>
      <c r="N1407" s="2">
        <v>1835.55</v>
      </c>
      <c r="O1407" s="2">
        <v>5506.65</v>
      </c>
      <c r="P1407" s="1">
        <v>72</v>
      </c>
      <c r="Q1407" s="2">
        <v>342.64</v>
      </c>
      <c r="R1407" s="2">
        <v>367.05</v>
      </c>
      <c r="S1407" s="1" t="s">
        <v>1016</v>
      </c>
      <c r="T1407" s="1" t="s">
        <v>1007</v>
      </c>
      <c r="U1407" s="1" t="s">
        <v>1007</v>
      </c>
    </row>
    <row r="1408" spans="1:21" x14ac:dyDescent="0.3">
      <c r="A1408" s="1" t="s">
        <v>2422</v>
      </c>
      <c r="B1408" s="1" t="s">
        <v>166</v>
      </c>
      <c r="C1408" s="1" t="s">
        <v>167</v>
      </c>
      <c r="D1408" s="1" t="s">
        <v>59</v>
      </c>
      <c r="E1408" s="1" t="s">
        <v>3560</v>
      </c>
      <c r="F1408" s="1" t="s">
        <v>1006</v>
      </c>
      <c r="G1408" s="1" t="s">
        <v>1010</v>
      </c>
      <c r="H1408" s="1">
        <v>7</v>
      </c>
      <c r="I1408" s="1">
        <v>1</v>
      </c>
      <c r="J1408" s="1" t="s">
        <v>3043</v>
      </c>
      <c r="K1408" s="2">
        <v>161.94999999999999</v>
      </c>
      <c r="L1408" s="1">
        <v>0</v>
      </c>
      <c r="M1408" s="2">
        <v>1133.6500000000001</v>
      </c>
      <c r="N1408" s="2">
        <v>0</v>
      </c>
      <c r="O1408" s="2">
        <v>1133.6500000000001</v>
      </c>
      <c r="P1408" s="1">
        <v>96</v>
      </c>
      <c r="Q1408" s="2">
        <v>113.36</v>
      </c>
      <c r="R1408" s="2">
        <v>340.13</v>
      </c>
      <c r="S1408" s="1" t="s">
        <v>1011</v>
      </c>
      <c r="T1408" s="1" t="s">
        <v>1007</v>
      </c>
      <c r="U1408" s="1" t="s">
        <v>1007</v>
      </c>
    </row>
    <row r="1409" spans="1:21" x14ac:dyDescent="0.3">
      <c r="A1409" s="1" t="s">
        <v>2423</v>
      </c>
      <c r="B1409" s="1" t="s">
        <v>83</v>
      </c>
      <c r="C1409" s="1" t="s">
        <v>84</v>
      </c>
      <c r="D1409" s="1" t="s">
        <v>85</v>
      </c>
      <c r="E1409" s="1" t="s">
        <v>3561</v>
      </c>
      <c r="F1409" s="1" t="s">
        <v>1013</v>
      </c>
      <c r="G1409" s="1" t="s">
        <v>1010</v>
      </c>
      <c r="H1409" s="1">
        <v>7</v>
      </c>
      <c r="I1409" s="1">
        <v>7</v>
      </c>
      <c r="J1409" s="1" t="s">
        <v>2767</v>
      </c>
      <c r="K1409" s="2">
        <v>142.54</v>
      </c>
      <c r="L1409" s="1">
        <v>23</v>
      </c>
      <c r="M1409" s="2">
        <v>997.78</v>
      </c>
      <c r="N1409" s="2">
        <v>229.49</v>
      </c>
      <c r="O1409" s="2">
        <v>768.29</v>
      </c>
      <c r="P1409" s="1">
        <v>163</v>
      </c>
      <c r="Q1409" s="2">
        <v>99.78</v>
      </c>
      <c r="R1409" s="2">
        <v>69.83</v>
      </c>
      <c r="S1409" s="1" t="s">
        <v>1003</v>
      </c>
      <c r="T1409" s="1" t="s">
        <v>1004</v>
      </c>
      <c r="U1409" s="1" t="s">
        <v>1007</v>
      </c>
    </row>
    <row r="1410" spans="1:21" x14ac:dyDescent="0.3">
      <c r="A1410" s="1" t="s">
        <v>2424</v>
      </c>
      <c r="B1410" s="1" t="s">
        <v>111</v>
      </c>
      <c r="C1410" s="1" t="s">
        <v>112</v>
      </c>
      <c r="D1410" s="1" t="s">
        <v>97</v>
      </c>
      <c r="E1410" s="1" t="s">
        <v>3562</v>
      </c>
      <c r="F1410" s="1" t="s">
        <v>1020</v>
      </c>
      <c r="G1410" s="1" t="s">
        <v>1010</v>
      </c>
      <c r="H1410" s="1">
        <v>12</v>
      </c>
      <c r="I1410" s="1">
        <v>6</v>
      </c>
      <c r="J1410" s="1" t="s">
        <v>2847</v>
      </c>
      <c r="K1410" s="2">
        <v>97.91</v>
      </c>
      <c r="L1410" s="1">
        <v>5</v>
      </c>
      <c r="M1410" s="2">
        <v>1174.92</v>
      </c>
      <c r="N1410" s="2">
        <v>58.75</v>
      </c>
      <c r="O1410" s="2">
        <v>1116.17</v>
      </c>
      <c r="P1410" s="1">
        <v>236</v>
      </c>
      <c r="Q1410" s="2">
        <v>68.540000000000006</v>
      </c>
      <c r="R1410" s="2">
        <v>293.69</v>
      </c>
      <c r="S1410" s="1" t="s">
        <v>1016</v>
      </c>
      <c r="T1410" s="1" t="s">
        <v>1004</v>
      </c>
      <c r="U1410" s="1" t="s">
        <v>1004</v>
      </c>
    </row>
    <row r="1411" spans="1:21" x14ac:dyDescent="0.3">
      <c r="A1411" s="1" t="s">
        <v>2425</v>
      </c>
      <c r="B1411" s="1" t="s">
        <v>72</v>
      </c>
      <c r="C1411" s="1" t="s">
        <v>73</v>
      </c>
      <c r="D1411" s="1" t="s">
        <v>47</v>
      </c>
      <c r="E1411" s="1" t="s">
        <v>3563</v>
      </c>
      <c r="F1411" s="1" t="s">
        <v>1001</v>
      </c>
      <c r="G1411" s="1" t="s">
        <v>1002</v>
      </c>
      <c r="H1411" s="1">
        <v>1</v>
      </c>
      <c r="I1411" s="1">
        <v>3</v>
      </c>
      <c r="J1411" s="1" t="s">
        <v>2523</v>
      </c>
      <c r="K1411" s="2">
        <v>65.62</v>
      </c>
      <c r="L1411" s="1">
        <v>18</v>
      </c>
      <c r="M1411" s="2">
        <v>65.62</v>
      </c>
      <c r="N1411" s="2">
        <v>11.81</v>
      </c>
      <c r="O1411" s="2">
        <v>53.81</v>
      </c>
      <c r="P1411" s="1">
        <v>205</v>
      </c>
      <c r="Q1411" s="2">
        <v>45.93</v>
      </c>
      <c r="R1411" s="2">
        <v>7.88</v>
      </c>
      <c r="S1411" s="1" t="s">
        <v>1016</v>
      </c>
      <c r="T1411" s="1" t="s">
        <v>1004</v>
      </c>
      <c r="U1411" s="1" t="s">
        <v>1004</v>
      </c>
    </row>
    <row r="1412" spans="1:21" x14ac:dyDescent="0.3">
      <c r="A1412" s="1" t="s">
        <v>2426</v>
      </c>
      <c r="B1412" s="1" t="s">
        <v>107</v>
      </c>
      <c r="C1412" s="1" t="s">
        <v>108</v>
      </c>
      <c r="D1412" s="1" t="s">
        <v>39</v>
      </c>
      <c r="E1412" s="1" t="s">
        <v>3564</v>
      </c>
      <c r="F1412" s="1" t="s">
        <v>1027</v>
      </c>
      <c r="G1412" s="1" t="s">
        <v>1023</v>
      </c>
      <c r="H1412" s="1">
        <v>2</v>
      </c>
      <c r="I1412" s="1">
        <v>1</v>
      </c>
      <c r="J1412" s="1" t="s">
        <v>2825</v>
      </c>
      <c r="K1412" s="2">
        <v>406.07</v>
      </c>
      <c r="L1412" s="1">
        <v>2</v>
      </c>
      <c r="M1412" s="2">
        <v>812.14</v>
      </c>
      <c r="N1412" s="2">
        <v>16.239999999999998</v>
      </c>
      <c r="O1412" s="2">
        <v>795.9</v>
      </c>
      <c r="P1412" s="1">
        <v>228</v>
      </c>
      <c r="Q1412" s="2">
        <v>284.25</v>
      </c>
      <c r="R1412" s="2">
        <v>227.4</v>
      </c>
      <c r="S1412" s="1" t="s">
        <v>1003</v>
      </c>
      <c r="T1412" s="1" t="s">
        <v>1007</v>
      </c>
      <c r="U1412" s="1" t="s">
        <v>1007</v>
      </c>
    </row>
    <row r="1413" spans="1:21" x14ac:dyDescent="0.3">
      <c r="A1413" s="1" t="s">
        <v>2427</v>
      </c>
      <c r="B1413" s="1" t="s">
        <v>37</v>
      </c>
      <c r="C1413" s="1" t="s">
        <v>38</v>
      </c>
      <c r="D1413" s="1" t="s">
        <v>39</v>
      </c>
      <c r="E1413" s="1" t="s">
        <v>3565</v>
      </c>
      <c r="F1413" s="1" t="s">
        <v>1020</v>
      </c>
      <c r="G1413" s="1" t="s">
        <v>1002</v>
      </c>
      <c r="H1413" s="1">
        <v>6</v>
      </c>
      <c r="I1413" s="1">
        <v>6</v>
      </c>
      <c r="J1413" s="1" t="s">
        <v>2648</v>
      </c>
      <c r="K1413" s="2">
        <v>358.47</v>
      </c>
      <c r="L1413" s="1">
        <v>12</v>
      </c>
      <c r="M1413" s="2">
        <v>2150.8200000000002</v>
      </c>
      <c r="N1413" s="2">
        <v>258.10000000000002</v>
      </c>
      <c r="O1413" s="2">
        <v>1892.72</v>
      </c>
      <c r="P1413" s="1">
        <v>292</v>
      </c>
      <c r="Q1413" s="2">
        <v>250.93</v>
      </c>
      <c r="R1413" s="2">
        <v>387.14</v>
      </c>
      <c r="S1413" s="1" t="s">
        <v>1003</v>
      </c>
      <c r="T1413" s="1" t="s">
        <v>1007</v>
      </c>
      <c r="U1413" s="1" t="s">
        <v>1004</v>
      </c>
    </row>
    <row r="1414" spans="1:21" x14ac:dyDescent="0.3">
      <c r="A1414" s="1" t="s">
        <v>2428</v>
      </c>
      <c r="B1414" s="1" t="s">
        <v>166</v>
      </c>
      <c r="C1414" s="1" t="s">
        <v>167</v>
      </c>
      <c r="D1414" s="1" t="s">
        <v>59</v>
      </c>
      <c r="E1414" s="1" t="s">
        <v>3566</v>
      </c>
      <c r="F1414" s="1" t="s">
        <v>1020</v>
      </c>
      <c r="G1414" s="1" t="s">
        <v>1002</v>
      </c>
      <c r="H1414" s="1">
        <v>7</v>
      </c>
      <c r="I1414" s="1">
        <v>4</v>
      </c>
      <c r="J1414" s="1" t="s">
        <v>2862</v>
      </c>
      <c r="K1414" s="2">
        <v>244.51</v>
      </c>
      <c r="L1414" s="1">
        <v>3</v>
      </c>
      <c r="M1414" s="2">
        <v>1711.57</v>
      </c>
      <c r="N1414" s="2">
        <v>51.35</v>
      </c>
      <c r="O1414" s="2">
        <v>1660.22</v>
      </c>
      <c r="P1414" s="1">
        <v>125</v>
      </c>
      <c r="Q1414" s="2">
        <v>171.16</v>
      </c>
      <c r="R1414" s="2">
        <v>462.1</v>
      </c>
      <c r="S1414" s="1" t="s">
        <v>1011</v>
      </c>
      <c r="T1414" s="1" t="s">
        <v>1007</v>
      </c>
      <c r="U1414" s="1" t="s">
        <v>1004</v>
      </c>
    </row>
    <row r="1415" spans="1:21" x14ac:dyDescent="0.3">
      <c r="A1415" s="1" t="s">
        <v>2429</v>
      </c>
      <c r="B1415" s="1" t="s">
        <v>26</v>
      </c>
      <c r="C1415" s="1" t="s">
        <v>27</v>
      </c>
      <c r="D1415" s="1" t="s">
        <v>28</v>
      </c>
      <c r="E1415" s="1" t="s">
        <v>3567</v>
      </c>
      <c r="F1415" s="1" t="s">
        <v>1013</v>
      </c>
      <c r="G1415" s="1" t="s">
        <v>1002</v>
      </c>
      <c r="H1415" s="1">
        <v>8</v>
      </c>
      <c r="I1415" s="1">
        <v>6</v>
      </c>
      <c r="J1415" s="1" t="s">
        <v>2596</v>
      </c>
      <c r="K1415" s="2">
        <v>339.84</v>
      </c>
      <c r="L1415" s="1">
        <v>8</v>
      </c>
      <c r="M1415" s="2">
        <v>2718.72</v>
      </c>
      <c r="N1415" s="2">
        <v>217.5</v>
      </c>
      <c r="O1415" s="2">
        <v>2501.2199999999998</v>
      </c>
      <c r="P1415" s="1">
        <v>257</v>
      </c>
      <c r="Q1415" s="2">
        <v>237.89</v>
      </c>
      <c r="R1415" s="2">
        <v>598.1</v>
      </c>
      <c r="S1415" s="1" t="s">
        <v>1016</v>
      </c>
      <c r="T1415" s="1" t="s">
        <v>1007</v>
      </c>
      <c r="U1415" s="1" t="s">
        <v>1007</v>
      </c>
    </row>
    <row r="1416" spans="1:21" x14ac:dyDescent="0.3">
      <c r="A1416" s="1" t="s">
        <v>2430</v>
      </c>
      <c r="B1416" s="1" t="s">
        <v>176</v>
      </c>
      <c r="C1416" s="1" t="s">
        <v>177</v>
      </c>
      <c r="D1416" s="1" t="s">
        <v>39</v>
      </c>
      <c r="E1416" s="1" t="s">
        <v>3568</v>
      </c>
      <c r="F1416" s="1" t="s">
        <v>1006</v>
      </c>
      <c r="G1416" s="1" t="s">
        <v>1023</v>
      </c>
      <c r="H1416" s="1">
        <v>1</v>
      </c>
      <c r="I1416" s="1">
        <v>3</v>
      </c>
      <c r="J1416" s="1" t="s">
        <v>2789</v>
      </c>
      <c r="K1416" s="2">
        <v>244.9</v>
      </c>
      <c r="L1416" s="1">
        <v>6</v>
      </c>
      <c r="M1416" s="2">
        <v>244.9</v>
      </c>
      <c r="N1416" s="2">
        <v>14.69</v>
      </c>
      <c r="O1416" s="2">
        <v>230.21</v>
      </c>
      <c r="P1416" s="1">
        <v>240</v>
      </c>
      <c r="Q1416" s="2">
        <v>171.43</v>
      </c>
      <c r="R1416" s="2">
        <v>58.78</v>
      </c>
      <c r="S1416" s="1" t="s">
        <v>1011</v>
      </c>
      <c r="T1416" s="1" t="s">
        <v>1007</v>
      </c>
      <c r="U1416" s="1" t="s">
        <v>1007</v>
      </c>
    </row>
    <row r="1417" spans="1:21" x14ac:dyDescent="0.3">
      <c r="A1417" s="1" t="s">
        <v>2431</v>
      </c>
      <c r="B1417" s="1" t="s">
        <v>63</v>
      </c>
      <c r="C1417" s="1" t="s">
        <v>64</v>
      </c>
      <c r="D1417" s="1" t="s">
        <v>28</v>
      </c>
      <c r="E1417" s="1" t="s">
        <v>3569</v>
      </c>
      <c r="F1417" s="1" t="s">
        <v>1006</v>
      </c>
      <c r="G1417" s="1" t="s">
        <v>1023</v>
      </c>
      <c r="H1417" s="1">
        <v>8</v>
      </c>
      <c r="I1417" s="1">
        <v>6</v>
      </c>
      <c r="J1417" s="1" t="s">
        <v>2880</v>
      </c>
      <c r="K1417" s="2">
        <v>320.91000000000003</v>
      </c>
      <c r="L1417" s="1">
        <v>24</v>
      </c>
      <c r="M1417" s="2">
        <v>2567.2800000000002</v>
      </c>
      <c r="N1417" s="2">
        <v>616.15</v>
      </c>
      <c r="O1417" s="2">
        <v>1951.13</v>
      </c>
      <c r="P1417" s="1">
        <v>114</v>
      </c>
      <c r="Q1417" s="2">
        <v>224.64</v>
      </c>
      <c r="R1417" s="2">
        <v>154.01</v>
      </c>
      <c r="S1417" s="1" t="s">
        <v>1011</v>
      </c>
      <c r="T1417" s="1" t="s">
        <v>1007</v>
      </c>
      <c r="U1417" s="1" t="s">
        <v>1004</v>
      </c>
    </row>
    <row r="1418" spans="1:21" x14ac:dyDescent="0.3">
      <c r="A1418" s="1" t="s">
        <v>2432</v>
      </c>
      <c r="B1418" s="1" t="s">
        <v>102</v>
      </c>
      <c r="C1418" s="1" t="s">
        <v>103</v>
      </c>
      <c r="D1418" s="1" t="s">
        <v>104</v>
      </c>
      <c r="E1418" s="1" t="s">
        <v>3570</v>
      </c>
      <c r="F1418" s="1" t="s">
        <v>1001</v>
      </c>
      <c r="G1418" s="1" t="s">
        <v>1010</v>
      </c>
      <c r="H1418" s="1">
        <v>5</v>
      </c>
      <c r="I1418" s="1">
        <v>7</v>
      </c>
      <c r="J1418" s="1" t="s">
        <v>2699</v>
      </c>
      <c r="K1418" s="2">
        <v>73.97</v>
      </c>
      <c r="L1418" s="1">
        <v>8</v>
      </c>
      <c r="M1418" s="2">
        <v>369.85</v>
      </c>
      <c r="N1418" s="2">
        <v>29.59</v>
      </c>
      <c r="O1418" s="2">
        <v>340.26</v>
      </c>
      <c r="P1418" s="1">
        <v>122</v>
      </c>
      <c r="Q1418" s="2">
        <v>51.78</v>
      </c>
      <c r="R1418" s="2">
        <v>81.36</v>
      </c>
      <c r="S1418" s="1" t="s">
        <v>1003</v>
      </c>
      <c r="T1418" s="1" t="s">
        <v>1007</v>
      </c>
      <c r="U1418" s="1" t="s">
        <v>1004</v>
      </c>
    </row>
    <row r="1419" spans="1:21" x14ac:dyDescent="0.3">
      <c r="A1419" s="1" t="s">
        <v>2433</v>
      </c>
      <c r="B1419" s="1" t="s">
        <v>176</v>
      </c>
      <c r="C1419" s="1" t="s">
        <v>177</v>
      </c>
      <c r="D1419" s="1" t="s">
        <v>39</v>
      </c>
      <c r="E1419" s="1" t="s">
        <v>3571</v>
      </c>
      <c r="F1419" s="1" t="s">
        <v>1009</v>
      </c>
      <c r="G1419" s="1" t="s">
        <v>1023</v>
      </c>
      <c r="H1419" s="1">
        <v>8</v>
      </c>
      <c r="I1419" s="1">
        <v>4</v>
      </c>
      <c r="J1419" s="1" t="s">
        <v>2872</v>
      </c>
      <c r="K1419" s="2">
        <v>195.91</v>
      </c>
      <c r="L1419" s="1">
        <v>25</v>
      </c>
      <c r="M1419" s="2">
        <v>1567.28</v>
      </c>
      <c r="N1419" s="2">
        <v>391.82</v>
      </c>
      <c r="O1419" s="2">
        <v>1175.46</v>
      </c>
      <c r="P1419" s="1">
        <v>159</v>
      </c>
      <c r="Q1419" s="2">
        <v>137.13999999999999</v>
      </c>
      <c r="R1419" s="2">
        <v>78.34</v>
      </c>
      <c r="S1419" s="1" t="s">
        <v>1016</v>
      </c>
      <c r="T1419" s="1" t="s">
        <v>1007</v>
      </c>
      <c r="U1419" s="1" t="s">
        <v>1007</v>
      </c>
    </row>
    <row r="1420" spans="1:21" x14ac:dyDescent="0.3">
      <c r="A1420" s="1" t="s">
        <v>2434</v>
      </c>
      <c r="B1420" s="1" t="s">
        <v>45</v>
      </c>
      <c r="C1420" s="1" t="s">
        <v>46</v>
      </c>
      <c r="D1420" s="1" t="s">
        <v>47</v>
      </c>
      <c r="E1420" s="1" t="s">
        <v>3572</v>
      </c>
      <c r="F1420" s="1" t="s">
        <v>1001</v>
      </c>
      <c r="G1420" s="1" t="s">
        <v>1002</v>
      </c>
      <c r="H1420" s="1">
        <v>7</v>
      </c>
      <c r="I1420" s="1">
        <v>1</v>
      </c>
      <c r="J1420" s="1" t="s">
        <v>2859</v>
      </c>
      <c r="K1420" s="2">
        <v>61.03</v>
      </c>
      <c r="L1420" s="1">
        <v>3</v>
      </c>
      <c r="M1420" s="2">
        <v>427.21</v>
      </c>
      <c r="N1420" s="2">
        <v>12.82</v>
      </c>
      <c r="O1420" s="2">
        <v>414.39</v>
      </c>
      <c r="P1420" s="1">
        <v>96</v>
      </c>
      <c r="Q1420" s="2">
        <v>42.72</v>
      </c>
      <c r="R1420" s="2">
        <v>115.35</v>
      </c>
      <c r="S1420" s="1" t="s">
        <v>1011</v>
      </c>
      <c r="T1420" s="1" t="s">
        <v>1007</v>
      </c>
      <c r="U1420" s="1" t="s">
        <v>1007</v>
      </c>
    </row>
    <row r="1421" spans="1:21" x14ac:dyDescent="0.3">
      <c r="A1421" s="1" t="s">
        <v>2435</v>
      </c>
      <c r="B1421" s="1" t="s">
        <v>26</v>
      </c>
      <c r="C1421" s="1" t="s">
        <v>27</v>
      </c>
      <c r="D1421" s="1" t="s">
        <v>28</v>
      </c>
      <c r="E1421" s="1" t="s">
        <v>3573</v>
      </c>
      <c r="F1421" s="1" t="s">
        <v>1013</v>
      </c>
      <c r="G1421" s="1" t="s">
        <v>1010</v>
      </c>
      <c r="H1421" s="1">
        <v>9</v>
      </c>
      <c r="I1421" s="1">
        <v>1</v>
      </c>
      <c r="J1421" s="1" t="s">
        <v>2774</v>
      </c>
      <c r="K1421" s="2">
        <v>81.5</v>
      </c>
      <c r="L1421" s="1">
        <v>19</v>
      </c>
      <c r="M1421" s="2">
        <v>733.5</v>
      </c>
      <c r="N1421" s="2">
        <v>139.37</v>
      </c>
      <c r="O1421" s="2">
        <v>594.13</v>
      </c>
      <c r="P1421" s="1">
        <v>271</v>
      </c>
      <c r="Q1421" s="2">
        <v>57.05</v>
      </c>
      <c r="R1421" s="2">
        <v>80.680000000000007</v>
      </c>
      <c r="S1421" s="1" t="s">
        <v>1011</v>
      </c>
      <c r="T1421" s="1" t="s">
        <v>1007</v>
      </c>
      <c r="U1421" s="1" t="s">
        <v>1007</v>
      </c>
    </row>
    <row r="1422" spans="1:21" x14ac:dyDescent="0.3">
      <c r="A1422" s="1" t="s">
        <v>2436</v>
      </c>
      <c r="B1422" s="1" t="s">
        <v>166</v>
      </c>
      <c r="C1422" s="1" t="s">
        <v>167</v>
      </c>
      <c r="D1422" s="1" t="s">
        <v>59</v>
      </c>
      <c r="E1422" s="1" t="s">
        <v>3574</v>
      </c>
      <c r="F1422" s="1" t="s">
        <v>1013</v>
      </c>
      <c r="G1422" s="1" t="s">
        <v>1010</v>
      </c>
      <c r="H1422" s="1">
        <v>7</v>
      </c>
      <c r="I1422" s="1">
        <v>5</v>
      </c>
      <c r="J1422" s="1" t="s">
        <v>2526</v>
      </c>
      <c r="K1422" s="2">
        <v>431.7</v>
      </c>
      <c r="L1422" s="1">
        <v>15</v>
      </c>
      <c r="M1422" s="2">
        <v>3021.9</v>
      </c>
      <c r="N1422" s="2">
        <v>453.29</v>
      </c>
      <c r="O1422" s="2">
        <v>2568.61</v>
      </c>
      <c r="P1422" s="1">
        <v>67</v>
      </c>
      <c r="Q1422" s="2">
        <v>302.19</v>
      </c>
      <c r="R1422" s="2">
        <v>453.28</v>
      </c>
      <c r="S1422" s="1" t="s">
        <v>1016</v>
      </c>
      <c r="T1422" s="1" t="s">
        <v>1004</v>
      </c>
      <c r="U1422" s="1" t="s">
        <v>1004</v>
      </c>
    </row>
    <row r="1423" spans="1:21" x14ac:dyDescent="0.3">
      <c r="A1423" s="1" t="s">
        <v>2437</v>
      </c>
      <c r="B1423" s="1" t="s">
        <v>57</v>
      </c>
      <c r="C1423" s="1" t="s">
        <v>58</v>
      </c>
      <c r="D1423" s="1" t="s">
        <v>59</v>
      </c>
      <c r="E1423" s="1" t="s">
        <v>3575</v>
      </c>
      <c r="F1423" s="1" t="s">
        <v>1006</v>
      </c>
      <c r="G1423" s="1" t="s">
        <v>1010</v>
      </c>
      <c r="H1423" s="1">
        <v>9</v>
      </c>
      <c r="I1423" s="1">
        <v>6</v>
      </c>
      <c r="J1423" s="1" t="s">
        <v>2599</v>
      </c>
      <c r="K1423" s="2">
        <v>79.55</v>
      </c>
      <c r="L1423" s="1">
        <v>14</v>
      </c>
      <c r="M1423" s="2">
        <v>715.95</v>
      </c>
      <c r="N1423" s="2">
        <v>100.23</v>
      </c>
      <c r="O1423" s="2">
        <v>615.72</v>
      </c>
      <c r="P1423" s="1">
        <v>300</v>
      </c>
      <c r="Q1423" s="2">
        <v>55.68</v>
      </c>
      <c r="R1423" s="2">
        <v>114.6</v>
      </c>
      <c r="S1423" s="1" t="s">
        <v>1016</v>
      </c>
      <c r="T1423" s="1" t="s">
        <v>1004</v>
      </c>
      <c r="U1423" s="1" t="s">
        <v>1007</v>
      </c>
    </row>
    <row r="1424" spans="1:21" x14ac:dyDescent="0.3">
      <c r="A1424" s="1" t="s">
        <v>2438</v>
      </c>
      <c r="B1424" s="1" t="s">
        <v>77</v>
      </c>
      <c r="C1424" s="1" t="s">
        <v>78</v>
      </c>
      <c r="D1424" s="1" t="s">
        <v>47</v>
      </c>
      <c r="E1424" s="1" t="s">
        <v>3576</v>
      </c>
      <c r="F1424" s="1" t="s">
        <v>1015</v>
      </c>
      <c r="G1424" s="1" t="s">
        <v>1010</v>
      </c>
      <c r="H1424" s="1">
        <v>8</v>
      </c>
      <c r="I1424" s="1">
        <v>6</v>
      </c>
      <c r="J1424" s="1" t="s">
        <v>2526</v>
      </c>
      <c r="K1424" s="2">
        <v>111.48</v>
      </c>
      <c r="L1424" s="1">
        <v>9</v>
      </c>
      <c r="M1424" s="2">
        <v>891.84</v>
      </c>
      <c r="N1424" s="2">
        <v>80.27</v>
      </c>
      <c r="O1424" s="2">
        <v>811.57</v>
      </c>
      <c r="P1424" s="1">
        <v>204</v>
      </c>
      <c r="Q1424" s="2">
        <v>78.040000000000006</v>
      </c>
      <c r="R1424" s="2">
        <v>187.25</v>
      </c>
      <c r="S1424" s="1" t="s">
        <v>1011</v>
      </c>
      <c r="T1424" s="1" t="s">
        <v>1004</v>
      </c>
      <c r="U1424" s="1" t="s">
        <v>1004</v>
      </c>
    </row>
    <row r="1425" spans="1:21" x14ac:dyDescent="0.3">
      <c r="A1425" s="1" t="s">
        <v>2439</v>
      </c>
      <c r="B1425" s="1" t="s">
        <v>57</v>
      </c>
      <c r="C1425" s="1" t="s">
        <v>58</v>
      </c>
      <c r="D1425" s="1" t="s">
        <v>59</v>
      </c>
      <c r="E1425" s="1" t="s">
        <v>3577</v>
      </c>
      <c r="F1425" s="1" t="s">
        <v>1013</v>
      </c>
      <c r="G1425" s="1" t="s">
        <v>1023</v>
      </c>
      <c r="H1425" s="1">
        <v>7</v>
      </c>
      <c r="I1425" s="1">
        <v>7</v>
      </c>
      <c r="J1425" s="1" t="s">
        <v>2883</v>
      </c>
      <c r="K1425" s="2">
        <v>195.28</v>
      </c>
      <c r="L1425" s="1">
        <v>12</v>
      </c>
      <c r="M1425" s="2">
        <v>1366.96</v>
      </c>
      <c r="N1425" s="2">
        <v>164.04</v>
      </c>
      <c r="O1425" s="2">
        <v>1202.92</v>
      </c>
      <c r="P1425" s="1">
        <v>166</v>
      </c>
      <c r="Q1425" s="2">
        <v>136.69999999999999</v>
      </c>
      <c r="R1425" s="2">
        <v>246.02</v>
      </c>
      <c r="S1425" s="1" t="s">
        <v>1003</v>
      </c>
      <c r="T1425" s="1" t="s">
        <v>1004</v>
      </c>
      <c r="U1425" s="1" t="s">
        <v>1004</v>
      </c>
    </row>
    <row r="1426" spans="1:21" x14ac:dyDescent="0.3">
      <c r="A1426" s="1" t="s">
        <v>2440</v>
      </c>
      <c r="B1426" s="1" t="s">
        <v>26</v>
      </c>
      <c r="C1426" s="1" t="s">
        <v>27</v>
      </c>
      <c r="D1426" s="1" t="s">
        <v>28</v>
      </c>
      <c r="E1426" s="1" t="s">
        <v>3578</v>
      </c>
      <c r="F1426" s="1" t="s">
        <v>1013</v>
      </c>
      <c r="G1426" s="1" t="s">
        <v>1023</v>
      </c>
      <c r="H1426" s="1">
        <v>4</v>
      </c>
      <c r="I1426" s="1">
        <v>5</v>
      </c>
      <c r="J1426" s="1" t="s">
        <v>2623</v>
      </c>
      <c r="K1426" s="2">
        <v>280.72000000000003</v>
      </c>
      <c r="L1426" s="1">
        <v>21</v>
      </c>
      <c r="M1426" s="2">
        <v>1122.8800000000001</v>
      </c>
      <c r="N1426" s="2">
        <v>235.8</v>
      </c>
      <c r="O1426" s="2">
        <v>887.08</v>
      </c>
      <c r="P1426" s="1">
        <v>198</v>
      </c>
      <c r="Q1426" s="2">
        <v>196.5</v>
      </c>
      <c r="R1426" s="2">
        <v>101.08</v>
      </c>
      <c r="S1426" s="1" t="s">
        <v>1011</v>
      </c>
      <c r="T1426" s="1" t="s">
        <v>1007</v>
      </c>
      <c r="U1426" s="1" t="s">
        <v>1007</v>
      </c>
    </row>
    <row r="1427" spans="1:21" x14ac:dyDescent="0.3">
      <c r="A1427" s="1" t="s">
        <v>2441</v>
      </c>
      <c r="B1427" s="1" t="s">
        <v>57</v>
      </c>
      <c r="C1427" s="1" t="s">
        <v>58</v>
      </c>
      <c r="D1427" s="1" t="s">
        <v>59</v>
      </c>
      <c r="E1427" s="1" t="s">
        <v>3579</v>
      </c>
      <c r="F1427" s="1" t="s">
        <v>1006</v>
      </c>
      <c r="G1427" s="1" t="s">
        <v>1023</v>
      </c>
      <c r="H1427" s="1">
        <v>7</v>
      </c>
      <c r="I1427" s="1">
        <v>4</v>
      </c>
      <c r="J1427" s="1" t="s">
        <v>2925</v>
      </c>
      <c r="K1427" s="2">
        <v>404.79</v>
      </c>
      <c r="L1427" s="1">
        <v>2</v>
      </c>
      <c r="M1427" s="2">
        <v>2833.53</v>
      </c>
      <c r="N1427" s="2">
        <v>56.67</v>
      </c>
      <c r="O1427" s="2">
        <v>2776.86</v>
      </c>
      <c r="P1427" s="1">
        <v>288</v>
      </c>
      <c r="Q1427" s="2">
        <v>283.35000000000002</v>
      </c>
      <c r="R1427" s="2">
        <v>793.41</v>
      </c>
      <c r="S1427" s="1" t="s">
        <v>1011</v>
      </c>
      <c r="T1427" s="1" t="s">
        <v>1004</v>
      </c>
      <c r="U1427" s="1" t="s">
        <v>1007</v>
      </c>
    </row>
    <row r="1428" spans="1:21" x14ac:dyDescent="0.3">
      <c r="A1428" s="1" t="s">
        <v>2442</v>
      </c>
      <c r="B1428" s="1" t="s">
        <v>45</v>
      </c>
      <c r="C1428" s="1" t="s">
        <v>46</v>
      </c>
      <c r="D1428" s="1" t="s">
        <v>47</v>
      </c>
      <c r="E1428" s="1" t="s">
        <v>3580</v>
      </c>
      <c r="F1428" s="1" t="s">
        <v>1013</v>
      </c>
      <c r="G1428" s="1" t="s">
        <v>1010</v>
      </c>
      <c r="H1428" s="1">
        <v>8</v>
      </c>
      <c r="I1428" s="1">
        <v>3</v>
      </c>
      <c r="J1428" s="1" t="s">
        <v>2564</v>
      </c>
      <c r="K1428" s="2">
        <v>376.79</v>
      </c>
      <c r="L1428" s="1">
        <v>22</v>
      </c>
      <c r="M1428" s="2">
        <v>3014.32</v>
      </c>
      <c r="N1428" s="2">
        <v>663.15</v>
      </c>
      <c r="O1428" s="2">
        <v>2351.17</v>
      </c>
      <c r="P1428" s="1">
        <v>178</v>
      </c>
      <c r="Q1428" s="2">
        <v>263.75</v>
      </c>
      <c r="R1428" s="2">
        <v>241.17</v>
      </c>
      <c r="S1428" s="1" t="s">
        <v>1016</v>
      </c>
      <c r="T1428" s="1" t="s">
        <v>1004</v>
      </c>
      <c r="U1428" s="1" t="s">
        <v>1007</v>
      </c>
    </row>
    <row r="1429" spans="1:21" x14ac:dyDescent="0.3">
      <c r="A1429" s="1" t="s">
        <v>2443</v>
      </c>
      <c r="B1429" s="1" t="s">
        <v>130</v>
      </c>
      <c r="C1429" s="1" t="s">
        <v>131</v>
      </c>
      <c r="D1429" s="1" t="s">
        <v>132</v>
      </c>
      <c r="E1429" s="1" t="s">
        <v>3581</v>
      </c>
      <c r="F1429" s="1" t="s">
        <v>1015</v>
      </c>
      <c r="G1429" s="1" t="s">
        <v>1002</v>
      </c>
      <c r="H1429" s="1">
        <v>14</v>
      </c>
      <c r="I1429" s="1">
        <v>3</v>
      </c>
      <c r="J1429" s="1" t="s">
        <v>2633</v>
      </c>
      <c r="K1429" s="2">
        <v>352.11</v>
      </c>
      <c r="L1429" s="1">
        <v>7</v>
      </c>
      <c r="M1429" s="2">
        <v>4929.54</v>
      </c>
      <c r="N1429" s="2">
        <v>345.07</v>
      </c>
      <c r="O1429" s="2">
        <v>4584.47</v>
      </c>
      <c r="P1429" s="1">
        <v>112</v>
      </c>
      <c r="Q1429" s="2">
        <v>246.48</v>
      </c>
      <c r="R1429" s="2">
        <v>1133.75</v>
      </c>
      <c r="S1429" s="1" t="s">
        <v>1003</v>
      </c>
      <c r="T1429" s="1" t="s">
        <v>1004</v>
      </c>
      <c r="U1429" s="1" t="s">
        <v>1007</v>
      </c>
    </row>
    <row r="1430" spans="1:21" x14ac:dyDescent="0.3">
      <c r="A1430" s="1" t="s">
        <v>2444</v>
      </c>
      <c r="B1430" s="1" t="s">
        <v>107</v>
      </c>
      <c r="C1430" s="1" t="s">
        <v>108</v>
      </c>
      <c r="D1430" s="1" t="s">
        <v>39</v>
      </c>
      <c r="E1430" s="1" t="s">
        <v>3582</v>
      </c>
      <c r="F1430" s="1" t="s">
        <v>1013</v>
      </c>
      <c r="G1430" s="1" t="s">
        <v>1023</v>
      </c>
      <c r="H1430" s="1">
        <v>8</v>
      </c>
      <c r="I1430" s="1">
        <v>2</v>
      </c>
      <c r="J1430" s="1" t="s">
        <v>2806</v>
      </c>
      <c r="K1430" s="2">
        <v>359.94</v>
      </c>
      <c r="L1430" s="1">
        <v>13</v>
      </c>
      <c r="M1430" s="2">
        <v>2879.52</v>
      </c>
      <c r="N1430" s="2">
        <v>374.34</v>
      </c>
      <c r="O1430" s="2">
        <v>2505.1799999999998</v>
      </c>
      <c r="P1430" s="1">
        <v>181</v>
      </c>
      <c r="Q1430" s="2">
        <v>251.96</v>
      </c>
      <c r="R1430" s="2">
        <v>489.5</v>
      </c>
      <c r="S1430" s="1" t="s">
        <v>1003</v>
      </c>
      <c r="T1430" s="1" t="s">
        <v>1007</v>
      </c>
      <c r="U1430" s="1" t="s">
        <v>1007</v>
      </c>
    </row>
    <row r="1431" spans="1:21" x14ac:dyDescent="0.3">
      <c r="A1431" s="1" t="s">
        <v>2445</v>
      </c>
      <c r="B1431" s="1" t="s">
        <v>83</v>
      </c>
      <c r="C1431" s="1" t="s">
        <v>84</v>
      </c>
      <c r="D1431" s="1" t="s">
        <v>85</v>
      </c>
      <c r="E1431" s="1" t="s">
        <v>3583</v>
      </c>
      <c r="F1431" s="1" t="s">
        <v>1013</v>
      </c>
      <c r="G1431" s="1" t="s">
        <v>1002</v>
      </c>
      <c r="H1431" s="1">
        <v>15</v>
      </c>
      <c r="I1431" s="1">
        <v>3</v>
      </c>
      <c r="J1431" s="1" t="s">
        <v>2870</v>
      </c>
      <c r="K1431" s="2">
        <v>416.48</v>
      </c>
      <c r="L1431" s="1">
        <v>4</v>
      </c>
      <c r="M1431" s="2">
        <v>6247.2</v>
      </c>
      <c r="N1431" s="2">
        <v>249.89</v>
      </c>
      <c r="O1431" s="2">
        <v>5997.31</v>
      </c>
      <c r="P1431" s="1">
        <v>94</v>
      </c>
      <c r="Q1431" s="2">
        <v>291.54000000000002</v>
      </c>
      <c r="R1431" s="2">
        <v>1624.21</v>
      </c>
      <c r="S1431" s="1" t="s">
        <v>1011</v>
      </c>
      <c r="T1431" s="1" t="s">
        <v>1007</v>
      </c>
      <c r="U1431" s="1" t="s">
        <v>1007</v>
      </c>
    </row>
    <row r="1432" spans="1:21" x14ac:dyDescent="0.3">
      <c r="A1432" s="1" t="s">
        <v>2446</v>
      </c>
      <c r="B1432" s="1" t="s">
        <v>37</v>
      </c>
      <c r="C1432" s="1" t="s">
        <v>38</v>
      </c>
      <c r="D1432" s="1" t="s">
        <v>39</v>
      </c>
      <c r="E1432" s="1" t="s">
        <v>3584</v>
      </c>
      <c r="F1432" s="1" t="s">
        <v>1009</v>
      </c>
      <c r="G1432" s="1" t="s">
        <v>1002</v>
      </c>
      <c r="H1432" s="1">
        <v>9</v>
      </c>
      <c r="I1432" s="1">
        <v>6</v>
      </c>
      <c r="J1432" s="1" t="s">
        <v>2833</v>
      </c>
      <c r="K1432" s="2">
        <v>454.2</v>
      </c>
      <c r="L1432" s="1">
        <v>20</v>
      </c>
      <c r="M1432" s="2">
        <v>4087.8</v>
      </c>
      <c r="N1432" s="2">
        <v>817.56</v>
      </c>
      <c r="O1432" s="2">
        <v>3270.24</v>
      </c>
      <c r="P1432" s="1">
        <v>210</v>
      </c>
      <c r="Q1432" s="2">
        <v>317.94</v>
      </c>
      <c r="R1432" s="2">
        <v>408.78</v>
      </c>
      <c r="S1432" s="1" t="s">
        <v>1016</v>
      </c>
      <c r="T1432" s="1" t="s">
        <v>1004</v>
      </c>
      <c r="U1432" s="1" t="s">
        <v>1004</v>
      </c>
    </row>
    <row r="1433" spans="1:21" x14ac:dyDescent="0.3">
      <c r="A1433" s="1" t="s">
        <v>2447</v>
      </c>
      <c r="B1433" s="1" t="s">
        <v>102</v>
      </c>
      <c r="C1433" s="1" t="s">
        <v>103</v>
      </c>
      <c r="D1433" s="1" t="s">
        <v>104</v>
      </c>
      <c r="E1433" s="1" t="s">
        <v>3585</v>
      </c>
      <c r="F1433" s="1" t="s">
        <v>1006</v>
      </c>
      <c r="G1433" s="1" t="s">
        <v>1023</v>
      </c>
      <c r="H1433" s="1">
        <v>15</v>
      </c>
      <c r="I1433" s="1">
        <v>1</v>
      </c>
      <c r="J1433" s="1" t="s">
        <v>2645</v>
      </c>
      <c r="K1433" s="2">
        <v>55.92</v>
      </c>
      <c r="L1433" s="1">
        <v>6</v>
      </c>
      <c r="M1433" s="2">
        <v>838.8</v>
      </c>
      <c r="N1433" s="2">
        <v>50.33</v>
      </c>
      <c r="O1433" s="2">
        <v>788.47</v>
      </c>
      <c r="P1433" s="1">
        <v>80</v>
      </c>
      <c r="Q1433" s="2">
        <v>39.14</v>
      </c>
      <c r="R1433" s="2">
        <v>201.37</v>
      </c>
      <c r="S1433" s="1" t="s">
        <v>1011</v>
      </c>
      <c r="T1433" s="1" t="s">
        <v>1004</v>
      </c>
      <c r="U1433" s="1" t="s">
        <v>1004</v>
      </c>
    </row>
    <row r="1434" spans="1:21" x14ac:dyDescent="0.3">
      <c r="A1434" s="1" t="s">
        <v>2448</v>
      </c>
      <c r="B1434" s="1" t="s">
        <v>95</v>
      </c>
      <c r="C1434" s="1" t="s">
        <v>96</v>
      </c>
      <c r="D1434" s="1" t="s">
        <v>97</v>
      </c>
      <c r="E1434" s="1" t="s">
        <v>3586</v>
      </c>
      <c r="F1434" s="1" t="s">
        <v>1009</v>
      </c>
      <c r="G1434" s="1" t="s">
        <v>1023</v>
      </c>
      <c r="H1434" s="1">
        <v>2</v>
      </c>
      <c r="I1434" s="1">
        <v>7</v>
      </c>
      <c r="J1434" s="1" t="s">
        <v>2764</v>
      </c>
      <c r="K1434" s="2">
        <v>191.13</v>
      </c>
      <c r="L1434" s="1">
        <v>24</v>
      </c>
      <c r="M1434" s="2">
        <v>382.26</v>
      </c>
      <c r="N1434" s="2">
        <v>91.74</v>
      </c>
      <c r="O1434" s="2">
        <v>290.52</v>
      </c>
      <c r="P1434" s="1">
        <v>140</v>
      </c>
      <c r="Q1434" s="2">
        <v>133.79</v>
      </c>
      <c r="R1434" s="2">
        <v>22.94</v>
      </c>
      <c r="S1434" s="1" t="s">
        <v>1016</v>
      </c>
      <c r="T1434" s="1" t="s">
        <v>1004</v>
      </c>
      <c r="U1434" s="1" t="s">
        <v>1004</v>
      </c>
    </row>
    <row r="1435" spans="1:21" x14ac:dyDescent="0.3">
      <c r="A1435" s="1" t="s">
        <v>2449</v>
      </c>
      <c r="B1435" s="1" t="s">
        <v>107</v>
      </c>
      <c r="C1435" s="1" t="s">
        <v>108</v>
      </c>
      <c r="D1435" s="1" t="s">
        <v>39</v>
      </c>
      <c r="E1435" s="1" t="s">
        <v>3587</v>
      </c>
      <c r="F1435" s="1" t="s">
        <v>1009</v>
      </c>
      <c r="G1435" s="1" t="s">
        <v>1010</v>
      </c>
      <c r="H1435" s="1">
        <v>3</v>
      </c>
      <c r="I1435" s="1">
        <v>6</v>
      </c>
      <c r="J1435" s="1" t="s">
        <v>2540</v>
      </c>
      <c r="K1435" s="2">
        <v>250.85</v>
      </c>
      <c r="L1435" s="1">
        <v>0</v>
      </c>
      <c r="M1435" s="2">
        <v>752.55</v>
      </c>
      <c r="N1435" s="2">
        <v>0</v>
      </c>
      <c r="O1435" s="2">
        <v>752.55</v>
      </c>
      <c r="P1435" s="1">
        <v>159</v>
      </c>
      <c r="Q1435" s="2">
        <v>175.59</v>
      </c>
      <c r="R1435" s="2">
        <v>225.78</v>
      </c>
      <c r="S1435" s="1" t="s">
        <v>1016</v>
      </c>
      <c r="T1435" s="1" t="s">
        <v>1007</v>
      </c>
      <c r="U1435" s="1" t="s">
        <v>1007</v>
      </c>
    </row>
    <row r="1436" spans="1:21" x14ac:dyDescent="0.3">
      <c r="A1436" s="1" t="s">
        <v>2450</v>
      </c>
      <c r="B1436" s="1" t="s">
        <v>118</v>
      </c>
      <c r="C1436" s="1" t="s">
        <v>119</v>
      </c>
      <c r="D1436" s="1" t="s">
        <v>97</v>
      </c>
      <c r="E1436" s="1" t="s">
        <v>3588</v>
      </c>
      <c r="F1436" s="1" t="s">
        <v>1006</v>
      </c>
      <c r="G1436" s="1" t="s">
        <v>1010</v>
      </c>
      <c r="H1436" s="1">
        <v>14</v>
      </c>
      <c r="I1436" s="1">
        <v>5</v>
      </c>
      <c r="J1436" s="1" t="s">
        <v>2652</v>
      </c>
      <c r="K1436" s="2">
        <v>431.77</v>
      </c>
      <c r="L1436" s="1">
        <v>10</v>
      </c>
      <c r="M1436" s="2">
        <v>6044.78</v>
      </c>
      <c r="N1436" s="2">
        <v>604.48</v>
      </c>
      <c r="O1436" s="2">
        <v>5440.3</v>
      </c>
      <c r="P1436" s="1">
        <v>91</v>
      </c>
      <c r="Q1436" s="2">
        <v>302.24</v>
      </c>
      <c r="R1436" s="2">
        <v>1208.94</v>
      </c>
      <c r="S1436" s="1" t="s">
        <v>1003</v>
      </c>
      <c r="T1436" s="1" t="s">
        <v>1007</v>
      </c>
      <c r="U1436" s="1" t="s">
        <v>1004</v>
      </c>
    </row>
    <row r="1437" spans="1:21" x14ac:dyDescent="0.3">
      <c r="A1437" s="1" t="s">
        <v>2451</v>
      </c>
      <c r="B1437" s="1" t="s">
        <v>57</v>
      </c>
      <c r="C1437" s="1" t="s">
        <v>58</v>
      </c>
      <c r="D1437" s="1" t="s">
        <v>59</v>
      </c>
      <c r="E1437" s="1" t="s">
        <v>3589</v>
      </c>
      <c r="F1437" s="1" t="s">
        <v>1013</v>
      </c>
      <c r="G1437" s="1" t="s">
        <v>1010</v>
      </c>
      <c r="H1437" s="1">
        <v>1</v>
      </c>
      <c r="I1437" s="1">
        <v>6</v>
      </c>
      <c r="J1437" s="1" t="s">
        <v>2531</v>
      </c>
      <c r="K1437" s="2">
        <v>310.74</v>
      </c>
      <c r="L1437" s="1">
        <v>21</v>
      </c>
      <c r="M1437" s="2">
        <v>310.74</v>
      </c>
      <c r="N1437" s="2">
        <v>65.260000000000005</v>
      </c>
      <c r="O1437" s="2">
        <v>245.48</v>
      </c>
      <c r="P1437" s="1">
        <v>170</v>
      </c>
      <c r="Q1437" s="2">
        <v>217.52</v>
      </c>
      <c r="R1437" s="2">
        <v>27.96</v>
      </c>
      <c r="S1437" s="1" t="s">
        <v>1003</v>
      </c>
      <c r="T1437" s="1" t="s">
        <v>1007</v>
      </c>
      <c r="U1437" s="1" t="s">
        <v>1007</v>
      </c>
    </row>
    <row r="1438" spans="1:21" x14ac:dyDescent="0.3">
      <c r="A1438" s="1" t="s">
        <v>2452</v>
      </c>
      <c r="B1438" s="1" t="s">
        <v>192</v>
      </c>
      <c r="C1438" s="1" t="s">
        <v>193</v>
      </c>
      <c r="D1438" s="1" t="s">
        <v>85</v>
      </c>
      <c r="E1438" s="1" t="s">
        <v>3590</v>
      </c>
      <c r="F1438" s="1" t="s">
        <v>1001</v>
      </c>
      <c r="G1438" s="1" t="s">
        <v>1023</v>
      </c>
      <c r="H1438" s="1">
        <v>15</v>
      </c>
      <c r="I1438" s="1">
        <v>4</v>
      </c>
      <c r="J1438" s="1" t="s">
        <v>2910</v>
      </c>
      <c r="K1438" s="2">
        <v>387.82</v>
      </c>
      <c r="L1438" s="1">
        <v>11</v>
      </c>
      <c r="M1438" s="2">
        <v>5817.3</v>
      </c>
      <c r="N1438" s="2">
        <v>639.9</v>
      </c>
      <c r="O1438" s="2">
        <v>5177.3999999999996</v>
      </c>
      <c r="P1438" s="1">
        <v>189</v>
      </c>
      <c r="Q1438" s="2">
        <v>271.47000000000003</v>
      </c>
      <c r="R1438" s="2">
        <v>1105.3499999999999</v>
      </c>
      <c r="S1438" s="1" t="s">
        <v>1016</v>
      </c>
      <c r="T1438" s="1" t="s">
        <v>1004</v>
      </c>
      <c r="U1438" s="1" t="s">
        <v>1007</v>
      </c>
    </row>
    <row r="1439" spans="1:21" x14ac:dyDescent="0.3">
      <c r="A1439" s="1" t="s">
        <v>2453</v>
      </c>
      <c r="B1439" s="1" t="s">
        <v>189</v>
      </c>
      <c r="C1439" s="1" t="s">
        <v>190</v>
      </c>
      <c r="D1439" s="1" t="s">
        <v>59</v>
      </c>
      <c r="E1439" s="1" t="s">
        <v>3591</v>
      </c>
      <c r="F1439" s="1" t="s">
        <v>1006</v>
      </c>
      <c r="G1439" s="1" t="s">
        <v>1023</v>
      </c>
      <c r="H1439" s="1">
        <v>2</v>
      </c>
      <c r="I1439" s="1">
        <v>7</v>
      </c>
      <c r="J1439" s="1" t="s">
        <v>2865</v>
      </c>
      <c r="K1439" s="2">
        <v>354.52</v>
      </c>
      <c r="L1439" s="1">
        <v>12</v>
      </c>
      <c r="M1439" s="2">
        <v>709.04</v>
      </c>
      <c r="N1439" s="2">
        <v>85.08</v>
      </c>
      <c r="O1439" s="2">
        <v>623.96</v>
      </c>
      <c r="P1439" s="1">
        <v>228</v>
      </c>
      <c r="Q1439" s="2">
        <v>248.16</v>
      </c>
      <c r="R1439" s="2">
        <v>127.64</v>
      </c>
      <c r="S1439" s="1" t="s">
        <v>1016</v>
      </c>
      <c r="T1439" s="1" t="s">
        <v>1004</v>
      </c>
      <c r="U1439" s="1" t="s">
        <v>1007</v>
      </c>
    </row>
    <row r="1440" spans="1:21" x14ac:dyDescent="0.3">
      <c r="A1440" s="1" t="s">
        <v>2454</v>
      </c>
      <c r="B1440" s="1" t="s">
        <v>107</v>
      </c>
      <c r="C1440" s="1" t="s">
        <v>108</v>
      </c>
      <c r="D1440" s="1" t="s">
        <v>39</v>
      </c>
      <c r="E1440" s="1" t="s">
        <v>3592</v>
      </c>
      <c r="F1440" s="1" t="s">
        <v>1001</v>
      </c>
      <c r="G1440" s="1" t="s">
        <v>1010</v>
      </c>
      <c r="H1440" s="1">
        <v>5</v>
      </c>
      <c r="I1440" s="1">
        <v>1</v>
      </c>
      <c r="J1440" s="1" t="s">
        <v>2594</v>
      </c>
      <c r="K1440" s="2">
        <v>224.35</v>
      </c>
      <c r="L1440" s="1">
        <v>6</v>
      </c>
      <c r="M1440" s="2">
        <v>1121.75</v>
      </c>
      <c r="N1440" s="2">
        <v>67.3</v>
      </c>
      <c r="O1440" s="2">
        <v>1054.45</v>
      </c>
      <c r="P1440" s="1">
        <v>278</v>
      </c>
      <c r="Q1440" s="2">
        <v>157.04</v>
      </c>
      <c r="R1440" s="2">
        <v>269.25</v>
      </c>
      <c r="S1440" s="1" t="s">
        <v>1016</v>
      </c>
      <c r="T1440" s="1" t="s">
        <v>1004</v>
      </c>
      <c r="U1440" s="1" t="s">
        <v>1007</v>
      </c>
    </row>
    <row r="1441" spans="1:21" x14ac:dyDescent="0.3">
      <c r="A1441" s="1" t="s">
        <v>2455</v>
      </c>
      <c r="B1441" s="1" t="s">
        <v>237</v>
      </c>
      <c r="C1441" s="1" t="s">
        <v>238</v>
      </c>
      <c r="D1441" s="1" t="s">
        <v>85</v>
      </c>
      <c r="E1441" s="1" t="s">
        <v>3593</v>
      </c>
      <c r="F1441" s="1" t="s">
        <v>1001</v>
      </c>
      <c r="G1441" s="1" t="s">
        <v>1023</v>
      </c>
      <c r="H1441" s="1">
        <v>12</v>
      </c>
      <c r="I1441" s="1">
        <v>1</v>
      </c>
      <c r="J1441" s="1" t="s">
        <v>2717</v>
      </c>
      <c r="K1441" s="2">
        <v>298.41000000000003</v>
      </c>
      <c r="L1441" s="1">
        <v>21</v>
      </c>
      <c r="M1441" s="2">
        <v>3580.92</v>
      </c>
      <c r="N1441" s="2">
        <v>751.99</v>
      </c>
      <c r="O1441" s="2">
        <v>2828.93</v>
      </c>
      <c r="P1441" s="1">
        <v>186</v>
      </c>
      <c r="Q1441" s="2">
        <v>208.89</v>
      </c>
      <c r="R1441" s="2">
        <v>322.25</v>
      </c>
      <c r="S1441" s="1" t="s">
        <v>1011</v>
      </c>
      <c r="T1441" s="1" t="s">
        <v>1004</v>
      </c>
      <c r="U1441" s="1" t="s">
        <v>1004</v>
      </c>
    </row>
    <row r="1442" spans="1:21" x14ac:dyDescent="0.3">
      <c r="A1442" s="1" t="s">
        <v>2456</v>
      </c>
      <c r="B1442" s="1" t="s">
        <v>37</v>
      </c>
      <c r="C1442" s="1" t="s">
        <v>38</v>
      </c>
      <c r="D1442" s="1" t="s">
        <v>39</v>
      </c>
      <c r="E1442" s="1" t="s">
        <v>3594</v>
      </c>
      <c r="F1442" s="1" t="s">
        <v>1015</v>
      </c>
      <c r="G1442" s="1" t="s">
        <v>1023</v>
      </c>
      <c r="H1442" s="1">
        <v>3</v>
      </c>
      <c r="I1442" s="1">
        <v>3</v>
      </c>
      <c r="J1442" s="1" t="s">
        <v>2798</v>
      </c>
      <c r="K1442" s="2">
        <v>249.48</v>
      </c>
      <c r="L1442" s="1">
        <v>21</v>
      </c>
      <c r="M1442" s="2">
        <v>748.44</v>
      </c>
      <c r="N1442" s="2">
        <v>157.16999999999999</v>
      </c>
      <c r="O1442" s="2">
        <v>591.27</v>
      </c>
      <c r="P1442" s="1">
        <v>75</v>
      </c>
      <c r="Q1442" s="2">
        <v>174.64</v>
      </c>
      <c r="R1442" s="2">
        <v>67.349999999999994</v>
      </c>
      <c r="S1442" s="1" t="s">
        <v>1011</v>
      </c>
      <c r="T1442" s="1" t="s">
        <v>1004</v>
      </c>
      <c r="U1442" s="1" t="s">
        <v>1004</v>
      </c>
    </row>
    <row r="1443" spans="1:21" x14ac:dyDescent="0.3">
      <c r="A1443" s="1" t="s">
        <v>2457</v>
      </c>
      <c r="B1443" s="1" t="s">
        <v>72</v>
      </c>
      <c r="C1443" s="1" t="s">
        <v>73</v>
      </c>
      <c r="D1443" s="1" t="s">
        <v>47</v>
      </c>
      <c r="E1443" s="1" t="s">
        <v>3595</v>
      </c>
      <c r="F1443" s="1" t="s">
        <v>1013</v>
      </c>
      <c r="G1443" s="1" t="s">
        <v>1023</v>
      </c>
      <c r="H1443" s="1">
        <v>4</v>
      </c>
      <c r="I1443" s="1">
        <v>7</v>
      </c>
      <c r="J1443" s="1" t="s">
        <v>2612</v>
      </c>
      <c r="K1443" s="2">
        <v>356.85</v>
      </c>
      <c r="L1443" s="1">
        <v>10</v>
      </c>
      <c r="M1443" s="2">
        <v>1427.4</v>
      </c>
      <c r="N1443" s="2">
        <v>142.74</v>
      </c>
      <c r="O1443" s="2">
        <v>1284.6600000000001</v>
      </c>
      <c r="P1443" s="1">
        <v>95</v>
      </c>
      <c r="Q1443" s="2">
        <v>249.79</v>
      </c>
      <c r="R1443" s="2">
        <v>285.5</v>
      </c>
      <c r="S1443" s="1" t="s">
        <v>1003</v>
      </c>
      <c r="T1443" s="1" t="s">
        <v>1004</v>
      </c>
      <c r="U1443" s="1" t="s">
        <v>1004</v>
      </c>
    </row>
    <row r="1444" spans="1:21" x14ac:dyDescent="0.3">
      <c r="A1444" s="1" t="s">
        <v>2458</v>
      </c>
      <c r="B1444" s="1" t="s">
        <v>111</v>
      </c>
      <c r="C1444" s="1" t="s">
        <v>112</v>
      </c>
      <c r="D1444" s="1" t="s">
        <v>97</v>
      </c>
      <c r="E1444" s="1" t="s">
        <v>3596</v>
      </c>
      <c r="F1444" s="1" t="s">
        <v>1020</v>
      </c>
      <c r="G1444" s="1" t="s">
        <v>1002</v>
      </c>
      <c r="H1444" s="1">
        <v>2</v>
      </c>
      <c r="I1444" s="1">
        <v>1</v>
      </c>
      <c r="J1444" s="1" t="s">
        <v>2564</v>
      </c>
      <c r="K1444" s="2">
        <v>178.08</v>
      </c>
      <c r="L1444" s="1">
        <v>25</v>
      </c>
      <c r="M1444" s="2">
        <v>356.16</v>
      </c>
      <c r="N1444" s="2">
        <v>89.04</v>
      </c>
      <c r="O1444" s="2">
        <v>267.12</v>
      </c>
      <c r="P1444" s="1">
        <v>67</v>
      </c>
      <c r="Q1444" s="2">
        <v>124.66</v>
      </c>
      <c r="R1444" s="2">
        <v>17.8</v>
      </c>
      <c r="S1444" s="1" t="s">
        <v>1011</v>
      </c>
      <c r="T1444" s="1" t="s">
        <v>1007</v>
      </c>
      <c r="U1444" s="1" t="s">
        <v>1007</v>
      </c>
    </row>
    <row r="1445" spans="1:21" x14ac:dyDescent="0.3">
      <c r="A1445" s="1" t="s">
        <v>2459</v>
      </c>
      <c r="B1445" s="1" t="s">
        <v>192</v>
      </c>
      <c r="C1445" s="1" t="s">
        <v>193</v>
      </c>
      <c r="D1445" s="1" t="s">
        <v>85</v>
      </c>
      <c r="E1445" s="1" t="s">
        <v>3597</v>
      </c>
      <c r="F1445" s="1" t="s">
        <v>1015</v>
      </c>
      <c r="G1445" s="1" t="s">
        <v>1002</v>
      </c>
      <c r="H1445" s="1">
        <v>6</v>
      </c>
      <c r="I1445" s="1">
        <v>3</v>
      </c>
      <c r="J1445" s="1" t="s">
        <v>2746</v>
      </c>
      <c r="K1445" s="2">
        <v>392.6</v>
      </c>
      <c r="L1445" s="1">
        <v>24</v>
      </c>
      <c r="M1445" s="2">
        <v>2355.6</v>
      </c>
      <c r="N1445" s="2">
        <v>565.34</v>
      </c>
      <c r="O1445" s="2">
        <v>1790.26</v>
      </c>
      <c r="P1445" s="1">
        <v>257</v>
      </c>
      <c r="Q1445" s="2">
        <v>274.82</v>
      </c>
      <c r="R1445" s="2">
        <v>141.34</v>
      </c>
      <c r="S1445" s="1" t="s">
        <v>1003</v>
      </c>
      <c r="T1445" s="1" t="s">
        <v>1004</v>
      </c>
      <c r="U1445" s="1" t="s">
        <v>1004</v>
      </c>
    </row>
    <row r="1446" spans="1:21" x14ac:dyDescent="0.3">
      <c r="A1446" s="1" t="s">
        <v>2460</v>
      </c>
      <c r="B1446" s="1" t="s">
        <v>189</v>
      </c>
      <c r="C1446" s="1" t="s">
        <v>190</v>
      </c>
      <c r="D1446" s="1" t="s">
        <v>59</v>
      </c>
      <c r="E1446" s="1" t="s">
        <v>3598</v>
      </c>
      <c r="F1446" s="1" t="s">
        <v>1015</v>
      </c>
      <c r="G1446" s="1" t="s">
        <v>1023</v>
      </c>
      <c r="H1446" s="1">
        <v>6</v>
      </c>
      <c r="I1446" s="1">
        <v>1</v>
      </c>
      <c r="J1446" s="1" t="s">
        <v>2773</v>
      </c>
      <c r="K1446" s="2">
        <v>357.42</v>
      </c>
      <c r="L1446" s="1">
        <v>2</v>
      </c>
      <c r="M1446" s="2">
        <v>2144.52</v>
      </c>
      <c r="N1446" s="2">
        <v>42.89</v>
      </c>
      <c r="O1446" s="2">
        <v>2101.63</v>
      </c>
      <c r="P1446" s="1">
        <v>186</v>
      </c>
      <c r="Q1446" s="2">
        <v>250.19</v>
      </c>
      <c r="R1446" s="2">
        <v>600.49</v>
      </c>
      <c r="S1446" s="1" t="s">
        <v>1016</v>
      </c>
      <c r="T1446" s="1" t="s">
        <v>1007</v>
      </c>
      <c r="U1446" s="1" t="s">
        <v>1007</v>
      </c>
    </row>
    <row r="1447" spans="1:21" x14ac:dyDescent="0.3">
      <c r="A1447" s="1" t="s">
        <v>2461</v>
      </c>
      <c r="B1447" s="1" t="s">
        <v>107</v>
      </c>
      <c r="C1447" s="1" t="s">
        <v>108</v>
      </c>
      <c r="D1447" s="1" t="s">
        <v>39</v>
      </c>
      <c r="E1447" s="1" t="s">
        <v>3599</v>
      </c>
      <c r="F1447" s="1" t="s">
        <v>1027</v>
      </c>
      <c r="G1447" s="1" t="s">
        <v>1023</v>
      </c>
      <c r="H1447" s="1">
        <v>11</v>
      </c>
      <c r="I1447" s="1">
        <v>2</v>
      </c>
      <c r="J1447" s="1" t="s">
        <v>2585</v>
      </c>
      <c r="K1447" s="2">
        <v>303.29000000000002</v>
      </c>
      <c r="L1447" s="1">
        <v>18</v>
      </c>
      <c r="M1447" s="2">
        <v>3336.19</v>
      </c>
      <c r="N1447" s="2">
        <v>600.51</v>
      </c>
      <c r="O1447" s="2">
        <v>2735.68</v>
      </c>
      <c r="P1447" s="1">
        <v>59</v>
      </c>
      <c r="Q1447" s="2">
        <v>212.3</v>
      </c>
      <c r="R1447" s="2">
        <v>400.38</v>
      </c>
      <c r="S1447" s="1" t="s">
        <v>1003</v>
      </c>
      <c r="T1447" s="1" t="s">
        <v>1004</v>
      </c>
      <c r="U1447" s="1" t="s">
        <v>1004</v>
      </c>
    </row>
    <row r="1448" spans="1:21" x14ac:dyDescent="0.3">
      <c r="A1448" s="1" t="s">
        <v>2462</v>
      </c>
      <c r="B1448" s="1" t="s">
        <v>83</v>
      </c>
      <c r="C1448" s="1" t="s">
        <v>84</v>
      </c>
      <c r="D1448" s="1" t="s">
        <v>85</v>
      </c>
      <c r="E1448" s="1" t="s">
        <v>3600</v>
      </c>
      <c r="F1448" s="1" t="s">
        <v>1020</v>
      </c>
      <c r="G1448" s="1" t="s">
        <v>1002</v>
      </c>
      <c r="H1448" s="1">
        <v>1</v>
      </c>
      <c r="I1448" s="1">
        <v>6</v>
      </c>
      <c r="J1448" s="1" t="s">
        <v>2719</v>
      </c>
      <c r="K1448" s="2">
        <v>409.31</v>
      </c>
      <c r="L1448" s="1">
        <v>3</v>
      </c>
      <c r="M1448" s="2">
        <v>409.31</v>
      </c>
      <c r="N1448" s="2">
        <v>12.28</v>
      </c>
      <c r="O1448" s="2">
        <v>397.03</v>
      </c>
      <c r="P1448" s="1">
        <v>240</v>
      </c>
      <c r="Q1448" s="2">
        <v>286.52</v>
      </c>
      <c r="R1448" s="2">
        <v>110.51</v>
      </c>
      <c r="S1448" s="1" t="s">
        <v>1016</v>
      </c>
      <c r="T1448" s="1" t="s">
        <v>1007</v>
      </c>
      <c r="U1448" s="1" t="s">
        <v>1004</v>
      </c>
    </row>
    <row r="1449" spans="1:21" x14ac:dyDescent="0.3">
      <c r="A1449" s="1" t="s">
        <v>2463</v>
      </c>
      <c r="B1449" s="1" t="s">
        <v>130</v>
      </c>
      <c r="C1449" s="1" t="s">
        <v>131</v>
      </c>
      <c r="D1449" s="1" t="s">
        <v>132</v>
      </c>
      <c r="E1449" s="1" t="s">
        <v>3601</v>
      </c>
      <c r="F1449" s="1" t="s">
        <v>1027</v>
      </c>
      <c r="G1449" s="1" t="s">
        <v>1002</v>
      </c>
      <c r="H1449" s="1">
        <v>9</v>
      </c>
      <c r="I1449" s="1">
        <v>7</v>
      </c>
      <c r="J1449" s="1" t="s">
        <v>2527</v>
      </c>
      <c r="K1449" s="2">
        <v>67.44</v>
      </c>
      <c r="L1449" s="1">
        <v>6</v>
      </c>
      <c r="M1449" s="2">
        <v>606.96</v>
      </c>
      <c r="N1449" s="2">
        <v>36.42</v>
      </c>
      <c r="O1449" s="2">
        <v>570.54</v>
      </c>
      <c r="P1449" s="1">
        <v>225</v>
      </c>
      <c r="Q1449" s="2">
        <v>47.21</v>
      </c>
      <c r="R1449" s="2">
        <v>145.65</v>
      </c>
      <c r="S1449" s="1" t="s">
        <v>1011</v>
      </c>
      <c r="T1449" s="1" t="s">
        <v>1007</v>
      </c>
      <c r="U1449" s="1" t="s">
        <v>1007</v>
      </c>
    </row>
    <row r="1450" spans="1:21" x14ac:dyDescent="0.3">
      <c r="A1450" s="1" t="s">
        <v>2464</v>
      </c>
      <c r="B1450" s="1" t="s">
        <v>95</v>
      </c>
      <c r="C1450" s="1" t="s">
        <v>96</v>
      </c>
      <c r="D1450" s="1" t="s">
        <v>97</v>
      </c>
      <c r="E1450" s="1" t="s">
        <v>3602</v>
      </c>
      <c r="F1450" s="1" t="s">
        <v>1009</v>
      </c>
      <c r="G1450" s="1" t="s">
        <v>1010</v>
      </c>
      <c r="H1450" s="1">
        <v>8</v>
      </c>
      <c r="I1450" s="1">
        <v>1</v>
      </c>
      <c r="J1450" s="1" t="s">
        <v>2745</v>
      </c>
      <c r="K1450" s="2">
        <v>409.21</v>
      </c>
      <c r="L1450" s="1">
        <v>24</v>
      </c>
      <c r="M1450" s="2">
        <v>3273.68</v>
      </c>
      <c r="N1450" s="2">
        <v>785.68</v>
      </c>
      <c r="O1450" s="2">
        <v>2488</v>
      </c>
      <c r="P1450" s="1">
        <v>57</v>
      </c>
      <c r="Q1450" s="2">
        <v>286.45</v>
      </c>
      <c r="R1450" s="2">
        <v>196.4</v>
      </c>
      <c r="S1450" s="1" t="s">
        <v>1016</v>
      </c>
      <c r="T1450" s="1" t="s">
        <v>1004</v>
      </c>
      <c r="U1450" s="1" t="s">
        <v>1004</v>
      </c>
    </row>
    <row r="1451" spans="1:21" x14ac:dyDescent="0.3">
      <c r="A1451" s="1" t="s">
        <v>2465</v>
      </c>
      <c r="B1451" s="1" t="s">
        <v>192</v>
      </c>
      <c r="C1451" s="1" t="s">
        <v>193</v>
      </c>
      <c r="D1451" s="1" t="s">
        <v>85</v>
      </c>
      <c r="E1451" s="1" t="s">
        <v>3603</v>
      </c>
      <c r="F1451" s="1" t="s">
        <v>1009</v>
      </c>
      <c r="G1451" s="1" t="s">
        <v>1002</v>
      </c>
      <c r="H1451" s="1">
        <v>7</v>
      </c>
      <c r="I1451" s="1">
        <v>1</v>
      </c>
      <c r="J1451" s="1" t="s">
        <v>2587</v>
      </c>
      <c r="K1451" s="2">
        <v>83.78</v>
      </c>
      <c r="L1451" s="1">
        <v>24</v>
      </c>
      <c r="M1451" s="2">
        <v>586.46</v>
      </c>
      <c r="N1451" s="2">
        <v>140.75</v>
      </c>
      <c r="O1451" s="2">
        <v>445.71</v>
      </c>
      <c r="P1451" s="1">
        <v>137</v>
      </c>
      <c r="Q1451" s="2">
        <v>58.65</v>
      </c>
      <c r="R1451" s="2">
        <v>35.159999999999997</v>
      </c>
      <c r="S1451" s="1" t="s">
        <v>1003</v>
      </c>
      <c r="T1451" s="1" t="s">
        <v>1007</v>
      </c>
      <c r="U1451" s="1" t="s">
        <v>1004</v>
      </c>
    </row>
    <row r="1452" spans="1:21" x14ac:dyDescent="0.3">
      <c r="A1452" s="1" t="s">
        <v>2466</v>
      </c>
      <c r="B1452" s="1" t="s">
        <v>123</v>
      </c>
      <c r="C1452" s="1" t="s">
        <v>124</v>
      </c>
      <c r="D1452" s="1" t="s">
        <v>47</v>
      </c>
      <c r="E1452" s="1" t="s">
        <v>3604</v>
      </c>
      <c r="F1452" s="1" t="s">
        <v>1001</v>
      </c>
      <c r="G1452" s="1" t="s">
        <v>1023</v>
      </c>
      <c r="H1452" s="1">
        <v>14</v>
      </c>
      <c r="I1452" s="1">
        <v>3</v>
      </c>
      <c r="J1452" s="1" t="s">
        <v>2700</v>
      </c>
      <c r="K1452" s="2">
        <v>211.96</v>
      </c>
      <c r="L1452" s="1">
        <v>2</v>
      </c>
      <c r="M1452" s="2">
        <v>2967.44</v>
      </c>
      <c r="N1452" s="2">
        <v>59.35</v>
      </c>
      <c r="O1452" s="2">
        <v>2908.09</v>
      </c>
      <c r="P1452" s="1">
        <v>206</v>
      </c>
      <c r="Q1452" s="2">
        <v>148.37</v>
      </c>
      <c r="R1452" s="2">
        <v>830.91</v>
      </c>
      <c r="S1452" s="1" t="s">
        <v>1016</v>
      </c>
      <c r="T1452" s="1" t="s">
        <v>1004</v>
      </c>
      <c r="U1452" s="1" t="s">
        <v>1004</v>
      </c>
    </row>
    <row r="1453" spans="1:21" x14ac:dyDescent="0.3">
      <c r="A1453" s="1" t="s">
        <v>2467</v>
      </c>
      <c r="B1453" s="1" t="s">
        <v>45</v>
      </c>
      <c r="C1453" s="1" t="s">
        <v>46</v>
      </c>
      <c r="D1453" s="1" t="s">
        <v>47</v>
      </c>
      <c r="E1453" s="1" t="s">
        <v>3605</v>
      </c>
      <c r="F1453" s="1" t="s">
        <v>1015</v>
      </c>
      <c r="G1453" s="1" t="s">
        <v>1023</v>
      </c>
      <c r="H1453" s="1">
        <v>2</v>
      </c>
      <c r="I1453" s="1">
        <v>6</v>
      </c>
      <c r="J1453" s="1" t="s">
        <v>2674</v>
      </c>
      <c r="K1453" s="2">
        <v>414.06</v>
      </c>
      <c r="L1453" s="1">
        <v>14</v>
      </c>
      <c r="M1453" s="2">
        <v>828.12</v>
      </c>
      <c r="N1453" s="2">
        <v>115.94</v>
      </c>
      <c r="O1453" s="2">
        <v>712.18</v>
      </c>
      <c r="P1453" s="1">
        <v>275</v>
      </c>
      <c r="Q1453" s="2">
        <v>289.83999999999997</v>
      </c>
      <c r="R1453" s="2">
        <v>132.5</v>
      </c>
      <c r="S1453" s="1" t="s">
        <v>1016</v>
      </c>
      <c r="T1453" s="1" t="s">
        <v>1004</v>
      </c>
      <c r="U1453" s="1" t="s">
        <v>1004</v>
      </c>
    </row>
    <row r="1454" spans="1:21" x14ac:dyDescent="0.3">
      <c r="A1454" s="1" t="s">
        <v>2468</v>
      </c>
      <c r="B1454" s="1" t="s">
        <v>130</v>
      </c>
      <c r="C1454" s="1" t="s">
        <v>131</v>
      </c>
      <c r="D1454" s="1" t="s">
        <v>132</v>
      </c>
      <c r="E1454" s="1" t="s">
        <v>3606</v>
      </c>
      <c r="F1454" s="1" t="s">
        <v>1001</v>
      </c>
      <c r="G1454" s="1" t="s">
        <v>1023</v>
      </c>
      <c r="H1454" s="1">
        <v>8</v>
      </c>
      <c r="I1454" s="1">
        <v>7</v>
      </c>
      <c r="J1454" s="1" t="s">
        <v>2779</v>
      </c>
      <c r="K1454" s="2">
        <v>150.1</v>
      </c>
      <c r="L1454" s="1">
        <v>20</v>
      </c>
      <c r="M1454" s="2">
        <v>1200.8</v>
      </c>
      <c r="N1454" s="2">
        <v>240.16</v>
      </c>
      <c r="O1454" s="2">
        <v>960.64</v>
      </c>
      <c r="P1454" s="1">
        <v>265</v>
      </c>
      <c r="Q1454" s="2">
        <v>105.07</v>
      </c>
      <c r="R1454" s="2">
        <v>120.08</v>
      </c>
      <c r="S1454" s="1" t="s">
        <v>1011</v>
      </c>
      <c r="T1454" s="1" t="s">
        <v>1004</v>
      </c>
      <c r="U1454" s="1" t="s">
        <v>1004</v>
      </c>
    </row>
    <row r="1455" spans="1:21" x14ac:dyDescent="0.3">
      <c r="A1455" s="1" t="s">
        <v>2469</v>
      </c>
      <c r="B1455" s="1" t="s">
        <v>45</v>
      </c>
      <c r="C1455" s="1" t="s">
        <v>46</v>
      </c>
      <c r="D1455" s="1" t="s">
        <v>47</v>
      </c>
      <c r="E1455" s="1" t="s">
        <v>3607</v>
      </c>
      <c r="F1455" s="1" t="s">
        <v>1015</v>
      </c>
      <c r="G1455" s="1" t="s">
        <v>1010</v>
      </c>
      <c r="H1455" s="1">
        <v>3</v>
      </c>
      <c r="I1455" s="1">
        <v>6</v>
      </c>
      <c r="J1455" s="1" t="s">
        <v>2672</v>
      </c>
      <c r="K1455" s="2">
        <v>81.319999999999993</v>
      </c>
      <c r="L1455" s="1">
        <v>5</v>
      </c>
      <c r="M1455" s="2">
        <v>243.96</v>
      </c>
      <c r="N1455" s="2">
        <v>12.2</v>
      </c>
      <c r="O1455" s="2">
        <v>231.76</v>
      </c>
      <c r="P1455" s="1">
        <v>294</v>
      </c>
      <c r="Q1455" s="2">
        <v>56.92</v>
      </c>
      <c r="R1455" s="2">
        <v>61</v>
      </c>
      <c r="S1455" s="1" t="s">
        <v>1003</v>
      </c>
      <c r="T1455" s="1" t="s">
        <v>1007</v>
      </c>
      <c r="U1455" s="1" t="s">
        <v>1007</v>
      </c>
    </row>
    <row r="1456" spans="1:21" x14ac:dyDescent="0.3">
      <c r="A1456" s="1" t="s">
        <v>2470</v>
      </c>
      <c r="B1456" s="1" t="s">
        <v>130</v>
      </c>
      <c r="C1456" s="1" t="s">
        <v>131</v>
      </c>
      <c r="D1456" s="1" t="s">
        <v>132</v>
      </c>
      <c r="E1456" s="1" t="s">
        <v>3608</v>
      </c>
      <c r="F1456" s="1" t="s">
        <v>1015</v>
      </c>
      <c r="G1456" s="1" t="s">
        <v>1002</v>
      </c>
      <c r="H1456" s="1">
        <v>2</v>
      </c>
      <c r="I1456" s="1">
        <v>4</v>
      </c>
      <c r="J1456" s="1" t="s">
        <v>2883</v>
      </c>
      <c r="K1456" s="2">
        <v>442.38</v>
      </c>
      <c r="L1456" s="1">
        <v>23</v>
      </c>
      <c r="M1456" s="2">
        <v>884.76</v>
      </c>
      <c r="N1456" s="2">
        <v>203.49</v>
      </c>
      <c r="O1456" s="2">
        <v>681.27</v>
      </c>
      <c r="P1456" s="1">
        <v>191</v>
      </c>
      <c r="Q1456" s="2">
        <v>309.67</v>
      </c>
      <c r="R1456" s="2">
        <v>61.93</v>
      </c>
      <c r="S1456" s="1" t="s">
        <v>1011</v>
      </c>
      <c r="T1456" s="1" t="s">
        <v>1007</v>
      </c>
      <c r="U1456" s="1" t="s">
        <v>1007</v>
      </c>
    </row>
    <row r="1457" spans="1:21" x14ac:dyDescent="0.3">
      <c r="A1457" s="1" t="s">
        <v>2471</v>
      </c>
      <c r="B1457" s="1" t="s">
        <v>77</v>
      </c>
      <c r="C1457" s="1" t="s">
        <v>78</v>
      </c>
      <c r="D1457" s="1" t="s">
        <v>47</v>
      </c>
      <c r="E1457" s="1" t="s">
        <v>3609</v>
      </c>
      <c r="F1457" s="1" t="s">
        <v>1013</v>
      </c>
      <c r="G1457" s="1" t="s">
        <v>1002</v>
      </c>
      <c r="H1457" s="1">
        <v>6</v>
      </c>
      <c r="I1457" s="1">
        <v>1</v>
      </c>
      <c r="J1457" s="1" t="s">
        <v>2651</v>
      </c>
      <c r="K1457" s="2">
        <v>218.74</v>
      </c>
      <c r="L1457" s="1">
        <v>18</v>
      </c>
      <c r="M1457" s="2">
        <v>1312.44</v>
      </c>
      <c r="N1457" s="2">
        <v>236.24</v>
      </c>
      <c r="O1457" s="2">
        <v>1076.2</v>
      </c>
      <c r="P1457" s="1">
        <v>123</v>
      </c>
      <c r="Q1457" s="2">
        <v>153.12</v>
      </c>
      <c r="R1457" s="2">
        <v>157.47999999999999</v>
      </c>
      <c r="S1457" s="1" t="s">
        <v>1016</v>
      </c>
      <c r="T1457" s="1" t="s">
        <v>1004</v>
      </c>
      <c r="U1457" s="1" t="s">
        <v>1004</v>
      </c>
    </row>
    <row r="1458" spans="1:21" x14ac:dyDescent="0.3">
      <c r="A1458" s="1" t="s">
        <v>2472</v>
      </c>
      <c r="B1458" s="1" t="s">
        <v>192</v>
      </c>
      <c r="C1458" s="1" t="s">
        <v>193</v>
      </c>
      <c r="D1458" s="1" t="s">
        <v>85</v>
      </c>
      <c r="E1458" s="1" t="s">
        <v>3610</v>
      </c>
      <c r="F1458" s="1" t="s">
        <v>1001</v>
      </c>
      <c r="G1458" s="1" t="s">
        <v>1002</v>
      </c>
      <c r="H1458" s="1">
        <v>11</v>
      </c>
      <c r="I1458" s="1">
        <v>2</v>
      </c>
      <c r="J1458" s="1" t="s">
        <v>2724</v>
      </c>
      <c r="K1458" s="2">
        <v>207.29</v>
      </c>
      <c r="L1458" s="1">
        <v>7</v>
      </c>
      <c r="M1458" s="2">
        <v>2280.19</v>
      </c>
      <c r="N1458" s="2">
        <v>159.61000000000001</v>
      </c>
      <c r="O1458" s="2">
        <v>2120.58</v>
      </c>
      <c r="P1458" s="1">
        <v>168</v>
      </c>
      <c r="Q1458" s="2">
        <v>145.1</v>
      </c>
      <c r="R1458" s="2">
        <v>524.48</v>
      </c>
      <c r="S1458" s="1" t="s">
        <v>1011</v>
      </c>
      <c r="T1458" s="1" t="s">
        <v>1007</v>
      </c>
      <c r="U1458" s="1" t="s">
        <v>1007</v>
      </c>
    </row>
    <row r="1459" spans="1:21" x14ac:dyDescent="0.3">
      <c r="A1459" s="1" t="s">
        <v>2473</v>
      </c>
      <c r="B1459" s="1" t="s">
        <v>57</v>
      </c>
      <c r="C1459" s="1" t="s">
        <v>58</v>
      </c>
      <c r="D1459" s="1" t="s">
        <v>59</v>
      </c>
      <c r="E1459" s="1" t="s">
        <v>3611</v>
      </c>
      <c r="F1459" s="1" t="s">
        <v>1027</v>
      </c>
      <c r="G1459" s="1" t="s">
        <v>1023</v>
      </c>
      <c r="H1459" s="1">
        <v>15</v>
      </c>
      <c r="I1459" s="1">
        <v>1</v>
      </c>
      <c r="J1459" s="1" t="s">
        <v>2517</v>
      </c>
      <c r="K1459" s="2">
        <v>489.85</v>
      </c>
      <c r="L1459" s="1">
        <v>2</v>
      </c>
      <c r="M1459" s="2">
        <v>7347.75</v>
      </c>
      <c r="N1459" s="2">
        <v>146.96</v>
      </c>
      <c r="O1459" s="2">
        <v>7200.79</v>
      </c>
      <c r="P1459" s="1">
        <v>174</v>
      </c>
      <c r="Q1459" s="2">
        <v>342.89</v>
      </c>
      <c r="R1459" s="2">
        <v>2057.44</v>
      </c>
      <c r="S1459" s="1" t="s">
        <v>1003</v>
      </c>
      <c r="T1459" s="1" t="s">
        <v>1007</v>
      </c>
      <c r="U1459" s="1" t="s">
        <v>1004</v>
      </c>
    </row>
    <row r="1460" spans="1:21" x14ac:dyDescent="0.3">
      <c r="A1460" s="1" t="s">
        <v>2474</v>
      </c>
      <c r="B1460" s="1" t="s">
        <v>52</v>
      </c>
      <c r="C1460" s="1" t="s">
        <v>53</v>
      </c>
      <c r="D1460" s="1" t="s">
        <v>47</v>
      </c>
      <c r="E1460" s="1" t="s">
        <v>3612</v>
      </c>
      <c r="F1460" s="1" t="s">
        <v>1027</v>
      </c>
      <c r="G1460" s="1" t="s">
        <v>1002</v>
      </c>
      <c r="H1460" s="1">
        <v>5</v>
      </c>
      <c r="I1460" s="1">
        <v>1</v>
      </c>
      <c r="J1460" s="1" t="s">
        <v>2943</v>
      </c>
      <c r="K1460" s="2">
        <v>212.69</v>
      </c>
      <c r="L1460" s="1">
        <v>1</v>
      </c>
      <c r="M1460" s="2">
        <v>1063.45</v>
      </c>
      <c r="N1460" s="2">
        <v>10.63</v>
      </c>
      <c r="O1460" s="2">
        <v>1052.82</v>
      </c>
      <c r="P1460" s="1">
        <v>119</v>
      </c>
      <c r="Q1460" s="2">
        <v>148.88</v>
      </c>
      <c r="R1460" s="2">
        <v>308.42</v>
      </c>
      <c r="S1460" s="1" t="s">
        <v>1011</v>
      </c>
      <c r="T1460" s="1" t="s">
        <v>1004</v>
      </c>
      <c r="U1460" s="1" t="s">
        <v>1007</v>
      </c>
    </row>
    <row r="1461" spans="1:21" x14ac:dyDescent="0.3">
      <c r="A1461" s="1" t="s">
        <v>2475</v>
      </c>
      <c r="B1461" s="1" t="s">
        <v>123</v>
      </c>
      <c r="C1461" s="1" t="s">
        <v>124</v>
      </c>
      <c r="D1461" s="1" t="s">
        <v>47</v>
      </c>
      <c r="E1461" s="1" t="s">
        <v>3613</v>
      </c>
      <c r="F1461" s="1" t="s">
        <v>1020</v>
      </c>
      <c r="G1461" s="1" t="s">
        <v>1023</v>
      </c>
      <c r="H1461" s="1">
        <v>3</v>
      </c>
      <c r="I1461" s="1">
        <v>5</v>
      </c>
      <c r="J1461" s="1" t="s">
        <v>2648</v>
      </c>
      <c r="K1461" s="2">
        <v>220.07</v>
      </c>
      <c r="L1461" s="1">
        <v>22</v>
      </c>
      <c r="M1461" s="2">
        <v>660.21</v>
      </c>
      <c r="N1461" s="2">
        <v>145.25</v>
      </c>
      <c r="O1461" s="2">
        <v>514.96</v>
      </c>
      <c r="P1461" s="1">
        <v>61</v>
      </c>
      <c r="Q1461" s="2">
        <v>154.05000000000001</v>
      </c>
      <c r="R1461" s="2">
        <v>52.81</v>
      </c>
      <c r="S1461" s="1" t="s">
        <v>1016</v>
      </c>
      <c r="T1461" s="1" t="s">
        <v>1004</v>
      </c>
      <c r="U1461" s="1" t="s">
        <v>1007</v>
      </c>
    </row>
    <row r="1462" spans="1:21" x14ac:dyDescent="0.3">
      <c r="A1462" s="1" t="s">
        <v>2476</v>
      </c>
      <c r="B1462" s="1" t="s">
        <v>192</v>
      </c>
      <c r="C1462" s="1" t="s">
        <v>193</v>
      </c>
      <c r="D1462" s="1" t="s">
        <v>85</v>
      </c>
      <c r="E1462" s="1" t="s">
        <v>3614</v>
      </c>
      <c r="F1462" s="1" t="s">
        <v>1027</v>
      </c>
      <c r="G1462" s="1" t="s">
        <v>1002</v>
      </c>
      <c r="H1462" s="1">
        <v>10</v>
      </c>
      <c r="I1462" s="1">
        <v>2</v>
      </c>
      <c r="J1462" s="1" t="s">
        <v>2516</v>
      </c>
      <c r="K1462" s="2">
        <v>349.39</v>
      </c>
      <c r="L1462" s="1">
        <v>17</v>
      </c>
      <c r="M1462" s="2">
        <v>3493.9</v>
      </c>
      <c r="N1462" s="2">
        <v>593.96</v>
      </c>
      <c r="O1462" s="2">
        <v>2899.94</v>
      </c>
      <c r="P1462" s="1">
        <v>122</v>
      </c>
      <c r="Q1462" s="2">
        <v>244.57</v>
      </c>
      <c r="R1462" s="2">
        <v>454.24</v>
      </c>
      <c r="S1462" s="1" t="s">
        <v>1011</v>
      </c>
      <c r="T1462" s="1" t="s">
        <v>1004</v>
      </c>
      <c r="U1462" s="1" t="s">
        <v>1004</v>
      </c>
    </row>
    <row r="1463" spans="1:21" x14ac:dyDescent="0.3">
      <c r="A1463" s="1" t="s">
        <v>2477</v>
      </c>
      <c r="B1463" s="1" t="s">
        <v>176</v>
      </c>
      <c r="C1463" s="1" t="s">
        <v>177</v>
      </c>
      <c r="D1463" s="1" t="s">
        <v>39</v>
      </c>
      <c r="E1463" s="1" t="s">
        <v>3615</v>
      </c>
      <c r="F1463" s="1" t="s">
        <v>1015</v>
      </c>
      <c r="G1463" s="1" t="s">
        <v>1002</v>
      </c>
      <c r="H1463" s="1">
        <v>5</v>
      </c>
      <c r="I1463" s="1">
        <v>2</v>
      </c>
      <c r="J1463" s="1" t="s">
        <v>2848</v>
      </c>
      <c r="K1463" s="2">
        <v>66.47</v>
      </c>
      <c r="L1463" s="1">
        <v>22</v>
      </c>
      <c r="M1463" s="2">
        <v>332.35</v>
      </c>
      <c r="N1463" s="2">
        <v>73.12</v>
      </c>
      <c r="O1463" s="2">
        <v>259.23</v>
      </c>
      <c r="P1463" s="1">
        <v>273</v>
      </c>
      <c r="Q1463" s="2">
        <v>46.53</v>
      </c>
      <c r="R1463" s="2">
        <v>26.58</v>
      </c>
      <c r="S1463" s="1" t="s">
        <v>1011</v>
      </c>
      <c r="T1463" s="1" t="s">
        <v>1007</v>
      </c>
      <c r="U1463" s="1" t="s">
        <v>1004</v>
      </c>
    </row>
    <row r="1464" spans="1:21" x14ac:dyDescent="0.3">
      <c r="A1464" s="1" t="s">
        <v>2478</v>
      </c>
      <c r="B1464" s="1" t="s">
        <v>111</v>
      </c>
      <c r="C1464" s="1" t="s">
        <v>112</v>
      </c>
      <c r="D1464" s="1" t="s">
        <v>97</v>
      </c>
      <c r="E1464" s="1" t="s">
        <v>3616</v>
      </c>
      <c r="F1464" s="1" t="s">
        <v>1006</v>
      </c>
      <c r="G1464" s="1" t="s">
        <v>1023</v>
      </c>
      <c r="H1464" s="1">
        <v>7</v>
      </c>
      <c r="I1464" s="1">
        <v>5</v>
      </c>
      <c r="J1464" s="1" t="s">
        <v>2536</v>
      </c>
      <c r="K1464" s="2">
        <v>375.92</v>
      </c>
      <c r="L1464" s="1">
        <v>19</v>
      </c>
      <c r="M1464" s="2">
        <v>2631.44</v>
      </c>
      <c r="N1464" s="2">
        <v>499.97</v>
      </c>
      <c r="O1464" s="2">
        <v>2131.4699999999998</v>
      </c>
      <c r="P1464" s="1">
        <v>161</v>
      </c>
      <c r="Q1464" s="2">
        <v>263.14</v>
      </c>
      <c r="R1464" s="2">
        <v>289.49</v>
      </c>
      <c r="S1464" s="1" t="s">
        <v>1011</v>
      </c>
      <c r="T1464" s="1" t="s">
        <v>1004</v>
      </c>
      <c r="U1464" s="1" t="s">
        <v>1007</v>
      </c>
    </row>
    <row r="1465" spans="1:21" x14ac:dyDescent="0.3">
      <c r="A1465" s="1" t="s">
        <v>2479</v>
      </c>
      <c r="B1465" s="1" t="s">
        <v>26</v>
      </c>
      <c r="C1465" s="1" t="s">
        <v>27</v>
      </c>
      <c r="D1465" s="1" t="s">
        <v>28</v>
      </c>
      <c r="E1465" s="1" t="s">
        <v>3617</v>
      </c>
      <c r="F1465" s="1" t="s">
        <v>1020</v>
      </c>
      <c r="G1465" s="1" t="s">
        <v>1002</v>
      </c>
      <c r="H1465" s="1">
        <v>15</v>
      </c>
      <c r="I1465" s="1">
        <v>2</v>
      </c>
      <c r="J1465" s="1" t="s">
        <v>2615</v>
      </c>
      <c r="K1465" s="2">
        <v>455.39</v>
      </c>
      <c r="L1465" s="1">
        <v>0</v>
      </c>
      <c r="M1465" s="2">
        <v>6830.85</v>
      </c>
      <c r="N1465" s="2">
        <v>0</v>
      </c>
      <c r="O1465" s="2">
        <v>6830.85</v>
      </c>
      <c r="P1465" s="1">
        <v>196</v>
      </c>
      <c r="Q1465" s="2">
        <v>318.77</v>
      </c>
      <c r="R1465" s="2">
        <v>2049.3000000000002</v>
      </c>
      <c r="S1465" s="1" t="s">
        <v>1016</v>
      </c>
      <c r="T1465" s="1" t="s">
        <v>1004</v>
      </c>
      <c r="U1465" s="1" t="s">
        <v>1004</v>
      </c>
    </row>
    <row r="1466" spans="1:21" x14ac:dyDescent="0.3">
      <c r="A1466" s="1" t="s">
        <v>2480</v>
      </c>
      <c r="B1466" s="1" t="s">
        <v>237</v>
      </c>
      <c r="C1466" s="1" t="s">
        <v>238</v>
      </c>
      <c r="D1466" s="1" t="s">
        <v>85</v>
      </c>
      <c r="E1466" s="1" t="s">
        <v>3618</v>
      </c>
      <c r="F1466" s="1" t="s">
        <v>1013</v>
      </c>
      <c r="G1466" s="1" t="s">
        <v>1010</v>
      </c>
      <c r="H1466" s="1">
        <v>13</v>
      </c>
      <c r="I1466" s="1">
        <v>4</v>
      </c>
      <c r="J1466" s="1" t="s">
        <v>2770</v>
      </c>
      <c r="K1466" s="2">
        <v>228.74</v>
      </c>
      <c r="L1466" s="1">
        <v>24</v>
      </c>
      <c r="M1466" s="2">
        <v>2973.62</v>
      </c>
      <c r="N1466" s="2">
        <v>713.67</v>
      </c>
      <c r="O1466" s="2">
        <v>2259.9499999999998</v>
      </c>
      <c r="P1466" s="1">
        <v>236</v>
      </c>
      <c r="Q1466" s="2">
        <v>160.12</v>
      </c>
      <c r="R1466" s="2">
        <v>178.39</v>
      </c>
      <c r="S1466" s="1" t="s">
        <v>1003</v>
      </c>
      <c r="T1466" s="1" t="s">
        <v>1004</v>
      </c>
      <c r="U1466" s="1" t="s">
        <v>1007</v>
      </c>
    </row>
    <row r="1467" spans="1:21" x14ac:dyDescent="0.3">
      <c r="A1467" s="1" t="s">
        <v>2481</v>
      </c>
      <c r="B1467" s="1" t="s">
        <v>192</v>
      </c>
      <c r="C1467" s="1" t="s">
        <v>193</v>
      </c>
      <c r="D1467" s="1" t="s">
        <v>85</v>
      </c>
      <c r="E1467" s="1" t="s">
        <v>3619</v>
      </c>
      <c r="F1467" s="1" t="s">
        <v>1020</v>
      </c>
      <c r="G1467" s="1" t="s">
        <v>1002</v>
      </c>
      <c r="H1467" s="1">
        <v>6</v>
      </c>
      <c r="I1467" s="1">
        <v>5</v>
      </c>
      <c r="J1467" s="1" t="s">
        <v>2596</v>
      </c>
      <c r="K1467" s="2">
        <v>162.69</v>
      </c>
      <c r="L1467" s="1">
        <v>10</v>
      </c>
      <c r="M1467" s="2">
        <v>976.14</v>
      </c>
      <c r="N1467" s="2">
        <v>97.61</v>
      </c>
      <c r="O1467" s="2">
        <v>878.53</v>
      </c>
      <c r="P1467" s="1">
        <v>158</v>
      </c>
      <c r="Q1467" s="2">
        <v>113.88</v>
      </c>
      <c r="R1467" s="2">
        <v>195.25</v>
      </c>
      <c r="S1467" s="1" t="s">
        <v>1011</v>
      </c>
      <c r="T1467" s="1" t="s">
        <v>1004</v>
      </c>
      <c r="U1467" s="1" t="s">
        <v>1004</v>
      </c>
    </row>
    <row r="1468" spans="1:21" x14ac:dyDescent="0.3">
      <c r="A1468" s="1" t="s">
        <v>2482</v>
      </c>
      <c r="B1468" s="1" t="s">
        <v>102</v>
      </c>
      <c r="C1468" s="1" t="s">
        <v>103</v>
      </c>
      <c r="D1468" s="1" t="s">
        <v>104</v>
      </c>
      <c r="E1468" s="1" t="s">
        <v>3620</v>
      </c>
      <c r="F1468" s="1" t="s">
        <v>1001</v>
      </c>
      <c r="G1468" s="1" t="s">
        <v>1010</v>
      </c>
      <c r="H1468" s="1">
        <v>4</v>
      </c>
      <c r="I1468" s="1">
        <v>5</v>
      </c>
      <c r="J1468" s="1" t="s">
        <v>2644</v>
      </c>
      <c r="K1468" s="2">
        <v>416.76</v>
      </c>
      <c r="L1468" s="1">
        <v>22</v>
      </c>
      <c r="M1468" s="2">
        <v>1667.04</v>
      </c>
      <c r="N1468" s="2">
        <v>366.75</v>
      </c>
      <c r="O1468" s="2">
        <v>1300.29</v>
      </c>
      <c r="P1468" s="1">
        <v>51</v>
      </c>
      <c r="Q1468" s="2">
        <v>291.73</v>
      </c>
      <c r="R1468" s="2">
        <v>133.37</v>
      </c>
      <c r="S1468" s="1" t="s">
        <v>1003</v>
      </c>
      <c r="T1468" s="1" t="s">
        <v>1007</v>
      </c>
      <c r="U1468" s="1" t="s">
        <v>1007</v>
      </c>
    </row>
    <row r="1469" spans="1:21" x14ac:dyDescent="0.3">
      <c r="A1469" s="1" t="s">
        <v>2483</v>
      </c>
      <c r="B1469" s="1" t="s">
        <v>123</v>
      </c>
      <c r="C1469" s="1" t="s">
        <v>124</v>
      </c>
      <c r="D1469" s="1" t="s">
        <v>47</v>
      </c>
      <c r="E1469" s="1" t="s">
        <v>3621</v>
      </c>
      <c r="F1469" s="1" t="s">
        <v>1001</v>
      </c>
      <c r="G1469" s="1" t="s">
        <v>1023</v>
      </c>
      <c r="H1469" s="1">
        <v>9</v>
      </c>
      <c r="I1469" s="1">
        <v>6</v>
      </c>
      <c r="J1469" s="1" t="s">
        <v>2650</v>
      </c>
      <c r="K1469" s="2">
        <v>345.56</v>
      </c>
      <c r="L1469" s="1">
        <v>18</v>
      </c>
      <c r="M1469" s="2">
        <v>3110.04</v>
      </c>
      <c r="N1469" s="2">
        <v>559.80999999999995</v>
      </c>
      <c r="O1469" s="2">
        <v>2550.23</v>
      </c>
      <c r="P1469" s="1">
        <v>128</v>
      </c>
      <c r="Q1469" s="2">
        <v>241.89</v>
      </c>
      <c r="R1469" s="2">
        <v>373.22</v>
      </c>
      <c r="S1469" s="1" t="s">
        <v>1003</v>
      </c>
      <c r="T1469" s="1" t="s">
        <v>1007</v>
      </c>
      <c r="U1469" s="1" t="s">
        <v>1004</v>
      </c>
    </row>
    <row r="1470" spans="1:21" x14ac:dyDescent="0.3">
      <c r="A1470" s="1" t="s">
        <v>2484</v>
      </c>
      <c r="B1470" s="1" t="s">
        <v>52</v>
      </c>
      <c r="C1470" s="1" t="s">
        <v>53</v>
      </c>
      <c r="D1470" s="1" t="s">
        <v>47</v>
      </c>
      <c r="E1470" s="1" t="s">
        <v>3622</v>
      </c>
      <c r="F1470" s="1" t="s">
        <v>1006</v>
      </c>
      <c r="G1470" s="1" t="s">
        <v>1023</v>
      </c>
      <c r="H1470" s="1">
        <v>14</v>
      </c>
      <c r="I1470" s="1">
        <v>1</v>
      </c>
      <c r="J1470" s="1" t="s">
        <v>2784</v>
      </c>
      <c r="K1470" s="2">
        <v>256.23</v>
      </c>
      <c r="L1470" s="1">
        <v>15</v>
      </c>
      <c r="M1470" s="2">
        <v>3587.22</v>
      </c>
      <c r="N1470" s="2">
        <v>538.08000000000004</v>
      </c>
      <c r="O1470" s="2">
        <v>3049.14</v>
      </c>
      <c r="P1470" s="1">
        <v>99</v>
      </c>
      <c r="Q1470" s="2">
        <v>179.36</v>
      </c>
      <c r="R1470" s="2">
        <v>538.1</v>
      </c>
      <c r="S1470" s="1" t="s">
        <v>1011</v>
      </c>
      <c r="T1470" s="1" t="s">
        <v>1004</v>
      </c>
      <c r="U1470" s="1" t="s">
        <v>1007</v>
      </c>
    </row>
    <row r="1471" spans="1:21" x14ac:dyDescent="0.3">
      <c r="A1471" s="1" t="s">
        <v>2485</v>
      </c>
      <c r="B1471" s="1" t="s">
        <v>37</v>
      </c>
      <c r="C1471" s="1" t="s">
        <v>38</v>
      </c>
      <c r="D1471" s="1" t="s">
        <v>39</v>
      </c>
      <c r="E1471" s="1" t="s">
        <v>3623</v>
      </c>
      <c r="F1471" s="1" t="s">
        <v>1027</v>
      </c>
      <c r="G1471" s="1" t="s">
        <v>1002</v>
      </c>
      <c r="H1471" s="1">
        <v>8</v>
      </c>
      <c r="I1471" s="1">
        <v>6</v>
      </c>
      <c r="J1471" s="1" t="s">
        <v>2617</v>
      </c>
      <c r="K1471" s="2">
        <v>273.43</v>
      </c>
      <c r="L1471" s="1">
        <v>24</v>
      </c>
      <c r="M1471" s="2">
        <v>2187.44</v>
      </c>
      <c r="N1471" s="2">
        <v>524.99</v>
      </c>
      <c r="O1471" s="2">
        <v>1662.45</v>
      </c>
      <c r="P1471" s="1">
        <v>240</v>
      </c>
      <c r="Q1471" s="2">
        <v>191.4</v>
      </c>
      <c r="R1471" s="2">
        <v>131.25</v>
      </c>
      <c r="S1471" s="1" t="s">
        <v>1003</v>
      </c>
      <c r="T1471" s="1" t="s">
        <v>1004</v>
      </c>
      <c r="U1471" s="1" t="s">
        <v>1004</v>
      </c>
    </row>
    <row r="1472" spans="1:21" x14ac:dyDescent="0.3">
      <c r="A1472" s="1" t="s">
        <v>2486</v>
      </c>
      <c r="B1472" s="1" t="s">
        <v>63</v>
      </c>
      <c r="C1472" s="1" t="s">
        <v>64</v>
      </c>
      <c r="D1472" s="1" t="s">
        <v>28</v>
      </c>
      <c r="E1472" s="1" t="s">
        <v>3624</v>
      </c>
      <c r="F1472" s="1" t="s">
        <v>1009</v>
      </c>
      <c r="G1472" s="1" t="s">
        <v>1010</v>
      </c>
      <c r="H1472" s="1">
        <v>4</v>
      </c>
      <c r="I1472" s="1">
        <v>2</v>
      </c>
      <c r="J1472" s="1" t="s">
        <v>2519</v>
      </c>
      <c r="K1472" s="2">
        <v>169.07</v>
      </c>
      <c r="L1472" s="1">
        <v>4</v>
      </c>
      <c r="M1472" s="2">
        <v>676.28</v>
      </c>
      <c r="N1472" s="2">
        <v>27.05</v>
      </c>
      <c r="O1472" s="2">
        <v>649.23</v>
      </c>
      <c r="P1472" s="1">
        <v>156</v>
      </c>
      <c r="Q1472" s="2">
        <v>118.35</v>
      </c>
      <c r="R1472" s="2">
        <v>175.83</v>
      </c>
      <c r="S1472" s="1" t="s">
        <v>1011</v>
      </c>
      <c r="T1472" s="1" t="s">
        <v>1007</v>
      </c>
      <c r="U1472" s="1" t="s">
        <v>1004</v>
      </c>
    </row>
    <row r="1473" spans="1:21" x14ac:dyDescent="0.3">
      <c r="A1473" s="1" t="s">
        <v>2487</v>
      </c>
      <c r="B1473" s="1" t="s">
        <v>77</v>
      </c>
      <c r="C1473" s="1" t="s">
        <v>78</v>
      </c>
      <c r="D1473" s="1" t="s">
        <v>47</v>
      </c>
      <c r="E1473" s="1" t="s">
        <v>3625</v>
      </c>
      <c r="F1473" s="1" t="s">
        <v>1027</v>
      </c>
      <c r="G1473" s="1" t="s">
        <v>1010</v>
      </c>
      <c r="H1473" s="1">
        <v>3</v>
      </c>
      <c r="I1473" s="1">
        <v>4</v>
      </c>
      <c r="J1473" s="1" t="s">
        <v>2660</v>
      </c>
      <c r="K1473" s="2">
        <v>429.32</v>
      </c>
      <c r="L1473" s="1">
        <v>3</v>
      </c>
      <c r="M1473" s="2">
        <v>1287.96</v>
      </c>
      <c r="N1473" s="2">
        <v>38.64</v>
      </c>
      <c r="O1473" s="2">
        <v>1249.32</v>
      </c>
      <c r="P1473" s="1">
        <v>129</v>
      </c>
      <c r="Q1473" s="2">
        <v>300.52</v>
      </c>
      <c r="R1473" s="2">
        <v>347.76</v>
      </c>
      <c r="S1473" s="1" t="s">
        <v>1016</v>
      </c>
      <c r="T1473" s="1" t="s">
        <v>1007</v>
      </c>
      <c r="U1473" s="1" t="s">
        <v>1004</v>
      </c>
    </row>
    <row r="1474" spans="1:21" x14ac:dyDescent="0.3">
      <c r="A1474" s="1" t="s">
        <v>2488</v>
      </c>
      <c r="B1474" s="1" t="s">
        <v>107</v>
      </c>
      <c r="C1474" s="1" t="s">
        <v>108</v>
      </c>
      <c r="D1474" s="1" t="s">
        <v>39</v>
      </c>
      <c r="E1474" s="1" t="s">
        <v>3626</v>
      </c>
      <c r="F1474" s="1" t="s">
        <v>1013</v>
      </c>
      <c r="G1474" s="1" t="s">
        <v>1010</v>
      </c>
      <c r="H1474" s="1">
        <v>2</v>
      </c>
      <c r="I1474" s="1">
        <v>7</v>
      </c>
      <c r="J1474" s="1" t="s">
        <v>2902</v>
      </c>
      <c r="K1474" s="2">
        <v>462.71</v>
      </c>
      <c r="L1474" s="1">
        <v>9</v>
      </c>
      <c r="M1474" s="2">
        <v>925.42</v>
      </c>
      <c r="N1474" s="2">
        <v>83.29</v>
      </c>
      <c r="O1474" s="2">
        <v>842.13</v>
      </c>
      <c r="P1474" s="1">
        <v>153</v>
      </c>
      <c r="Q1474" s="2">
        <v>323.89999999999998</v>
      </c>
      <c r="R1474" s="2">
        <v>194.33</v>
      </c>
      <c r="S1474" s="1" t="s">
        <v>1016</v>
      </c>
      <c r="T1474" s="1" t="s">
        <v>1007</v>
      </c>
      <c r="U1474" s="1" t="s">
        <v>1004</v>
      </c>
    </row>
    <row r="1475" spans="1:21" x14ac:dyDescent="0.3">
      <c r="A1475" s="1" t="s">
        <v>2489</v>
      </c>
      <c r="B1475" s="1" t="s">
        <v>77</v>
      </c>
      <c r="C1475" s="1" t="s">
        <v>78</v>
      </c>
      <c r="D1475" s="1" t="s">
        <v>47</v>
      </c>
      <c r="E1475" s="1" t="s">
        <v>3627</v>
      </c>
      <c r="F1475" s="1" t="s">
        <v>1020</v>
      </c>
      <c r="G1475" s="1" t="s">
        <v>1023</v>
      </c>
      <c r="H1475" s="1">
        <v>9</v>
      </c>
      <c r="I1475" s="1">
        <v>2</v>
      </c>
      <c r="J1475" s="1" t="s">
        <v>2573</v>
      </c>
      <c r="K1475" s="2">
        <v>259.10000000000002</v>
      </c>
      <c r="L1475" s="1">
        <v>11</v>
      </c>
      <c r="M1475" s="2">
        <v>2331.9</v>
      </c>
      <c r="N1475" s="2">
        <v>256.51</v>
      </c>
      <c r="O1475" s="2">
        <v>2075.39</v>
      </c>
      <c r="P1475" s="1">
        <v>299</v>
      </c>
      <c r="Q1475" s="2">
        <v>181.37</v>
      </c>
      <c r="R1475" s="2">
        <v>443.06</v>
      </c>
      <c r="S1475" s="1" t="s">
        <v>1016</v>
      </c>
      <c r="T1475" s="1" t="s">
        <v>1007</v>
      </c>
      <c r="U1475" s="1" t="s">
        <v>1004</v>
      </c>
    </row>
    <row r="1476" spans="1:21" x14ac:dyDescent="0.3">
      <c r="A1476" s="1" t="s">
        <v>2490</v>
      </c>
      <c r="B1476" s="1" t="s">
        <v>77</v>
      </c>
      <c r="C1476" s="1" t="s">
        <v>78</v>
      </c>
      <c r="D1476" s="1" t="s">
        <v>47</v>
      </c>
      <c r="E1476" s="1" t="s">
        <v>3628</v>
      </c>
      <c r="F1476" s="1" t="s">
        <v>1013</v>
      </c>
      <c r="G1476" s="1" t="s">
        <v>1023</v>
      </c>
      <c r="H1476" s="1">
        <v>11</v>
      </c>
      <c r="I1476" s="1">
        <v>3</v>
      </c>
      <c r="J1476" s="1" t="s">
        <v>2878</v>
      </c>
      <c r="K1476" s="2">
        <v>478.95</v>
      </c>
      <c r="L1476" s="1">
        <v>24</v>
      </c>
      <c r="M1476" s="2">
        <v>5268.45</v>
      </c>
      <c r="N1476" s="2">
        <v>1264.43</v>
      </c>
      <c r="O1476" s="2">
        <v>4004.02</v>
      </c>
      <c r="P1476" s="1">
        <v>192</v>
      </c>
      <c r="Q1476" s="2">
        <v>335.26</v>
      </c>
      <c r="R1476" s="2">
        <v>316.16000000000003</v>
      </c>
      <c r="S1476" s="1" t="s">
        <v>1016</v>
      </c>
      <c r="T1476" s="1" t="s">
        <v>1007</v>
      </c>
      <c r="U1476" s="1" t="s">
        <v>1007</v>
      </c>
    </row>
    <row r="1477" spans="1:21" x14ac:dyDescent="0.3">
      <c r="A1477" s="1" t="s">
        <v>2491</v>
      </c>
      <c r="B1477" s="1" t="s">
        <v>189</v>
      </c>
      <c r="C1477" s="1" t="s">
        <v>190</v>
      </c>
      <c r="D1477" s="1" t="s">
        <v>59</v>
      </c>
      <c r="E1477" s="1" t="s">
        <v>3629</v>
      </c>
      <c r="F1477" s="1" t="s">
        <v>1009</v>
      </c>
      <c r="G1477" s="1" t="s">
        <v>1010</v>
      </c>
      <c r="H1477" s="1">
        <v>12</v>
      </c>
      <c r="I1477" s="1">
        <v>7</v>
      </c>
      <c r="J1477" s="1" t="s">
        <v>2528</v>
      </c>
      <c r="K1477" s="2">
        <v>94.54</v>
      </c>
      <c r="L1477" s="1">
        <v>6</v>
      </c>
      <c r="M1477" s="2">
        <v>1134.48</v>
      </c>
      <c r="N1477" s="2">
        <v>68.069999999999993</v>
      </c>
      <c r="O1477" s="2">
        <v>1066.4100000000001</v>
      </c>
      <c r="P1477" s="1">
        <v>126</v>
      </c>
      <c r="Q1477" s="2">
        <v>66.180000000000007</v>
      </c>
      <c r="R1477" s="2">
        <v>272.25</v>
      </c>
      <c r="S1477" s="1" t="s">
        <v>1016</v>
      </c>
      <c r="T1477" s="1" t="s">
        <v>1007</v>
      </c>
      <c r="U1477" s="1" t="s">
        <v>1004</v>
      </c>
    </row>
    <row r="1478" spans="1:21" x14ac:dyDescent="0.3">
      <c r="A1478" s="1" t="s">
        <v>2492</v>
      </c>
      <c r="B1478" s="1" t="s">
        <v>102</v>
      </c>
      <c r="C1478" s="1" t="s">
        <v>103</v>
      </c>
      <c r="D1478" s="1" t="s">
        <v>104</v>
      </c>
      <c r="E1478" s="1" t="s">
        <v>3630</v>
      </c>
      <c r="F1478" s="1" t="s">
        <v>1009</v>
      </c>
      <c r="G1478" s="1" t="s">
        <v>1002</v>
      </c>
      <c r="H1478" s="1">
        <v>13</v>
      </c>
      <c r="I1478" s="1">
        <v>2</v>
      </c>
      <c r="J1478" s="1" t="s">
        <v>2881</v>
      </c>
      <c r="K1478" s="2">
        <v>74.010000000000005</v>
      </c>
      <c r="L1478" s="1">
        <v>10</v>
      </c>
      <c r="M1478" s="2">
        <v>962.13</v>
      </c>
      <c r="N1478" s="2">
        <v>96.21</v>
      </c>
      <c r="O1478" s="2">
        <v>865.92</v>
      </c>
      <c r="P1478" s="1">
        <v>188</v>
      </c>
      <c r="Q1478" s="2">
        <v>51.81</v>
      </c>
      <c r="R1478" s="2">
        <v>192.39</v>
      </c>
      <c r="S1478" s="1" t="s">
        <v>1016</v>
      </c>
      <c r="T1478" s="1" t="s">
        <v>1004</v>
      </c>
      <c r="U1478" s="1" t="s">
        <v>1004</v>
      </c>
    </row>
    <row r="1479" spans="1:21" x14ac:dyDescent="0.3">
      <c r="A1479" s="1" t="s">
        <v>2493</v>
      </c>
      <c r="B1479" s="1" t="s">
        <v>83</v>
      </c>
      <c r="C1479" s="1" t="s">
        <v>84</v>
      </c>
      <c r="D1479" s="1" t="s">
        <v>85</v>
      </c>
      <c r="E1479" s="1" t="s">
        <v>3631</v>
      </c>
      <c r="F1479" s="1" t="s">
        <v>1015</v>
      </c>
      <c r="G1479" s="1" t="s">
        <v>1010</v>
      </c>
      <c r="H1479" s="1">
        <v>2</v>
      </c>
      <c r="I1479" s="1">
        <v>6</v>
      </c>
      <c r="J1479" s="1" t="s">
        <v>2544</v>
      </c>
      <c r="K1479" s="2">
        <v>205.85</v>
      </c>
      <c r="L1479" s="1">
        <v>5</v>
      </c>
      <c r="M1479" s="2">
        <v>411.7</v>
      </c>
      <c r="N1479" s="2">
        <v>20.59</v>
      </c>
      <c r="O1479" s="2">
        <v>391.11</v>
      </c>
      <c r="P1479" s="1">
        <v>216</v>
      </c>
      <c r="Q1479" s="2">
        <v>144.09</v>
      </c>
      <c r="R1479" s="2">
        <v>102.93</v>
      </c>
      <c r="S1479" s="1" t="s">
        <v>1003</v>
      </c>
      <c r="T1479" s="1" t="s">
        <v>1007</v>
      </c>
      <c r="U1479" s="1" t="s">
        <v>1007</v>
      </c>
    </row>
    <row r="1480" spans="1:21" x14ac:dyDescent="0.3">
      <c r="A1480" s="1" t="s">
        <v>2494</v>
      </c>
      <c r="B1480" s="1" t="s">
        <v>123</v>
      </c>
      <c r="C1480" s="1" t="s">
        <v>124</v>
      </c>
      <c r="D1480" s="1" t="s">
        <v>47</v>
      </c>
      <c r="E1480" s="1" t="s">
        <v>3632</v>
      </c>
      <c r="F1480" s="1" t="s">
        <v>1009</v>
      </c>
      <c r="G1480" s="1" t="s">
        <v>1002</v>
      </c>
      <c r="H1480" s="1">
        <v>5</v>
      </c>
      <c r="I1480" s="1">
        <v>7</v>
      </c>
      <c r="J1480" s="1" t="s">
        <v>2905</v>
      </c>
      <c r="K1480" s="2">
        <v>118.55</v>
      </c>
      <c r="L1480" s="1">
        <v>21</v>
      </c>
      <c r="M1480" s="2">
        <v>592.75</v>
      </c>
      <c r="N1480" s="2">
        <v>124.48</v>
      </c>
      <c r="O1480" s="2">
        <v>468.27</v>
      </c>
      <c r="P1480" s="1">
        <v>261</v>
      </c>
      <c r="Q1480" s="2">
        <v>82.98</v>
      </c>
      <c r="R1480" s="2">
        <v>53.37</v>
      </c>
      <c r="S1480" s="1" t="s">
        <v>1016</v>
      </c>
      <c r="T1480" s="1" t="s">
        <v>1007</v>
      </c>
      <c r="U1480" s="1" t="s">
        <v>1004</v>
      </c>
    </row>
    <row r="1481" spans="1:21" x14ac:dyDescent="0.3">
      <c r="A1481" s="1" t="s">
        <v>2495</v>
      </c>
      <c r="B1481" s="1" t="s">
        <v>57</v>
      </c>
      <c r="C1481" s="1" t="s">
        <v>58</v>
      </c>
      <c r="D1481" s="1" t="s">
        <v>59</v>
      </c>
      <c r="E1481" s="1" t="s">
        <v>3633</v>
      </c>
      <c r="F1481" s="1" t="s">
        <v>1006</v>
      </c>
      <c r="G1481" s="1" t="s">
        <v>1002</v>
      </c>
      <c r="H1481" s="1">
        <v>5</v>
      </c>
      <c r="I1481" s="1">
        <v>1</v>
      </c>
      <c r="J1481" s="1" t="s">
        <v>2665</v>
      </c>
      <c r="K1481" s="2">
        <v>380.51</v>
      </c>
      <c r="L1481" s="1">
        <v>6</v>
      </c>
      <c r="M1481" s="2">
        <v>1902.55</v>
      </c>
      <c r="N1481" s="2">
        <v>114.15</v>
      </c>
      <c r="O1481" s="2">
        <v>1788.4</v>
      </c>
      <c r="P1481" s="1">
        <v>265</v>
      </c>
      <c r="Q1481" s="2">
        <v>266.36</v>
      </c>
      <c r="R1481" s="2">
        <v>456.6</v>
      </c>
      <c r="S1481" s="1" t="s">
        <v>1011</v>
      </c>
      <c r="T1481" s="1" t="s">
        <v>1004</v>
      </c>
      <c r="U1481" s="1" t="s">
        <v>1004</v>
      </c>
    </row>
    <row r="1482" spans="1:21" x14ac:dyDescent="0.3">
      <c r="A1482" s="1" t="s">
        <v>2496</v>
      </c>
      <c r="B1482" s="1" t="s">
        <v>69</v>
      </c>
      <c r="C1482" s="1" t="s">
        <v>70</v>
      </c>
      <c r="D1482" s="1" t="s">
        <v>59</v>
      </c>
      <c r="E1482" s="1" t="s">
        <v>3634</v>
      </c>
      <c r="F1482" s="1" t="s">
        <v>1015</v>
      </c>
      <c r="G1482" s="1" t="s">
        <v>1002</v>
      </c>
      <c r="H1482" s="1">
        <v>15</v>
      </c>
      <c r="I1482" s="1">
        <v>6</v>
      </c>
      <c r="J1482" s="1" t="s">
        <v>2928</v>
      </c>
      <c r="K1482" s="2">
        <v>456.37</v>
      </c>
      <c r="L1482" s="1">
        <v>10</v>
      </c>
      <c r="M1482" s="2">
        <v>6845.55</v>
      </c>
      <c r="N1482" s="2">
        <v>684.56</v>
      </c>
      <c r="O1482" s="2">
        <v>6160.99</v>
      </c>
      <c r="P1482" s="1">
        <v>269</v>
      </c>
      <c r="Q1482" s="2">
        <v>319.45999999999998</v>
      </c>
      <c r="R1482" s="2">
        <v>1369.09</v>
      </c>
      <c r="S1482" s="1" t="s">
        <v>1003</v>
      </c>
      <c r="T1482" s="1" t="s">
        <v>1004</v>
      </c>
      <c r="U1482" s="1" t="s">
        <v>1007</v>
      </c>
    </row>
    <row r="1483" spans="1:21" x14ac:dyDescent="0.3">
      <c r="A1483" s="1" t="s">
        <v>2497</v>
      </c>
      <c r="B1483" s="1" t="s">
        <v>52</v>
      </c>
      <c r="C1483" s="1" t="s">
        <v>53</v>
      </c>
      <c r="D1483" s="1" t="s">
        <v>47</v>
      </c>
      <c r="E1483" s="1" t="s">
        <v>3635</v>
      </c>
      <c r="F1483" s="1" t="s">
        <v>1015</v>
      </c>
      <c r="G1483" s="1" t="s">
        <v>1023</v>
      </c>
      <c r="H1483" s="1">
        <v>11</v>
      </c>
      <c r="I1483" s="1">
        <v>4</v>
      </c>
      <c r="J1483" s="1" t="s">
        <v>2626</v>
      </c>
      <c r="K1483" s="2">
        <v>76.44</v>
      </c>
      <c r="L1483" s="1">
        <v>24</v>
      </c>
      <c r="M1483" s="2">
        <v>840.84</v>
      </c>
      <c r="N1483" s="2">
        <v>201.8</v>
      </c>
      <c r="O1483" s="2">
        <v>639.04</v>
      </c>
      <c r="P1483" s="1">
        <v>80</v>
      </c>
      <c r="Q1483" s="2">
        <v>53.51</v>
      </c>
      <c r="R1483" s="2">
        <v>50.43</v>
      </c>
      <c r="S1483" s="1" t="s">
        <v>1003</v>
      </c>
      <c r="T1483" s="1" t="s">
        <v>1004</v>
      </c>
      <c r="U1483" s="1" t="s">
        <v>1004</v>
      </c>
    </row>
    <row r="1484" spans="1:21" x14ac:dyDescent="0.3">
      <c r="A1484" s="1" t="s">
        <v>2498</v>
      </c>
      <c r="B1484" s="1" t="s">
        <v>111</v>
      </c>
      <c r="C1484" s="1" t="s">
        <v>112</v>
      </c>
      <c r="D1484" s="1" t="s">
        <v>97</v>
      </c>
      <c r="E1484" s="1" t="s">
        <v>3636</v>
      </c>
      <c r="F1484" s="1" t="s">
        <v>1020</v>
      </c>
      <c r="G1484" s="1" t="s">
        <v>1002</v>
      </c>
      <c r="H1484" s="1">
        <v>9</v>
      </c>
      <c r="I1484" s="1">
        <v>3</v>
      </c>
      <c r="J1484" s="1" t="s">
        <v>2684</v>
      </c>
      <c r="K1484" s="2">
        <v>443.75</v>
      </c>
      <c r="L1484" s="1">
        <v>10</v>
      </c>
      <c r="M1484" s="2">
        <v>3993.75</v>
      </c>
      <c r="N1484" s="2">
        <v>399.38</v>
      </c>
      <c r="O1484" s="2">
        <v>3594.37</v>
      </c>
      <c r="P1484" s="1">
        <v>82</v>
      </c>
      <c r="Q1484" s="2">
        <v>310.62</v>
      </c>
      <c r="R1484" s="2">
        <v>798.79</v>
      </c>
      <c r="S1484" s="1" t="s">
        <v>1016</v>
      </c>
      <c r="T1484" s="1" t="s">
        <v>1007</v>
      </c>
      <c r="U1484" s="1" t="s">
        <v>1004</v>
      </c>
    </row>
    <row r="1485" spans="1:21" x14ac:dyDescent="0.3">
      <c r="A1485" s="1" t="s">
        <v>2499</v>
      </c>
      <c r="B1485" s="1" t="s">
        <v>102</v>
      </c>
      <c r="C1485" s="1" t="s">
        <v>103</v>
      </c>
      <c r="D1485" s="1" t="s">
        <v>104</v>
      </c>
      <c r="E1485" s="1" t="s">
        <v>3637</v>
      </c>
      <c r="F1485" s="1" t="s">
        <v>1009</v>
      </c>
      <c r="G1485" s="1" t="s">
        <v>1010</v>
      </c>
      <c r="H1485" s="1">
        <v>14</v>
      </c>
      <c r="I1485" s="1">
        <v>7</v>
      </c>
      <c r="J1485" s="1" t="s">
        <v>3229</v>
      </c>
      <c r="K1485" s="2">
        <v>257.24</v>
      </c>
      <c r="L1485" s="1">
        <v>23</v>
      </c>
      <c r="M1485" s="2">
        <v>3601.36</v>
      </c>
      <c r="N1485" s="2">
        <v>828.31</v>
      </c>
      <c r="O1485" s="2">
        <v>2773.05</v>
      </c>
      <c r="P1485" s="1">
        <v>131</v>
      </c>
      <c r="Q1485" s="2">
        <v>180.07</v>
      </c>
      <c r="R1485" s="2">
        <v>252.07</v>
      </c>
      <c r="S1485" s="1" t="s">
        <v>1011</v>
      </c>
      <c r="T1485" s="1" t="s">
        <v>1007</v>
      </c>
      <c r="U1485" s="1" t="s">
        <v>1004</v>
      </c>
    </row>
    <row r="1486" spans="1:21" x14ac:dyDescent="0.3">
      <c r="A1486" s="1" t="s">
        <v>2500</v>
      </c>
      <c r="B1486" s="1" t="s">
        <v>107</v>
      </c>
      <c r="C1486" s="1" t="s">
        <v>108</v>
      </c>
      <c r="D1486" s="1" t="s">
        <v>39</v>
      </c>
      <c r="E1486" s="1" t="s">
        <v>3638</v>
      </c>
      <c r="F1486" s="1" t="s">
        <v>1013</v>
      </c>
      <c r="G1486" s="1" t="s">
        <v>1002</v>
      </c>
      <c r="H1486" s="1">
        <v>5</v>
      </c>
      <c r="I1486" s="1">
        <v>4</v>
      </c>
      <c r="J1486" s="1" t="s">
        <v>2866</v>
      </c>
      <c r="K1486" s="2">
        <v>76.92</v>
      </c>
      <c r="L1486" s="1">
        <v>12</v>
      </c>
      <c r="M1486" s="2">
        <v>384.6</v>
      </c>
      <c r="N1486" s="2">
        <v>46.15</v>
      </c>
      <c r="O1486" s="2">
        <v>338.45</v>
      </c>
      <c r="P1486" s="1">
        <v>157</v>
      </c>
      <c r="Q1486" s="2">
        <v>53.84</v>
      </c>
      <c r="R1486" s="2">
        <v>69.25</v>
      </c>
      <c r="S1486" s="1" t="s">
        <v>1011</v>
      </c>
      <c r="T1486" s="1" t="s">
        <v>1007</v>
      </c>
      <c r="U1486" s="1" t="s">
        <v>1007</v>
      </c>
    </row>
    <row r="1487" spans="1:21" x14ac:dyDescent="0.3">
      <c r="A1487" s="1" t="s">
        <v>2501</v>
      </c>
      <c r="B1487" s="1" t="s">
        <v>57</v>
      </c>
      <c r="C1487" s="1" t="s">
        <v>58</v>
      </c>
      <c r="D1487" s="1" t="s">
        <v>59</v>
      </c>
      <c r="E1487" s="1" t="s">
        <v>3639</v>
      </c>
      <c r="F1487" s="1" t="s">
        <v>1013</v>
      </c>
      <c r="G1487" s="1" t="s">
        <v>1010</v>
      </c>
      <c r="H1487" s="1">
        <v>9</v>
      </c>
      <c r="I1487" s="1">
        <v>6</v>
      </c>
      <c r="J1487" s="1" t="s">
        <v>2562</v>
      </c>
      <c r="K1487" s="2">
        <v>369.99</v>
      </c>
      <c r="L1487" s="1">
        <v>9</v>
      </c>
      <c r="M1487" s="2">
        <v>3329.91</v>
      </c>
      <c r="N1487" s="2">
        <v>299.69</v>
      </c>
      <c r="O1487" s="2">
        <v>3030.22</v>
      </c>
      <c r="P1487" s="1">
        <v>112</v>
      </c>
      <c r="Q1487" s="2">
        <v>258.99</v>
      </c>
      <c r="R1487" s="2">
        <v>699.31</v>
      </c>
      <c r="S1487" s="1" t="s">
        <v>1011</v>
      </c>
      <c r="T1487" s="1" t="s">
        <v>1007</v>
      </c>
      <c r="U1487" s="1" t="s">
        <v>1007</v>
      </c>
    </row>
    <row r="1488" spans="1:21" x14ac:dyDescent="0.3">
      <c r="A1488" s="1" t="s">
        <v>2502</v>
      </c>
      <c r="B1488" s="1" t="s">
        <v>192</v>
      </c>
      <c r="C1488" s="1" t="s">
        <v>193</v>
      </c>
      <c r="D1488" s="1" t="s">
        <v>85</v>
      </c>
      <c r="E1488" s="1" t="s">
        <v>3640</v>
      </c>
      <c r="F1488" s="1" t="s">
        <v>1015</v>
      </c>
      <c r="G1488" s="1" t="s">
        <v>1002</v>
      </c>
      <c r="H1488" s="1">
        <v>2</v>
      </c>
      <c r="I1488" s="1">
        <v>6</v>
      </c>
      <c r="J1488" s="1" t="s">
        <v>2791</v>
      </c>
      <c r="K1488" s="2">
        <v>466.66</v>
      </c>
      <c r="L1488" s="1">
        <v>23</v>
      </c>
      <c r="M1488" s="2">
        <v>933.32</v>
      </c>
      <c r="N1488" s="2">
        <v>214.66</v>
      </c>
      <c r="O1488" s="2">
        <v>718.66</v>
      </c>
      <c r="P1488" s="1">
        <v>134</v>
      </c>
      <c r="Q1488" s="2">
        <v>326.66000000000003</v>
      </c>
      <c r="R1488" s="2">
        <v>65.34</v>
      </c>
      <c r="S1488" s="1" t="s">
        <v>1003</v>
      </c>
      <c r="T1488" s="1" t="s">
        <v>1007</v>
      </c>
      <c r="U1488" s="1" t="s">
        <v>1007</v>
      </c>
    </row>
    <row r="1489" spans="1:21" x14ac:dyDescent="0.3">
      <c r="A1489" s="1" t="s">
        <v>2503</v>
      </c>
      <c r="B1489" s="1" t="s">
        <v>107</v>
      </c>
      <c r="C1489" s="1" t="s">
        <v>108</v>
      </c>
      <c r="D1489" s="1" t="s">
        <v>39</v>
      </c>
      <c r="E1489" s="1" t="s">
        <v>3641</v>
      </c>
      <c r="F1489" s="1" t="s">
        <v>1013</v>
      </c>
      <c r="G1489" s="1" t="s">
        <v>1023</v>
      </c>
      <c r="H1489" s="1">
        <v>14</v>
      </c>
      <c r="I1489" s="1">
        <v>1</v>
      </c>
      <c r="J1489" s="1" t="s">
        <v>2881</v>
      </c>
      <c r="K1489" s="2">
        <v>312.26</v>
      </c>
      <c r="L1489" s="1">
        <v>5</v>
      </c>
      <c r="M1489" s="2">
        <v>4371.6400000000003</v>
      </c>
      <c r="N1489" s="2">
        <v>218.58</v>
      </c>
      <c r="O1489" s="2">
        <v>4153.0600000000004</v>
      </c>
      <c r="P1489" s="1">
        <v>80</v>
      </c>
      <c r="Q1489" s="2">
        <v>218.58</v>
      </c>
      <c r="R1489" s="2">
        <v>1092.94</v>
      </c>
      <c r="S1489" s="1" t="s">
        <v>1011</v>
      </c>
      <c r="T1489" s="1" t="s">
        <v>1007</v>
      </c>
      <c r="U1489" s="1" t="s">
        <v>1007</v>
      </c>
    </row>
    <row r="1490" spans="1:21" x14ac:dyDescent="0.3">
      <c r="A1490" s="1" t="s">
        <v>2504</v>
      </c>
      <c r="B1490" s="1" t="s">
        <v>77</v>
      </c>
      <c r="C1490" s="1" t="s">
        <v>78</v>
      </c>
      <c r="D1490" s="1" t="s">
        <v>47</v>
      </c>
      <c r="E1490" s="1" t="s">
        <v>3642</v>
      </c>
      <c r="F1490" s="1" t="s">
        <v>1027</v>
      </c>
      <c r="G1490" s="1" t="s">
        <v>1002</v>
      </c>
      <c r="H1490" s="1">
        <v>2</v>
      </c>
      <c r="I1490" s="1">
        <v>6</v>
      </c>
      <c r="J1490" s="1" t="s">
        <v>2581</v>
      </c>
      <c r="K1490" s="2">
        <v>209.4</v>
      </c>
      <c r="L1490" s="1">
        <v>21</v>
      </c>
      <c r="M1490" s="2">
        <v>418.8</v>
      </c>
      <c r="N1490" s="2">
        <v>87.95</v>
      </c>
      <c r="O1490" s="2">
        <v>330.85</v>
      </c>
      <c r="P1490" s="1">
        <v>127</v>
      </c>
      <c r="Q1490" s="2">
        <v>146.58000000000001</v>
      </c>
      <c r="R1490" s="2">
        <v>37.69</v>
      </c>
      <c r="S1490" s="1" t="s">
        <v>1003</v>
      </c>
      <c r="T1490" s="1" t="s">
        <v>1007</v>
      </c>
      <c r="U1490" s="1" t="s">
        <v>1004</v>
      </c>
    </row>
    <row r="1491" spans="1:21" x14ac:dyDescent="0.3">
      <c r="A1491" s="1" t="s">
        <v>2505</v>
      </c>
      <c r="B1491" s="1" t="s">
        <v>166</v>
      </c>
      <c r="C1491" s="1" t="s">
        <v>167</v>
      </c>
      <c r="D1491" s="1" t="s">
        <v>59</v>
      </c>
      <c r="E1491" s="1" t="s">
        <v>3643</v>
      </c>
      <c r="F1491" s="1" t="s">
        <v>1009</v>
      </c>
      <c r="G1491" s="1" t="s">
        <v>1023</v>
      </c>
      <c r="H1491" s="1">
        <v>15</v>
      </c>
      <c r="I1491" s="1">
        <v>2</v>
      </c>
      <c r="J1491" s="1" t="s">
        <v>2790</v>
      </c>
      <c r="K1491" s="2">
        <v>72.02</v>
      </c>
      <c r="L1491" s="1">
        <v>22</v>
      </c>
      <c r="M1491" s="2">
        <v>1080.3</v>
      </c>
      <c r="N1491" s="2">
        <v>237.67</v>
      </c>
      <c r="O1491" s="2">
        <v>842.63</v>
      </c>
      <c r="P1491" s="1">
        <v>250</v>
      </c>
      <c r="Q1491" s="2">
        <v>50.41</v>
      </c>
      <c r="R1491" s="2">
        <v>86.48</v>
      </c>
      <c r="S1491" s="1" t="s">
        <v>1016</v>
      </c>
      <c r="T1491" s="1" t="s">
        <v>1004</v>
      </c>
      <c r="U1491" s="1" t="s">
        <v>1007</v>
      </c>
    </row>
    <row r="1492" spans="1:21" x14ac:dyDescent="0.3">
      <c r="A1492" s="1" t="s">
        <v>2506</v>
      </c>
      <c r="B1492" s="1" t="s">
        <v>130</v>
      </c>
      <c r="C1492" s="1" t="s">
        <v>131</v>
      </c>
      <c r="D1492" s="1" t="s">
        <v>132</v>
      </c>
      <c r="E1492" s="1" t="s">
        <v>3644</v>
      </c>
      <c r="F1492" s="1" t="s">
        <v>1027</v>
      </c>
      <c r="G1492" s="1" t="s">
        <v>1010</v>
      </c>
      <c r="H1492" s="1">
        <v>12</v>
      </c>
      <c r="I1492" s="1">
        <v>3</v>
      </c>
      <c r="J1492" s="1" t="s">
        <v>3645</v>
      </c>
      <c r="K1492" s="2">
        <v>93.8</v>
      </c>
      <c r="L1492" s="1">
        <v>0</v>
      </c>
      <c r="M1492" s="2">
        <v>1125.5999999999999</v>
      </c>
      <c r="N1492" s="2">
        <v>0</v>
      </c>
      <c r="O1492" s="2">
        <v>1125.5999999999999</v>
      </c>
      <c r="P1492" s="1">
        <v>150</v>
      </c>
      <c r="Q1492" s="2">
        <v>65.66</v>
      </c>
      <c r="R1492" s="2">
        <v>337.68</v>
      </c>
      <c r="S1492" s="1" t="s">
        <v>1016</v>
      </c>
      <c r="T1492" s="1" t="s">
        <v>1007</v>
      </c>
      <c r="U1492" s="1" t="s">
        <v>1004</v>
      </c>
    </row>
    <row r="1493" spans="1:21" x14ac:dyDescent="0.3">
      <c r="A1493" s="1" t="s">
        <v>2507</v>
      </c>
      <c r="B1493" s="1" t="s">
        <v>72</v>
      </c>
      <c r="C1493" s="1" t="s">
        <v>73</v>
      </c>
      <c r="D1493" s="1" t="s">
        <v>47</v>
      </c>
      <c r="E1493" s="1" t="s">
        <v>3646</v>
      </c>
      <c r="F1493" s="1" t="s">
        <v>1013</v>
      </c>
      <c r="G1493" s="1" t="s">
        <v>1023</v>
      </c>
      <c r="H1493" s="1">
        <v>8</v>
      </c>
      <c r="I1493" s="1">
        <v>1</v>
      </c>
      <c r="J1493" s="1" t="s">
        <v>2678</v>
      </c>
      <c r="K1493" s="2">
        <v>362.13</v>
      </c>
      <c r="L1493" s="1">
        <v>10</v>
      </c>
      <c r="M1493" s="2">
        <v>2897.04</v>
      </c>
      <c r="N1493" s="2">
        <v>289.7</v>
      </c>
      <c r="O1493" s="2">
        <v>2607.34</v>
      </c>
      <c r="P1493" s="1">
        <v>288</v>
      </c>
      <c r="Q1493" s="2">
        <v>253.49</v>
      </c>
      <c r="R1493" s="2">
        <v>579.41999999999996</v>
      </c>
      <c r="S1493" s="1" t="s">
        <v>1016</v>
      </c>
      <c r="T1493" s="1" t="s">
        <v>1007</v>
      </c>
      <c r="U1493" s="1" t="s">
        <v>1007</v>
      </c>
    </row>
    <row r="1494" spans="1:21" x14ac:dyDescent="0.3">
      <c r="A1494" s="1" t="s">
        <v>2508</v>
      </c>
      <c r="B1494" s="1" t="s">
        <v>45</v>
      </c>
      <c r="C1494" s="1" t="s">
        <v>46</v>
      </c>
      <c r="D1494" s="1" t="s">
        <v>47</v>
      </c>
      <c r="E1494" s="1" t="s">
        <v>3647</v>
      </c>
      <c r="F1494" s="1" t="s">
        <v>1027</v>
      </c>
      <c r="G1494" s="1" t="s">
        <v>1023</v>
      </c>
      <c r="H1494" s="1">
        <v>14</v>
      </c>
      <c r="I1494" s="1">
        <v>4</v>
      </c>
      <c r="J1494" s="1" t="s">
        <v>3645</v>
      </c>
      <c r="K1494" s="2">
        <v>269.47000000000003</v>
      </c>
      <c r="L1494" s="1">
        <v>24</v>
      </c>
      <c r="M1494" s="2">
        <v>3772.58</v>
      </c>
      <c r="N1494" s="2">
        <v>905.42</v>
      </c>
      <c r="O1494" s="2">
        <v>2867.16</v>
      </c>
      <c r="P1494" s="1">
        <v>71</v>
      </c>
      <c r="Q1494" s="2">
        <v>188.63</v>
      </c>
      <c r="R1494" s="2">
        <v>226.34</v>
      </c>
      <c r="S1494" s="1" t="s">
        <v>1003</v>
      </c>
      <c r="T1494" s="1" t="s">
        <v>1004</v>
      </c>
      <c r="U1494" s="1" t="s">
        <v>1004</v>
      </c>
    </row>
    <row r="1495" spans="1:21" x14ac:dyDescent="0.3">
      <c r="A1495" s="1" t="s">
        <v>2509</v>
      </c>
      <c r="B1495" s="1" t="s">
        <v>52</v>
      </c>
      <c r="C1495" s="1" t="s">
        <v>53</v>
      </c>
      <c r="D1495" s="1" t="s">
        <v>47</v>
      </c>
      <c r="E1495" s="1" t="s">
        <v>3648</v>
      </c>
      <c r="F1495" s="1" t="s">
        <v>1001</v>
      </c>
      <c r="G1495" s="1" t="s">
        <v>1002</v>
      </c>
      <c r="H1495" s="1">
        <v>15</v>
      </c>
      <c r="I1495" s="1">
        <v>1</v>
      </c>
      <c r="J1495" s="1" t="s">
        <v>2638</v>
      </c>
      <c r="K1495" s="2">
        <v>356.07</v>
      </c>
      <c r="L1495" s="1">
        <v>23</v>
      </c>
      <c r="M1495" s="2">
        <v>5341.05</v>
      </c>
      <c r="N1495" s="2">
        <v>1228.44</v>
      </c>
      <c r="O1495" s="2">
        <v>4112.6099999999997</v>
      </c>
      <c r="P1495" s="1">
        <v>272</v>
      </c>
      <c r="Q1495" s="2">
        <v>249.25</v>
      </c>
      <c r="R1495" s="2">
        <v>373.86</v>
      </c>
      <c r="S1495" s="1" t="s">
        <v>1016</v>
      </c>
      <c r="T1495" s="1" t="s">
        <v>1004</v>
      </c>
      <c r="U1495" s="1" t="s">
        <v>1007</v>
      </c>
    </row>
    <row r="1496" spans="1:21" x14ac:dyDescent="0.3">
      <c r="A1496" s="1" t="s">
        <v>2510</v>
      </c>
      <c r="B1496" s="1" t="s">
        <v>107</v>
      </c>
      <c r="C1496" s="1" t="s">
        <v>108</v>
      </c>
      <c r="D1496" s="1" t="s">
        <v>39</v>
      </c>
      <c r="E1496" s="1" t="s">
        <v>3649</v>
      </c>
      <c r="F1496" s="1" t="s">
        <v>1020</v>
      </c>
      <c r="G1496" s="1" t="s">
        <v>1002</v>
      </c>
      <c r="H1496" s="1">
        <v>1</v>
      </c>
      <c r="I1496" s="1">
        <v>4</v>
      </c>
      <c r="J1496" s="1" t="s">
        <v>2697</v>
      </c>
      <c r="K1496" s="2">
        <v>385.11</v>
      </c>
      <c r="L1496" s="1">
        <v>23</v>
      </c>
      <c r="M1496" s="2">
        <v>385.11</v>
      </c>
      <c r="N1496" s="2">
        <v>88.58</v>
      </c>
      <c r="O1496" s="2">
        <v>296.52999999999997</v>
      </c>
      <c r="P1496" s="1">
        <v>103</v>
      </c>
      <c r="Q1496" s="2">
        <v>269.58</v>
      </c>
      <c r="R1496" s="2">
        <v>26.95</v>
      </c>
      <c r="S1496" s="1" t="s">
        <v>1003</v>
      </c>
      <c r="T1496" s="1" t="s">
        <v>1007</v>
      </c>
      <c r="U1496" s="1" t="s">
        <v>1007</v>
      </c>
    </row>
    <row r="1497" spans="1:21" x14ac:dyDescent="0.3">
      <c r="A1497" s="1" t="s">
        <v>2511</v>
      </c>
      <c r="B1497" s="1" t="s">
        <v>26</v>
      </c>
      <c r="C1497" s="1" t="s">
        <v>27</v>
      </c>
      <c r="D1497" s="1" t="s">
        <v>28</v>
      </c>
      <c r="E1497" s="1" t="s">
        <v>3650</v>
      </c>
      <c r="F1497" s="1" t="s">
        <v>1020</v>
      </c>
      <c r="G1497" s="1" t="s">
        <v>1010</v>
      </c>
      <c r="H1497" s="1">
        <v>7</v>
      </c>
      <c r="I1497" s="1">
        <v>2</v>
      </c>
      <c r="J1497" s="1" t="s">
        <v>2803</v>
      </c>
      <c r="K1497" s="2">
        <v>170.35</v>
      </c>
      <c r="L1497" s="1">
        <v>1</v>
      </c>
      <c r="M1497" s="2">
        <v>1192.45</v>
      </c>
      <c r="N1497" s="2">
        <v>11.92</v>
      </c>
      <c r="O1497" s="2">
        <v>1180.53</v>
      </c>
      <c r="P1497" s="1">
        <v>185</v>
      </c>
      <c r="Q1497" s="2">
        <v>119.24</v>
      </c>
      <c r="R1497" s="2">
        <v>345.85</v>
      </c>
      <c r="S1497" s="1" t="s">
        <v>1003</v>
      </c>
      <c r="T1497" s="1" t="s">
        <v>1007</v>
      </c>
      <c r="U1497" s="1" t="s">
        <v>1004</v>
      </c>
    </row>
    <row r="1498" spans="1:21" x14ac:dyDescent="0.3">
      <c r="A1498" s="1" t="s">
        <v>2512</v>
      </c>
      <c r="B1498" s="1" t="s">
        <v>166</v>
      </c>
      <c r="C1498" s="1" t="s">
        <v>167</v>
      </c>
      <c r="D1498" s="1" t="s">
        <v>59</v>
      </c>
      <c r="E1498" s="1" t="s">
        <v>3651</v>
      </c>
      <c r="F1498" s="1" t="s">
        <v>1006</v>
      </c>
      <c r="G1498" s="1" t="s">
        <v>1010</v>
      </c>
      <c r="H1498" s="1">
        <v>13</v>
      </c>
      <c r="I1498" s="1">
        <v>7</v>
      </c>
      <c r="J1498" s="1" t="s">
        <v>3282</v>
      </c>
      <c r="K1498" s="2">
        <v>184.81</v>
      </c>
      <c r="L1498" s="1">
        <v>16</v>
      </c>
      <c r="M1498" s="2">
        <v>2402.5300000000002</v>
      </c>
      <c r="N1498" s="2">
        <v>384.4</v>
      </c>
      <c r="O1498" s="2">
        <v>2018.13</v>
      </c>
      <c r="P1498" s="1">
        <v>270</v>
      </c>
      <c r="Q1498" s="2">
        <v>129.37</v>
      </c>
      <c r="R1498" s="2">
        <v>336.32</v>
      </c>
      <c r="S1498" s="1" t="s">
        <v>1003</v>
      </c>
      <c r="T1498" s="1" t="s">
        <v>1004</v>
      </c>
      <c r="U1498" s="1" t="s">
        <v>1004</v>
      </c>
    </row>
    <row r="1499" spans="1:21" x14ac:dyDescent="0.3">
      <c r="A1499" s="1" t="s">
        <v>2513</v>
      </c>
      <c r="B1499" s="1" t="s">
        <v>95</v>
      </c>
      <c r="C1499" s="1" t="s">
        <v>96</v>
      </c>
      <c r="D1499" s="1" t="s">
        <v>97</v>
      </c>
      <c r="E1499" s="1" t="s">
        <v>3652</v>
      </c>
      <c r="F1499" s="1" t="s">
        <v>1027</v>
      </c>
      <c r="G1499" s="1" t="s">
        <v>1002</v>
      </c>
      <c r="H1499" s="1">
        <v>5</v>
      </c>
      <c r="I1499" s="1">
        <v>4</v>
      </c>
      <c r="J1499" s="1" t="s">
        <v>2844</v>
      </c>
      <c r="K1499" s="2">
        <v>59.01</v>
      </c>
      <c r="L1499" s="1">
        <v>13</v>
      </c>
      <c r="M1499" s="2">
        <v>295.05</v>
      </c>
      <c r="N1499" s="2">
        <v>38.36</v>
      </c>
      <c r="O1499" s="2">
        <v>256.69</v>
      </c>
      <c r="P1499" s="1">
        <v>194</v>
      </c>
      <c r="Q1499" s="2">
        <v>41.31</v>
      </c>
      <c r="R1499" s="2">
        <v>50.14</v>
      </c>
      <c r="S1499" s="1" t="s">
        <v>1011</v>
      </c>
      <c r="T1499" s="1" t="s">
        <v>1007</v>
      </c>
      <c r="U1499" s="1" t="s">
        <v>1004</v>
      </c>
    </row>
    <row r="1500" spans="1:21" x14ac:dyDescent="0.3">
      <c r="A1500" s="1" t="s">
        <v>2514</v>
      </c>
      <c r="B1500" s="1" t="s">
        <v>166</v>
      </c>
      <c r="C1500" s="1" t="s">
        <v>167</v>
      </c>
      <c r="D1500" s="1" t="s">
        <v>59</v>
      </c>
      <c r="E1500" s="1" t="s">
        <v>3653</v>
      </c>
      <c r="F1500" s="1" t="s">
        <v>1009</v>
      </c>
      <c r="G1500" s="1" t="s">
        <v>1002</v>
      </c>
      <c r="H1500" s="1">
        <v>14</v>
      </c>
      <c r="I1500" s="1">
        <v>1</v>
      </c>
      <c r="J1500" s="1" t="s">
        <v>2576</v>
      </c>
      <c r="K1500" s="2">
        <v>83.03</v>
      </c>
      <c r="L1500" s="1">
        <v>8</v>
      </c>
      <c r="M1500" s="2">
        <v>1162.42</v>
      </c>
      <c r="N1500" s="2">
        <v>92.99</v>
      </c>
      <c r="O1500" s="2">
        <v>1069.43</v>
      </c>
      <c r="P1500" s="1">
        <v>282</v>
      </c>
      <c r="Q1500" s="2">
        <v>58.12</v>
      </c>
      <c r="R1500" s="2">
        <v>255.75</v>
      </c>
      <c r="S1500" s="1" t="s">
        <v>1011</v>
      </c>
      <c r="T1500" s="1" t="s">
        <v>1007</v>
      </c>
      <c r="U1500" s="1" t="s">
        <v>1007</v>
      </c>
    </row>
    <row r="1501" spans="1:21" x14ac:dyDescent="0.3">
      <c r="A1501" s="1" t="s">
        <v>3654</v>
      </c>
      <c r="B1501" s="1" t="s">
        <v>192</v>
      </c>
      <c r="C1501" s="1" t="s">
        <v>193</v>
      </c>
      <c r="D1501" s="1" t="s">
        <v>85</v>
      </c>
      <c r="E1501" s="1" t="s">
        <v>3655</v>
      </c>
      <c r="F1501" s="1" t="s">
        <v>1027</v>
      </c>
      <c r="G1501" s="1" t="s">
        <v>1023</v>
      </c>
      <c r="H1501" s="1">
        <v>15</v>
      </c>
      <c r="I1501" s="1">
        <v>1</v>
      </c>
      <c r="J1501" s="1" t="s">
        <v>2747</v>
      </c>
      <c r="K1501" s="2">
        <v>294.20999999999998</v>
      </c>
      <c r="L1501" s="1">
        <v>20</v>
      </c>
      <c r="M1501" s="2">
        <v>4413.1499999999996</v>
      </c>
      <c r="N1501" s="2">
        <v>882.63</v>
      </c>
      <c r="O1501" s="2">
        <v>3530.52</v>
      </c>
      <c r="P1501" s="1">
        <v>186</v>
      </c>
      <c r="Q1501" s="2">
        <v>205.95</v>
      </c>
      <c r="R1501" s="2">
        <v>441.27</v>
      </c>
      <c r="S1501" s="1" t="s">
        <v>1003</v>
      </c>
      <c r="T1501" s="1" t="s">
        <v>1007</v>
      </c>
      <c r="U1501" s="1" t="s">
        <v>1007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40" zoomScaleNormal="40" workbookViewId="0">
      <selection activeCell="BF27" sqref="BF27"/>
    </sheetView>
  </sheetViews>
  <sheetFormatPr defaultRowHeight="14.4" x14ac:dyDescent="0.3"/>
  <sheetData/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zoomScale="120" zoomScaleNormal="120" workbookViewId="0">
      <selection activeCell="G14" sqref="G14"/>
    </sheetView>
  </sheetViews>
  <sheetFormatPr defaultRowHeight="14.4" x14ac:dyDescent="0.3"/>
  <cols>
    <col min="2" max="2" width="12.21875" bestFit="1" customWidth="1"/>
    <col min="4" max="4" width="8.44140625" bestFit="1" customWidth="1"/>
    <col min="5" max="5" width="11.77734375" bestFit="1" customWidth="1"/>
    <col min="6" max="6" width="11.5546875" bestFit="1" customWidth="1"/>
    <col min="8" max="8" width="10" bestFit="1" customWidth="1"/>
  </cols>
  <sheetData>
    <row r="1" spans="1:8" x14ac:dyDescent="0.3">
      <c r="A1" t="s">
        <v>1</v>
      </c>
      <c r="B1" t="s">
        <v>2</v>
      </c>
      <c r="C1" t="s">
        <v>3</v>
      </c>
      <c r="D1" t="s">
        <v>5</v>
      </c>
      <c r="E1" t="s">
        <v>10</v>
      </c>
      <c r="F1" t="s">
        <v>9</v>
      </c>
      <c r="G1" t="s">
        <v>1815</v>
      </c>
      <c r="H1" t="s">
        <v>18</v>
      </c>
    </row>
    <row r="2" spans="1:8" x14ac:dyDescent="0.3">
      <c r="A2" t="s">
        <v>57</v>
      </c>
      <c r="B2" t="s">
        <v>58</v>
      </c>
      <c r="C2" t="s">
        <v>59</v>
      </c>
      <c r="D2" t="s">
        <v>30</v>
      </c>
      <c r="E2">
        <v>119</v>
      </c>
      <c r="F2">
        <v>54</v>
      </c>
      <c r="G2">
        <v>65</v>
      </c>
      <c r="H2">
        <v>23831.82</v>
      </c>
    </row>
    <row r="3" spans="1:8" x14ac:dyDescent="0.3">
      <c r="A3" t="s">
        <v>37</v>
      </c>
      <c r="B3" t="s">
        <v>38</v>
      </c>
      <c r="C3" t="s">
        <v>39</v>
      </c>
      <c r="D3" t="s">
        <v>30</v>
      </c>
      <c r="E3">
        <v>115</v>
      </c>
      <c r="F3">
        <v>55</v>
      </c>
      <c r="G3">
        <v>60</v>
      </c>
      <c r="H3">
        <v>12876.05</v>
      </c>
    </row>
    <row r="4" spans="1:8" x14ac:dyDescent="0.3">
      <c r="A4" t="s">
        <v>123</v>
      </c>
      <c r="B4" t="s">
        <v>124</v>
      </c>
      <c r="C4" t="s">
        <v>47</v>
      </c>
      <c r="D4" t="s">
        <v>54</v>
      </c>
      <c r="E4">
        <v>117</v>
      </c>
      <c r="F4">
        <v>57</v>
      </c>
      <c r="G4">
        <v>60</v>
      </c>
      <c r="H4">
        <v>8446.26</v>
      </c>
    </row>
    <row r="5" spans="1:8" x14ac:dyDescent="0.3">
      <c r="A5" t="s">
        <v>172</v>
      </c>
      <c r="B5" t="s">
        <v>173</v>
      </c>
      <c r="C5" t="s">
        <v>132</v>
      </c>
      <c r="D5" t="s">
        <v>30</v>
      </c>
      <c r="E5">
        <v>117</v>
      </c>
      <c r="F5">
        <v>57</v>
      </c>
      <c r="G5">
        <v>60</v>
      </c>
      <c r="H5">
        <v>3882.27</v>
      </c>
    </row>
    <row r="6" spans="1:8" x14ac:dyDescent="0.3">
      <c r="A6" t="s">
        <v>143</v>
      </c>
      <c r="B6" t="s">
        <v>144</v>
      </c>
      <c r="C6" t="s">
        <v>47</v>
      </c>
      <c r="D6" t="s">
        <v>30</v>
      </c>
      <c r="E6">
        <v>116</v>
      </c>
      <c r="F6">
        <v>59</v>
      </c>
      <c r="G6">
        <v>57</v>
      </c>
      <c r="H6">
        <v>26479.79</v>
      </c>
    </row>
    <row r="7" spans="1:8" x14ac:dyDescent="0.3">
      <c r="A7" t="s">
        <v>172</v>
      </c>
      <c r="B7" t="s">
        <v>173</v>
      </c>
      <c r="C7" t="s">
        <v>132</v>
      </c>
      <c r="D7" t="s">
        <v>30</v>
      </c>
      <c r="E7">
        <v>100</v>
      </c>
      <c r="F7">
        <v>46</v>
      </c>
      <c r="G7">
        <v>54</v>
      </c>
      <c r="H7">
        <v>21962.240000000002</v>
      </c>
    </row>
    <row r="8" spans="1:8" x14ac:dyDescent="0.3">
      <c r="A8" t="s">
        <v>118</v>
      </c>
      <c r="B8" t="s">
        <v>119</v>
      </c>
      <c r="C8" t="s">
        <v>97</v>
      </c>
      <c r="D8" t="s">
        <v>54</v>
      </c>
      <c r="E8">
        <v>107</v>
      </c>
      <c r="F8">
        <v>54</v>
      </c>
      <c r="G8">
        <v>53</v>
      </c>
      <c r="H8">
        <v>2300.94</v>
      </c>
    </row>
    <row r="9" spans="1:8" x14ac:dyDescent="0.3">
      <c r="A9" t="s">
        <v>26</v>
      </c>
      <c r="B9" t="s">
        <v>27</v>
      </c>
      <c r="C9" t="s">
        <v>28</v>
      </c>
      <c r="D9" t="s">
        <v>30</v>
      </c>
      <c r="E9">
        <v>101</v>
      </c>
      <c r="F9">
        <v>49</v>
      </c>
      <c r="G9">
        <v>52</v>
      </c>
      <c r="H9">
        <v>17121.09</v>
      </c>
    </row>
    <row r="10" spans="1:8" x14ac:dyDescent="0.3">
      <c r="A10" t="s">
        <v>111</v>
      </c>
      <c r="B10" t="s">
        <v>112</v>
      </c>
      <c r="C10" t="s">
        <v>97</v>
      </c>
      <c r="D10" t="s">
        <v>30</v>
      </c>
      <c r="E10">
        <v>110</v>
      </c>
      <c r="F10">
        <v>59</v>
      </c>
      <c r="G10">
        <v>51</v>
      </c>
      <c r="H10">
        <v>5635.6799999999994</v>
      </c>
    </row>
    <row r="11" spans="1:8" x14ac:dyDescent="0.3">
      <c r="A11" t="s">
        <v>37</v>
      </c>
      <c r="B11" t="s">
        <v>38</v>
      </c>
      <c r="C11" t="s">
        <v>39</v>
      </c>
      <c r="D11" t="s">
        <v>54</v>
      </c>
      <c r="E11">
        <v>98</v>
      </c>
      <c r="F11">
        <v>48</v>
      </c>
      <c r="G11">
        <v>50</v>
      </c>
      <c r="H11">
        <v>18818.88</v>
      </c>
    </row>
    <row r="12" spans="1:8" x14ac:dyDescent="0.3">
      <c r="A12" t="s">
        <v>126</v>
      </c>
      <c r="B12" t="s">
        <v>127</v>
      </c>
      <c r="C12" t="s">
        <v>85</v>
      </c>
      <c r="D12" t="s">
        <v>30</v>
      </c>
      <c r="E12">
        <v>109</v>
      </c>
      <c r="F12">
        <v>59</v>
      </c>
      <c r="G12">
        <v>50</v>
      </c>
      <c r="H12">
        <v>12187.63</v>
      </c>
    </row>
    <row r="13" spans="1:8" x14ac:dyDescent="0.3">
      <c r="A13" t="s">
        <v>123</v>
      </c>
      <c r="B13" t="s">
        <v>124</v>
      </c>
      <c r="C13" t="s">
        <v>47</v>
      </c>
      <c r="D13" t="s">
        <v>30</v>
      </c>
      <c r="E13">
        <v>119</v>
      </c>
      <c r="F13">
        <v>70</v>
      </c>
      <c r="G13">
        <v>49</v>
      </c>
      <c r="H13">
        <v>10032.4</v>
      </c>
    </row>
    <row r="14" spans="1:8" x14ac:dyDescent="0.3">
      <c r="A14" t="s">
        <v>69</v>
      </c>
      <c r="B14" t="s">
        <v>70</v>
      </c>
      <c r="C14" t="s">
        <v>59</v>
      </c>
      <c r="D14" t="s">
        <v>54</v>
      </c>
      <c r="E14">
        <v>103</v>
      </c>
      <c r="F14">
        <v>59</v>
      </c>
      <c r="G14">
        <v>44</v>
      </c>
      <c r="H14">
        <v>16740.07</v>
      </c>
    </row>
    <row r="15" spans="1:8" x14ac:dyDescent="0.3">
      <c r="A15" t="s">
        <v>95</v>
      </c>
      <c r="B15" t="s">
        <v>96</v>
      </c>
      <c r="C15" t="s">
        <v>97</v>
      </c>
      <c r="D15" t="s">
        <v>48</v>
      </c>
      <c r="E15">
        <v>99</v>
      </c>
      <c r="F15">
        <v>58</v>
      </c>
      <c r="G15">
        <v>41</v>
      </c>
      <c r="H15">
        <v>22847.360000000001</v>
      </c>
    </row>
    <row r="16" spans="1:8" x14ac:dyDescent="0.3">
      <c r="A16" t="s">
        <v>192</v>
      </c>
      <c r="B16" t="s">
        <v>193</v>
      </c>
      <c r="C16" t="s">
        <v>85</v>
      </c>
      <c r="D16" t="s">
        <v>54</v>
      </c>
      <c r="E16">
        <v>106</v>
      </c>
      <c r="F16">
        <v>65</v>
      </c>
      <c r="G16">
        <v>41</v>
      </c>
      <c r="H16">
        <v>4788.55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Inventory</vt:lpstr>
      <vt:lpstr>Orders</vt:lpstr>
      <vt:lpstr>Advanced-Charts</vt:lpstr>
      <vt:lpstr>Data_ReorderRisk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 Akram</dc:creator>
  <cp:lastModifiedBy>Sana Akram</cp:lastModifiedBy>
  <dcterms:created xsi:type="dcterms:W3CDTF">2026-02-12T18:15:01Z</dcterms:created>
  <dcterms:modified xsi:type="dcterms:W3CDTF">2026-04-10T12:17:08Z</dcterms:modified>
</cp:coreProperties>
</file>